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179.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17.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63.xml" ContentType="application/vnd.openxmlformats-officedocument.spreadsheetml.revisionLog+xml"/>
  <Override PartName="/xl/revisions/revisionLog84.xml" ContentType="application/vnd.openxmlformats-officedocument.spreadsheetml.revisionLog+xml"/>
  <Override PartName="/xl/revisions/revisionLog138.xml" ContentType="application/vnd.openxmlformats-officedocument.spreadsheetml.revisionLog+xml"/>
  <Override PartName="/xl/revisions/revisionLog157.xml" ContentType="application/vnd.openxmlformats-officedocument.spreadsheetml.revisionLog+xml"/>
  <Override PartName="/xl/revisions/revisionLog162.xml" ContentType="application/vnd.openxmlformats-officedocument.spreadsheetml.revisionLog+xml"/>
  <Override PartName="/xl/revisions/revisionLog107.xml" ContentType="application/vnd.openxmlformats-officedocument.spreadsheetml.revisionLog+xml"/>
  <Override PartName="/xl/revisions/revisionLog11.xml" ContentType="application/vnd.openxmlformats-officedocument.spreadsheetml.revisionLog+xml"/>
  <Override PartName="/xl/revisions/revisionLog32.xml" ContentType="application/vnd.openxmlformats-officedocument.spreadsheetml.revisionLog+xml"/>
  <Override PartName="/xl/revisions/revisionLog53.xml" ContentType="application/vnd.openxmlformats-officedocument.spreadsheetml.revisionLog+xml"/>
  <Override PartName="/xl/revisions/revisionLog74.xml" ContentType="application/vnd.openxmlformats-officedocument.spreadsheetml.revisionLog+xml"/>
  <Override PartName="/xl/revisions/revisionLog128.xml" ContentType="application/vnd.openxmlformats-officedocument.spreadsheetml.revisionLog+xml"/>
  <Override PartName="/xl/revisions/revisionLog149.xml" ContentType="application/vnd.openxmlformats-officedocument.spreadsheetml.revisionLog+xml"/>
  <Override PartName="/xl/revisions/revisionLog158.xml" ContentType="application/vnd.openxmlformats-officedocument.spreadsheetml.revisionLog+xml"/>
  <Override PartName="/xl/revisions/revisionLog95.xml" ContentType="application/vnd.openxmlformats-officedocument.spreadsheetml.revisionLog+xml"/>
  <Override PartName="/xl/revisions/revisionLog173.xml" ContentType="application/vnd.openxmlformats-officedocument.spreadsheetml.revisionLog+xml"/>
  <Override PartName="/xl/revisions/revisionLog22.xml" ContentType="application/vnd.openxmlformats-officedocument.spreadsheetml.revisionLog+xml"/>
  <Override PartName="/xl/revisions/revisionLog43.xml" ContentType="application/vnd.openxmlformats-officedocument.spreadsheetml.revisionLog+xml"/>
  <Override PartName="/xl/revisions/revisionLog64.xml" ContentType="application/vnd.openxmlformats-officedocument.spreadsheetml.revisionLog+xml"/>
  <Override PartName="/xl/revisions/revisionLog118.xml" ContentType="application/vnd.openxmlformats-officedocument.spreadsheetml.revisionLog+xml"/>
  <Override PartName="/xl/revisions/revisionLog139.xml" ContentType="application/vnd.openxmlformats-officedocument.spreadsheetml.revisionLog+xml"/>
  <Override PartName="/xl/revisions/revisionLog85.xml" ContentType="application/vnd.openxmlformats-officedocument.spreadsheetml.revisionLog+xml"/>
  <Override PartName="/xl/revisions/revisionLog150.xml" ContentType="application/vnd.openxmlformats-officedocument.spreadsheetml.revisionLog+xml"/>
  <Override PartName="/xl/revisions/revisionLog163.xml" ContentType="application/vnd.openxmlformats-officedocument.spreadsheetml.revisionLog+xml"/>
  <Override PartName="/xl/revisions/revisionLog12.xml" ContentType="application/vnd.openxmlformats-officedocument.spreadsheetml.revisionLog+xml"/>
  <Override PartName="/xl/revisions/revisionLog33.xml" ContentType="application/vnd.openxmlformats-officedocument.spreadsheetml.revisionLog+xml"/>
  <Override PartName="/xl/revisions/revisionLog108.xml" ContentType="application/vnd.openxmlformats-officedocument.spreadsheetml.revisionLog+xml"/>
  <Override PartName="/xl/revisions/revisionLog129.xml" ContentType="application/vnd.openxmlformats-officedocument.spreadsheetml.revisionLog+xml"/>
  <Override PartName="/xl/revisions/revisionLog54.xml" ContentType="application/vnd.openxmlformats-officedocument.spreadsheetml.revisionLog+xml"/>
  <Override PartName="/xl/revisions/revisionLog75.xml" ContentType="application/vnd.openxmlformats-officedocument.spreadsheetml.revisionLog+xml"/>
  <Override PartName="/xl/revisions/revisionLog96.xml" ContentType="application/vnd.openxmlformats-officedocument.spreadsheetml.revisionLog+xml"/>
  <Override PartName="/xl/revisions/revisionLog140.xml" ContentType="application/vnd.openxmlformats-officedocument.spreadsheetml.revisionLog+xml"/>
  <Override PartName="/xl/revisions/revisionLog159.xml" ContentType="application/vnd.openxmlformats-officedocument.spreadsheetml.revisionLog+xml"/>
  <Override PartName="/xl/revisions/revisionLog174.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49.xml" ContentType="application/vnd.openxmlformats-officedocument.spreadsheetml.revisionLog+xml"/>
  <Override PartName="/xl/revisions/revisionLog114.xml" ContentType="application/vnd.openxmlformats-officedocument.spreadsheetml.revisionLog+xml"/>
  <Override PartName="/xl/revisions/revisionLog119.xml" ContentType="application/vnd.openxmlformats-officedocument.spreadsheetml.revisionLog+xml"/>
  <Override PartName="/xl/revisions/revisionLog44.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81.xml" ContentType="application/vnd.openxmlformats-officedocument.spreadsheetml.revisionLog+xml"/>
  <Override PartName="/xl/revisions/revisionLog86.xml" ContentType="application/vnd.openxmlformats-officedocument.spreadsheetml.revisionLog+xml"/>
  <Override PartName="/xl/revisions/revisionLog130.xml" ContentType="application/vnd.openxmlformats-officedocument.spreadsheetml.revisionLog+xml"/>
  <Override PartName="/xl/revisions/revisionLog135.xml" ContentType="application/vnd.openxmlformats-officedocument.spreadsheetml.revisionLog+xml"/>
  <Override PartName="/xl/revisions/revisionLog151.xml" ContentType="application/vnd.openxmlformats-officedocument.spreadsheetml.revisionLog+xml"/>
  <Override PartName="/xl/revisions/revisionLog154.xml" ContentType="application/vnd.openxmlformats-officedocument.spreadsheetml.revisionLog+xml"/>
  <Override PartName="/xl/revisions/revisionLog169.xml" ContentType="application/vnd.openxmlformats-officedocument.spreadsheetml.revisionLog+xml"/>
  <Override PartName="/xl/revisions/revisionLog164.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10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97.xml" ContentType="application/vnd.openxmlformats-officedocument.spreadsheetml.revisionLog+xml"/>
  <Override PartName="/xl/revisions/revisionLog104.xml" ContentType="application/vnd.openxmlformats-officedocument.spreadsheetml.revisionLog+xml"/>
  <Override PartName="/xl/revisions/revisionLog120.xml" ContentType="application/vnd.openxmlformats-officedocument.spreadsheetml.revisionLog+xml"/>
  <Override PartName="/xl/revisions/revisionLog125.xml" ContentType="application/vnd.openxmlformats-officedocument.spreadsheetml.revisionLog+xml"/>
  <Override PartName="/xl/revisions/revisionLog141.xml" ContentType="application/vnd.openxmlformats-officedocument.spreadsheetml.revisionLog+xml"/>
  <Override PartName="/xl/revisions/revisionLog146.xml" ContentType="application/vnd.openxmlformats-officedocument.spreadsheetml.revisionLog+xml"/>
  <Override PartName="/xl/revisions/revisionLog6.xml" ContentType="application/vnd.openxmlformats-officedocument.spreadsheetml.revisionLog+xml"/>
  <Override PartName="/xl/revisions/revisionLog178.xml" ContentType="application/vnd.openxmlformats-officedocument.spreadsheetml.revisionLog+xml"/>
  <Override PartName="/xl/revisions/revisionLog160.xml" ContentType="application/vnd.openxmlformats-officedocument.spreadsheetml.revisionLog+xml"/>
  <Override PartName="/xl/revisions/revisionLog71.xml" ContentType="application/vnd.openxmlformats-officedocument.spreadsheetml.revisionLog+xml"/>
  <Override PartName="/xl/revisions/revisionLog92.xml" ContentType="application/vnd.openxmlformats-officedocument.spreadsheetml.revisionLog+xml"/>
  <Override PartName="/xl/revisions/revisionLog175.xml" ContentType="application/vnd.openxmlformats-officedocument.spreadsheetml.revisionLog+xml"/>
  <Override PartName="/xl/revisions/revisionLog29.xml" ContentType="application/vnd.openxmlformats-officedocument.spreadsheetml.revisionLog+xml"/>
  <Override PartName="/xl/revisions/revisionLog24.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66.xml" ContentType="application/vnd.openxmlformats-officedocument.spreadsheetml.revisionLog+xml"/>
  <Override PartName="/xl/revisions/revisionLog87.xml" ContentType="application/vnd.openxmlformats-officedocument.spreadsheetml.revisionLog+xml"/>
  <Override PartName="/xl/revisions/revisionLog110.xml" ContentType="application/vnd.openxmlformats-officedocument.spreadsheetml.revisionLog+xml"/>
  <Override PartName="/xl/revisions/revisionLog115.xml" ContentType="application/vnd.openxmlformats-officedocument.spreadsheetml.revisionLog+xml"/>
  <Override PartName="/xl/revisions/revisionLog131.xml" ContentType="application/vnd.openxmlformats-officedocument.spreadsheetml.revisionLog+xml"/>
  <Override PartName="/xl/revisions/revisionLog136.xml" ContentType="application/vnd.openxmlformats-officedocument.spreadsheetml.revisionLog+xml"/>
  <Override PartName="/xl/revisions/revisionLog155.xml" ContentType="application/vnd.openxmlformats-officedocument.spreadsheetml.revisionLog+xml"/>
  <Override PartName="/xl/revisions/revisionLog170.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152.xml" ContentType="application/vnd.openxmlformats-officedocument.spreadsheetml.revisionLog+xml"/>
  <Override PartName="/xl/revisions/revisionLog165.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56.xml" ContentType="application/vnd.openxmlformats-officedocument.spreadsheetml.revisionLog+xml"/>
  <Override PartName="/xl/revisions/revisionLog77.xml" ContentType="application/vnd.openxmlformats-officedocument.spreadsheetml.revisionLog+xml"/>
  <Override PartName="/xl/revisions/revisionLog100.xml" ContentType="application/vnd.openxmlformats-officedocument.spreadsheetml.revisionLog+xml"/>
  <Override PartName="/xl/revisions/revisionLog105.xml" ContentType="application/vnd.openxmlformats-officedocument.spreadsheetml.revisionLog+xml"/>
  <Override PartName="/xl/revisions/revisionLog126.xml" ContentType="application/vnd.openxmlformats-officedocument.spreadsheetml.revisionLog+xml"/>
  <Override PartName="/xl/revisions/revisionLog147.xml" ContentType="application/vnd.openxmlformats-officedocument.spreadsheetml.revisionLog+xml"/>
  <Override PartName="/xl/revisions/revisionLog7.xml" ContentType="application/vnd.openxmlformats-officedocument.spreadsheetml.revisionLog+xml"/>
  <Override PartName="/xl/revisions/revisionLog161.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93.xml" ContentType="application/vnd.openxmlformats-officedocument.spreadsheetml.revisionLog+xml"/>
  <Override PartName="/xl/revisions/revisionLog98.xml" ContentType="application/vnd.openxmlformats-officedocument.spreadsheetml.revisionLog+xml"/>
  <Override PartName="/xl/revisions/revisionLog121.xml" ContentType="application/vnd.openxmlformats-officedocument.spreadsheetml.revisionLog+xml"/>
  <Override PartName="/xl/revisions/revisionLog142.xml" ContentType="application/vnd.openxmlformats-officedocument.spreadsheetml.revisionLog+xml"/>
  <Override PartName="/xl/revisions/revisionLog176.xml" ContentType="application/vnd.openxmlformats-officedocument.spreadsheetml.revisionLog+xml"/>
  <Override PartName="/xl/revisions/revisionLog25.xml" ContentType="application/vnd.openxmlformats-officedocument.spreadsheetml.revisionLog+xml"/>
  <Override PartName="/xl/revisions/revisionLog46.xml" ContentType="application/vnd.openxmlformats-officedocument.spreadsheetml.revisionLog+xml"/>
  <Override PartName="/xl/revisions/revisionLog67.xml" ContentType="application/vnd.openxmlformats-officedocument.spreadsheetml.revisionLog+xml"/>
  <Override PartName="/xl/revisions/revisionLog116.xml" ContentType="application/vnd.openxmlformats-officedocument.spreadsheetml.revisionLog+xml"/>
  <Override PartName="/xl/revisions/revisionLog137.xml" ContentType="application/vnd.openxmlformats-officedocument.spreadsheetml.revisionLog+xml"/>
  <Override PartName="/xl/revisions/revisionLog156.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62.xml" ContentType="application/vnd.openxmlformats-officedocument.spreadsheetml.revisionLog+xml"/>
  <Override PartName="/xl/revisions/revisionLog83.xml" ContentType="application/vnd.openxmlformats-officedocument.spreadsheetml.revisionLog+xml"/>
  <Override PartName="/xl/revisions/revisionLog88.xml" ContentType="application/vnd.openxmlformats-officedocument.spreadsheetml.revisionLog+xml"/>
  <Override PartName="/xl/revisions/revisionLog111.xml" ContentType="application/vnd.openxmlformats-officedocument.spreadsheetml.revisionLog+xml"/>
  <Override PartName="/xl/revisions/revisionLog132.xml" ContentType="application/vnd.openxmlformats-officedocument.spreadsheetml.revisionLog+xml"/>
  <Override PartName="/xl/revisions/revisionLog153.xml" ContentType="application/vnd.openxmlformats-officedocument.spreadsheetml.revisionLog+xml"/>
  <Override PartName="/xl/revisions/revisionLog166.xml" ContentType="application/vnd.openxmlformats-officedocument.spreadsheetml.revisionLog+xml"/>
  <Override PartName="/xl/revisions/revisionLog171.xml" ContentType="application/vnd.openxmlformats-officedocument.spreadsheetml.revisionLog+xml"/>
  <Override PartName="/xl/revisions/revisionLog15.xml" ContentType="application/vnd.openxmlformats-officedocument.spreadsheetml.revisionLog+xml"/>
  <Override PartName="/xl/revisions/revisionLog36.xml" ContentType="application/vnd.openxmlformats-officedocument.spreadsheetml.revisionLog+xml"/>
  <Override PartName="/xl/revisions/revisionLog57.xml" ContentType="application/vnd.openxmlformats-officedocument.spreadsheetml.revisionLog+xml"/>
  <Override PartName="/xl/revisions/revisionLog106.xml" ContentType="application/vnd.openxmlformats-officedocument.spreadsheetml.revisionLog+xml"/>
  <Override PartName="/xl/revisions/revisionLog127.xml" ContentType="application/vnd.openxmlformats-officedocument.spreadsheetml.revisionLog+xml"/>
  <Override PartName="/xl/revisions/revisionLog8.xml" ContentType="application/vnd.openxmlformats-officedocument.spreadsheetml.revisionLog+xml"/>
  <Override PartName="/xl/revisions/revisionLog31.xml" ContentType="application/vnd.openxmlformats-officedocument.spreadsheetml.revisionLog+xml"/>
  <Override PartName="/xl/revisions/revisionLog52.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94.xml" ContentType="application/vnd.openxmlformats-officedocument.spreadsheetml.revisionLog+xml"/>
  <Override PartName="/xl/revisions/revisionLog99.xml" ContentType="application/vnd.openxmlformats-officedocument.spreadsheetml.revisionLog+xml"/>
  <Override PartName="/xl/revisions/revisionLog101.xml" ContentType="application/vnd.openxmlformats-officedocument.spreadsheetml.revisionLog+xml"/>
  <Override PartName="/xl/revisions/revisionLog122.xml" ContentType="application/vnd.openxmlformats-officedocument.spreadsheetml.revisionLog+xml"/>
  <Override PartName="/xl/revisions/revisionLog143.xml" ContentType="application/vnd.openxmlformats-officedocument.spreadsheetml.revisionLog+xml"/>
  <Override PartName="/xl/revisions/revisionLog148.xml" ContentType="application/vnd.openxmlformats-officedocument.spreadsheetml.revisionLog+xml"/>
  <Override PartName="/xl/revisions/revisionLog3.xml" ContentType="application/vnd.openxmlformats-officedocument.spreadsheetml.revisionLog+xml"/>
  <Override PartName="/xl/revisions/revisionLog9.xml" ContentType="application/vnd.openxmlformats-officedocument.spreadsheetml.revisionLog+xml"/>
  <Override PartName="/xl/revisions/revisionLog172.xml" ContentType="application/vnd.openxmlformats-officedocument.spreadsheetml.revisionLog+xml"/>
  <Override PartName="/xl/revisions/revisionLog26.xml" ContentType="application/vnd.openxmlformats-officedocument.spreadsheetml.revisionLog+xml"/>
  <Override PartName="/xl/revisions/revisionLog47.xml" ContentType="application/vnd.openxmlformats-officedocument.spreadsheetml.revisionLog+xml"/>
  <Override PartName="/xl/revisions/revisionLog68.xml" ContentType="application/vnd.openxmlformats-officedocument.spreadsheetml.revisionLog+xml"/>
  <Override PartName="/xl/revisions/revisionLog89.xml" ContentType="application/vnd.openxmlformats-officedocument.spreadsheetml.revisionLog+xml"/>
  <Override PartName="/xl/revisions/revisionLog112.xml" ContentType="application/vnd.openxmlformats-officedocument.spreadsheetml.revisionLog+xml"/>
  <Override PartName="/xl/revisions/revisionLog133.xml" ContentType="application/vnd.openxmlformats-officedocument.spreadsheetml.revisionLog+xml"/>
  <Override PartName="/xl/revisions/revisionLog1.xml" ContentType="application/vnd.openxmlformats-officedocument.spreadsheetml.revisionLog+xml"/>
  <Override PartName="/xl/revisions/revisionLog167.xml" ContentType="application/vnd.openxmlformats-officedocument.spreadsheetml.revisionLog+xml"/>
  <Override PartName="/xl/revisions/revisionLog16.xml" ContentType="application/vnd.openxmlformats-officedocument.spreadsheetml.revisionLog+xml"/>
  <Override PartName="/xl/revisions/revisionLog37.xml" ContentType="application/vnd.openxmlformats-officedocument.spreadsheetml.revisionLog+xml"/>
  <Override PartName="/xl/revisions/revisionLog58.xml" ContentType="application/vnd.openxmlformats-officedocument.spreadsheetml.revisionLog+xml"/>
  <Override PartName="/xl/revisions/revisionLog79.xml" ContentType="application/vnd.openxmlformats-officedocument.spreadsheetml.revisionLog+xml"/>
  <Override PartName="/xl/revisions/revisionLog102.xml" ContentType="application/vnd.openxmlformats-officedocument.spreadsheetml.revisionLog+xml"/>
  <Override PartName="/xl/revisions/revisionLog123.xml" ContentType="application/vnd.openxmlformats-officedocument.spreadsheetml.revisionLog+xml"/>
  <Override PartName="/xl/revisions/revisionLog144.xml" ContentType="application/vnd.openxmlformats-officedocument.spreadsheetml.revisionLog+xml"/>
  <Override PartName="/xl/revisions/revisionLog90.xml" ContentType="application/vnd.openxmlformats-officedocument.spreadsheetml.revisionLog+xml"/>
  <Override PartName="/xl/revisions/revisionLog4.xml" ContentType="application/vnd.openxmlformats-officedocument.spreadsheetml.revisionLog+xml"/>
  <Override PartName="/xl/revisions/revisionLog10.xml" ContentType="application/vnd.openxmlformats-officedocument.spreadsheetml.revisionLog+xml"/>
  <Override PartName="/xl/revisions/revisionLog27.xml" ContentType="application/vnd.openxmlformats-officedocument.spreadsheetml.revisionLog+xml"/>
  <Override PartName="/xl/revisions/revisionLog48.xml" ContentType="application/vnd.openxmlformats-officedocument.spreadsheetml.revisionLog+xml"/>
  <Override PartName="/xl/revisions/revisionLog69.xml" ContentType="application/vnd.openxmlformats-officedocument.spreadsheetml.revisionLog+xml"/>
  <Override PartName="/xl/revisions/revisionLog113.xml" ContentType="application/vnd.openxmlformats-officedocument.spreadsheetml.revisionLog+xml"/>
  <Override PartName="/xl/revisions/revisionLog134.xml" ContentType="application/vnd.openxmlformats-officedocument.spreadsheetml.revisionLog+xml"/>
  <Override PartName="/xl/revisions/revisionLog80.xml" ContentType="application/vnd.openxmlformats-officedocument.spreadsheetml.revisionLog+xml"/>
  <Override PartName="/xl/revisions/revisionLog2.xml" ContentType="application/vnd.openxmlformats-officedocument.spreadsheetml.revisionLog+xml"/>
  <Override PartName="/xl/revisions/revisionLog168.xml" ContentType="application/vnd.openxmlformats-officedocument.spreadsheetml.revisionLog+xml"/>
  <Override PartName="/xl/revisions/revisionLog17.xml" ContentType="application/vnd.openxmlformats-officedocument.spreadsheetml.revisionLog+xml"/>
  <Override PartName="/xl/revisions/revisionLog38.xml" ContentType="application/vnd.openxmlformats-officedocument.spreadsheetml.revisionLog+xml"/>
  <Override PartName="/xl/revisions/revisionLog59.xml" ContentType="application/vnd.openxmlformats-officedocument.spreadsheetml.revisionLog+xml"/>
  <Override PartName="/xl/revisions/revisionLog103.xml" ContentType="application/vnd.openxmlformats-officedocument.spreadsheetml.revisionLog+xml"/>
  <Override PartName="/xl/revisions/revisionLog124.xml" ContentType="application/vnd.openxmlformats-officedocument.spreadsheetml.revisionLog+xml"/>
  <Override PartName="/xl/revisions/revisionLog70.xml" ContentType="application/vnd.openxmlformats-officedocument.spreadsheetml.revisionLog+xml"/>
  <Override PartName="/xl/revisions/revisionLog91.xml" ContentType="application/vnd.openxmlformats-officedocument.spreadsheetml.revisionLog+xml"/>
  <Override PartName="/xl/revisions/revisionLog145.xml" ContentType="application/vnd.openxmlformats-officedocument.spreadsheetml.revisionLog+xml"/>
  <Override PartName="/xl/revisions/revisionLog5.xml" ContentType="application/vnd.openxmlformats-officedocument.spreadsheetml.revisionLog+xml"/>
  <Override PartName="/xl/revisions/revisionLog177.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חוברת_עבודה_זו"/>
  <mc:AlternateContent xmlns:mc="http://schemas.openxmlformats.org/markup-compatibility/2006">
    <mc:Choice Requires="x15">
      <x15ac:absPath xmlns:x15ac="http://schemas.microsoft.com/office/spreadsheetml/2010/11/ac" url="M:\0H Pikud @ Maslulim 2026\תוכנית עבודה שנתית\"/>
    </mc:Choice>
  </mc:AlternateContent>
  <xr:revisionPtr revIDLastSave="0" documentId="13_ncr:81_{64E75DAE-54D4-465F-A1DE-DC991710CF51}" xr6:coauthVersionLast="47" xr6:coauthVersionMax="47" xr10:uidLastSave="{00000000-0000-0000-0000-000000000000}"/>
  <bookViews>
    <workbookView xWindow="-120" yWindow="-120" windowWidth="29040" windowHeight="15720" activeTab="4" xr2:uid="{00000000-000D-0000-FFFF-FFFF00000000}"/>
  </bookViews>
  <sheets>
    <sheet name="ינואר" sheetId="1" r:id="rId1"/>
    <sheet name="פברואר" sheetId="2" r:id="rId2"/>
    <sheet name="מרץ" sheetId="3" r:id="rId3"/>
    <sheet name="אפריל" sheetId="4" r:id="rId4"/>
    <sheet name="מאי" sheetId="5" r:id="rId5"/>
    <sheet name="יוני" sheetId="6" r:id="rId6"/>
    <sheet name="יולי" sheetId="7" r:id="rId7"/>
    <sheet name="אוגוסט" sheetId="8" r:id="rId8"/>
    <sheet name="ספטמבר" sheetId="9" r:id="rId9"/>
    <sheet name="אוקטובר" sheetId="10" r:id="rId10"/>
    <sheet name="נובמבר" sheetId="11" r:id="rId11"/>
    <sheet name="דצמבר" sheetId="12" r:id="rId12"/>
    <sheet name="מקרא" sheetId="13" r:id="rId13"/>
    <sheet name="מיילים" sheetId="14" r:id="rId14"/>
  </sheets>
  <externalReferences>
    <externalReference r:id="rId15"/>
  </externalReferences>
  <definedNames>
    <definedName name="מקרא">מקרא!$B$5:$B$34</definedName>
    <definedName name="סימון">[1]מקרא!$B$3:$B$31</definedName>
  </definedNames>
  <calcPr calcId="191029"/>
  <customWorkbookViews>
    <customWorkbookView name="Avi Manorr - תצוגה אישית" guid="{C6961C98-214A-4770-9A2D-B399A95C6C8B}" mergeInterval="0" personalView="1" maximized="1" xWindow="-8" yWindow="-8" windowWidth="1936" windowHeight="1048" activeSheetId="5"/>
    <customWorkbookView name="David Mahalu - תצוגה אישית" guid="{A704065A-5B6F-476C-AE5F-F67C013164B0}" mergeInterval="0" personalView="1" maximized="1" xWindow="-1928" yWindow="-8" windowWidth="1936" windowHeight="1048" activeSheetId="5"/>
    <customWorkbookView name="Tomer Saar - תצוגה אישית" guid="{319CE2B6-D20C-48B8-B7D9-15D19162A7CD}" mergeInterval="0" personalView="1" maximized="1" xWindow="-8" yWindow="-8" windowWidth="1936" windowHeight="1048" activeSheetId="5"/>
    <customWorkbookView name="Merabi Kricheli - תצוגה אישית" guid="{C5360886-767B-4F33-B24F-A6512AA390CC}" mergeInterval="0" personalView="1" maximized="1" xWindow="-8" yWindow="-8" windowWidth="1936" windowHeight="1048" activeSheetId="5"/>
    <customWorkbookView name="Avi Shmueli - תצוגה אישית" guid="{9C777CA9-4E1C-4A90-9032-5D0586052FC8}" mergeInterval="0" personalView="1" maximized="1" xWindow="-8" yWindow="-8" windowWidth="1936" windowHeight="1048" activeSheetId="5"/>
    <customWorkbookView name="Shmuel Fogel - תצוגה אישית" guid="{FEBD343F-EB1E-4B3A-B093-25A74DB60DAB}" mergeInterval="0" personalView="1" maximized="1" xWindow="-8" yWindow="-8" windowWidth="1936" windowHeight="1048" activeSheetId="5"/>
    <customWorkbookView name="Izhak Aframashvili - תצוגה אישית" guid="{1D39CB39-D8E6-4DA4-ABBA-40E2E6F11928}" mergeInterval="0" personalView="1" maximized="1" xWindow="-8" yWindow="-8" windowWidth="1936" windowHeight="1048" activeSheetId="4"/>
    <customWorkbookView name="Noy Aviv - תצוגה אישית" guid="{6779E260-5140-4C15-8A0E-E477B8C8425E}" mergeInterval="0" personalView="1" maximized="1" xWindow="-8" yWindow="-8" windowWidth="1936" windowHeight="1056" activeSheetId="5"/>
    <customWorkbookView name="Aharon Shouchami - תצוגה אישית" guid="{FA0A1515-2E1A-4AAF-AD6A-7E4D0198DCFF}" mergeInterval="0" personalView="1" maximized="1" xWindow="-11" yWindow="-11" windowWidth="1942" windowHeight="1042" activeSheetId="9"/>
    <customWorkbookView name="Tomer Lebovich - תצוגה אישית" guid="{CC86EB9B-590B-4DCB-8154-1EBCE97DCC27}" mergeInterval="0" personalView="1" maximized="1" xWindow="-8" yWindow="-8" windowWidth="1936" windowHeight="1048" activeSheetId="2"/>
    <customWorkbookView name="Moti Halfon - תצוגה אישית" guid="{03543009-41DE-4C7D-B8BE-69526021AF29}" mergeInterval="0" personalView="1" maximized="1" xWindow="-8" yWindow="-8" windowWidth="1936" windowHeight="1048" activeSheetId="2"/>
    <customWorkbookView name="Yoav Bardugo - תצוגה אישית" guid="{03CD1AFD-FDA7-4904-966E-FB90CD2C490F}" autoUpdate="1" mergeInterval="15" personalView="1" maximized="1" xWindow="1912" yWindow="-8" windowWidth="1936" windowHeight="1048" activeSheetId="5"/>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G34" i="12" l="1"/>
  <c r="CF34" i="12"/>
  <c r="CG34" i="5"/>
  <c r="CF34" i="5"/>
  <c r="CF30" i="3" l="1"/>
  <c r="CF18" i="3"/>
  <c r="CF19" i="3"/>
  <c r="CF20" i="3"/>
  <c r="CF21" i="3"/>
  <c r="CF22" i="3"/>
  <c r="CF23" i="3"/>
  <c r="CF24" i="3"/>
  <c r="CF25" i="3"/>
  <c r="CF26" i="3"/>
  <c r="CF27" i="3"/>
  <c r="CF28" i="3"/>
  <c r="CF29" i="3"/>
  <c r="CF31" i="3"/>
  <c r="CF32" i="3"/>
  <c r="CF33" i="3"/>
  <c r="CF34" i="3"/>
  <c r="CF35" i="3"/>
  <c r="BU4" i="3"/>
  <c r="BU4" i="2"/>
  <c r="CF16" i="3"/>
  <c r="G36" i="12"/>
  <c r="I36" i="12"/>
  <c r="K36" i="12"/>
  <c r="M36" i="12"/>
  <c r="O36" i="12"/>
  <c r="Q36" i="12"/>
  <c r="S36" i="12"/>
  <c r="U36" i="12"/>
  <c r="W36" i="12"/>
  <c r="Y36" i="12"/>
  <c r="Z36" i="12"/>
  <c r="AA36" i="12"/>
  <c r="AC36" i="12"/>
  <c r="AE36" i="12"/>
  <c r="AG36" i="12"/>
  <c r="AI36" i="12"/>
  <c r="AK36" i="12"/>
  <c r="AM36" i="12"/>
  <c r="AO36" i="12"/>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I35" i="11"/>
  <c r="AJ35" i="11"/>
  <c r="AK35" i="11"/>
  <c r="AL35" i="11"/>
  <c r="AM35" i="11"/>
  <c r="AN35" i="11"/>
  <c r="AO35" i="11"/>
  <c r="G36" i="10"/>
  <c r="I36" i="10"/>
  <c r="K36" i="10"/>
  <c r="M36" i="10"/>
  <c r="O36" i="10"/>
  <c r="Q36" i="10"/>
  <c r="S36" i="10"/>
  <c r="U36" i="10"/>
  <c r="W36" i="10"/>
  <c r="Y36" i="10"/>
  <c r="Z36" i="10"/>
  <c r="AA36" i="10"/>
  <c r="AC36" i="10"/>
  <c r="AE36" i="10"/>
  <c r="AG36" i="10"/>
  <c r="AI36" i="10"/>
  <c r="AK36" i="10"/>
  <c r="AM36" i="10"/>
  <c r="AO36" i="10"/>
  <c r="F35" i="9"/>
  <c r="G35" i="9"/>
  <c r="H35" i="9"/>
  <c r="I35" i="9"/>
  <c r="J35" i="9"/>
  <c r="K35" i="9"/>
  <c r="L35" i="9"/>
  <c r="M35" i="9"/>
  <c r="N35" i="9"/>
  <c r="O35" i="9"/>
  <c r="P35" i="9"/>
  <c r="Q35" i="9"/>
  <c r="R35" i="9"/>
  <c r="S35" i="9"/>
  <c r="T35" i="9"/>
  <c r="U35" i="9"/>
  <c r="V35" i="9"/>
  <c r="W35" i="9"/>
  <c r="X35" i="9"/>
  <c r="Y35" i="9"/>
  <c r="Z35" i="9"/>
  <c r="AA35" i="9"/>
  <c r="AB35" i="9"/>
  <c r="AC35" i="9"/>
  <c r="AD35" i="9"/>
  <c r="AE35" i="9"/>
  <c r="AF35" i="9"/>
  <c r="AG35" i="9"/>
  <c r="AH35" i="9"/>
  <c r="AI35" i="9"/>
  <c r="AJ35" i="9"/>
  <c r="AK35" i="9"/>
  <c r="AL35" i="9"/>
  <c r="AM35" i="9"/>
  <c r="AN35" i="9"/>
  <c r="AO35" i="9"/>
  <c r="G36" i="8"/>
  <c r="I36" i="8"/>
  <c r="K36" i="8"/>
  <c r="M36" i="8"/>
  <c r="O36" i="8"/>
  <c r="Q36" i="8"/>
  <c r="S36" i="8"/>
  <c r="U36" i="8"/>
  <c r="W36" i="8"/>
  <c r="Y36" i="8"/>
  <c r="Z36" i="8"/>
  <c r="AA36" i="8"/>
  <c r="AC36" i="8"/>
  <c r="AE36" i="8"/>
  <c r="AG36" i="8"/>
  <c r="AI36" i="8"/>
  <c r="AK36" i="8"/>
  <c r="AM36" i="8"/>
  <c r="AO36" i="8"/>
  <c r="G36" i="7"/>
  <c r="I36" i="7"/>
  <c r="K36" i="7"/>
  <c r="M36" i="7"/>
  <c r="O36" i="7"/>
  <c r="Q36" i="7"/>
  <c r="S36" i="7"/>
  <c r="U36" i="7"/>
  <c r="W36" i="7"/>
  <c r="Y36" i="7"/>
  <c r="Z36" i="7"/>
  <c r="AA36" i="7"/>
  <c r="AC36" i="7"/>
  <c r="AE36" i="7"/>
  <c r="AG36" i="7"/>
  <c r="AI36" i="7"/>
  <c r="AK36" i="7"/>
  <c r="AM36" i="7"/>
  <c r="AO36" i="7"/>
  <c r="AF4" i="7"/>
  <c r="AF36" i="7" s="1"/>
  <c r="F35" i="6"/>
  <c r="G35" i="6"/>
  <c r="H35" i="6"/>
  <c r="I35" i="6"/>
  <c r="J35" i="6"/>
  <c r="K35" i="6"/>
  <c r="L35" i="6"/>
  <c r="M35" i="6"/>
  <c r="N35" i="6"/>
  <c r="O35" i="6"/>
  <c r="P35" i="6"/>
  <c r="Q35" i="6"/>
  <c r="R35" i="6"/>
  <c r="S35" i="6"/>
  <c r="T35" i="6"/>
  <c r="U35" i="6"/>
  <c r="V35" i="6"/>
  <c r="W35" i="6"/>
  <c r="X35" i="6"/>
  <c r="Y35" i="6"/>
  <c r="Z35" i="6"/>
  <c r="AA35" i="6"/>
  <c r="AB35" i="6"/>
  <c r="AC35" i="6"/>
  <c r="AD35" i="6"/>
  <c r="AE35" i="6"/>
  <c r="AF35" i="6"/>
  <c r="AG35" i="6"/>
  <c r="AH35" i="6"/>
  <c r="AI35" i="6"/>
  <c r="AJ35" i="6"/>
  <c r="AK35" i="6"/>
  <c r="AL35" i="6"/>
  <c r="AM35" i="6"/>
  <c r="AN35" i="6"/>
  <c r="AO35" i="6"/>
  <c r="G36" i="5"/>
  <c r="I36" i="5"/>
  <c r="K36" i="5"/>
  <c r="M36" i="5"/>
  <c r="O36" i="5"/>
  <c r="Q36" i="5"/>
  <c r="S36" i="5"/>
  <c r="U36" i="5"/>
  <c r="W36" i="5"/>
  <c r="Y36" i="5"/>
  <c r="Z36" i="5"/>
  <c r="AA36" i="5"/>
  <c r="AC36" i="5"/>
  <c r="AE36" i="5"/>
  <c r="AG36" i="5"/>
  <c r="AI36" i="5"/>
  <c r="AK36" i="5"/>
  <c r="AM36" i="5"/>
  <c r="AO36" i="5"/>
  <c r="F35" i="4"/>
  <c r="G35" i="4"/>
  <c r="H35" i="4"/>
  <c r="I35" i="4"/>
  <c r="J35" i="4"/>
  <c r="K35" i="4"/>
  <c r="L35" i="4"/>
  <c r="M35" i="4"/>
  <c r="N35" i="4"/>
  <c r="O35" i="4"/>
  <c r="P35" i="4"/>
  <c r="Q35" i="4"/>
  <c r="R35" i="4"/>
  <c r="S35" i="4"/>
  <c r="T35" i="4"/>
  <c r="U35" i="4"/>
  <c r="V35" i="4"/>
  <c r="W35" i="4"/>
  <c r="X35" i="4"/>
  <c r="Y35" i="4"/>
  <c r="Z35" i="4"/>
  <c r="AA35" i="4"/>
  <c r="AB35" i="4"/>
  <c r="AC35" i="4"/>
  <c r="AD35" i="4"/>
  <c r="AE35" i="4"/>
  <c r="AF35" i="4"/>
  <c r="AG35" i="4"/>
  <c r="AH35" i="4"/>
  <c r="AI35" i="4"/>
  <c r="AJ35" i="4"/>
  <c r="AK35" i="4"/>
  <c r="AL35" i="4"/>
  <c r="AM35" i="4"/>
  <c r="AN35" i="4"/>
  <c r="AO35" i="4"/>
  <c r="F36" i="3"/>
  <c r="G36" i="3"/>
  <c r="H36" i="3"/>
  <c r="I36" i="3"/>
  <c r="J36" i="3"/>
  <c r="K36" i="3"/>
  <c r="L36" i="3"/>
  <c r="M36" i="3"/>
  <c r="N36" i="3"/>
  <c r="O36" i="3"/>
  <c r="P36" i="3"/>
  <c r="Q36" i="3"/>
  <c r="R36" i="3"/>
  <c r="S36" i="3"/>
  <c r="T36" i="3"/>
  <c r="U36" i="3"/>
  <c r="V36" i="3"/>
  <c r="W36" i="3"/>
  <c r="X36" i="3"/>
  <c r="Y36" i="3"/>
  <c r="Z36" i="3"/>
  <c r="AA36" i="3"/>
  <c r="AB36" i="3"/>
  <c r="AC36" i="3"/>
  <c r="AD36" i="3"/>
  <c r="AE36" i="3"/>
  <c r="AF36" i="3"/>
  <c r="AG36" i="3"/>
  <c r="AH36" i="3"/>
  <c r="AI36" i="3"/>
  <c r="AJ36" i="3"/>
  <c r="AK36" i="3"/>
  <c r="AL36" i="3"/>
  <c r="AM36" i="3"/>
  <c r="AN36" i="3"/>
  <c r="AO36" i="3"/>
  <c r="AF4" i="3"/>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D33" i="2"/>
  <c r="E33" i="2"/>
  <c r="P4" i="2"/>
  <c r="E36" i="1"/>
  <c r="E37" i="1" s="1"/>
  <c r="G36" i="1"/>
  <c r="G37" i="1" s="1"/>
  <c r="I36" i="1"/>
  <c r="I37" i="1" s="1"/>
  <c r="K36" i="1"/>
  <c r="K37" i="1" s="1"/>
  <c r="M36" i="1"/>
  <c r="M37" i="1" s="1"/>
  <c r="O36" i="1"/>
  <c r="Q36" i="1"/>
  <c r="Q37" i="1" s="1"/>
  <c r="S36" i="1"/>
  <c r="S37" i="1" s="1"/>
  <c r="U36" i="1"/>
  <c r="U37" i="1" s="1"/>
  <c r="W36" i="1"/>
  <c r="W37" i="1" s="1"/>
  <c r="Y36" i="1"/>
  <c r="Y37" i="1" s="1"/>
  <c r="AA36" i="1"/>
  <c r="AC36" i="1"/>
  <c r="AC37" i="1" s="1"/>
  <c r="AE36" i="1"/>
  <c r="AG36" i="1"/>
  <c r="AG37" i="1" s="1"/>
  <c r="AI36" i="1"/>
  <c r="AI37" i="1" s="1"/>
  <c r="AK36" i="1"/>
  <c r="AK37" i="1" s="1"/>
  <c r="AM36" i="1"/>
  <c r="AM37" i="1" s="1"/>
  <c r="AO36" i="1"/>
  <c r="AO37" i="1" s="1"/>
  <c r="AF4" i="1"/>
  <c r="AF36" i="1" s="1"/>
  <c r="AD4" i="2"/>
  <c r="AF4" i="2"/>
  <c r="AB4" i="2"/>
  <c r="Z4" i="2"/>
  <c r="X4" i="2"/>
  <c r="V4" i="2"/>
  <c r="T4" i="2"/>
  <c r="R4" i="2"/>
  <c r="N4" i="2"/>
  <c r="E35" i="11"/>
  <c r="D35" i="11"/>
  <c r="E35" i="9"/>
  <c r="D35" i="9"/>
  <c r="E35" i="6"/>
  <c r="D35" i="6"/>
  <c r="D35" i="4"/>
  <c r="E35" i="4"/>
  <c r="E36" i="12"/>
  <c r="E36" i="10"/>
  <c r="E36" i="8"/>
  <c r="E36" i="7"/>
  <c r="E36" i="5"/>
  <c r="D36" i="3"/>
  <c r="E36" i="3"/>
  <c r="AE34" i="2" l="1"/>
  <c r="AE37" i="3" s="1"/>
  <c r="AE36" i="4" s="1"/>
  <c r="AE37" i="5" s="1"/>
  <c r="AE36" i="6" s="1"/>
  <c r="AE37" i="7" s="1"/>
  <c r="AE37" i="8" s="1"/>
  <c r="AE36" i="9" s="1"/>
  <c r="AE37" i="10" s="1"/>
  <c r="AE36" i="11" s="1"/>
  <c r="AE37" i="12" s="1"/>
  <c r="AA34" i="2"/>
  <c r="AA37" i="3" s="1"/>
  <c r="AA36" i="4" s="1"/>
  <c r="AA37" i="5" s="1"/>
  <c r="AA36" i="6" s="1"/>
  <c r="AA37" i="7" s="1"/>
  <c r="AA37" i="8" s="1"/>
  <c r="AA36" i="9" s="1"/>
  <c r="AA37" i="10" s="1"/>
  <c r="AA36" i="11" s="1"/>
  <c r="AA37" i="12" s="1"/>
  <c r="O34" i="2"/>
  <c r="O37" i="3" s="1"/>
  <c r="O36" i="4" s="1"/>
  <c r="O37" i="5" s="1"/>
  <c r="O36" i="6" s="1"/>
  <c r="O37" i="7" s="1"/>
  <c r="O37" i="8" s="1"/>
  <c r="O36" i="9" s="1"/>
  <c r="O37" i="10" s="1"/>
  <c r="O36" i="11" s="1"/>
  <c r="O37" i="12" s="1"/>
  <c r="AF34" i="2"/>
  <c r="AF37" i="3" s="1"/>
  <c r="AF36" i="4" s="1"/>
  <c r="AA37" i="1"/>
  <c r="E34" i="2"/>
  <c r="E37" i="3" s="1"/>
  <c r="E36" i="4" s="1"/>
  <c r="E37" i="5" s="1"/>
  <c r="E36" i="6" s="1"/>
  <c r="E37" i="7" s="1"/>
  <c r="E37" i="8" s="1"/>
  <c r="E36" i="9" s="1"/>
  <c r="E37" i="10" s="1"/>
  <c r="E36" i="11" s="1"/>
  <c r="E37" i="12" s="1"/>
  <c r="AK34" i="2"/>
  <c r="AK37" i="3" s="1"/>
  <c r="AK36" i="4" s="1"/>
  <c r="AK37" i="5" s="1"/>
  <c r="AK36" i="6" s="1"/>
  <c r="AK37" i="7" s="1"/>
  <c r="AK37" i="8" s="1"/>
  <c r="AK36" i="9" s="1"/>
  <c r="AK37" i="10" s="1"/>
  <c r="AK36" i="11" s="1"/>
  <c r="AK37" i="12" s="1"/>
  <c r="AM34" i="2"/>
  <c r="AM37" i="3" s="1"/>
  <c r="AM36" i="4" s="1"/>
  <c r="AM37" i="5" s="1"/>
  <c r="AM36" i="6" s="1"/>
  <c r="AM37" i="7" s="1"/>
  <c r="AM37" i="8" s="1"/>
  <c r="AM36" i="9" s="1"/>
  <c r="AM37" i="10" s="1"/>
  <c r="AM36" i="11" s="1"/>
  <c r="AM37" i="12" s="1"/>
  <c r="W34" i="2"/>
  <c r="W37" i="3" s="1"/>
  <c r="W36" i="4" s="1"/>
  <c r="W37" i="5" s="1"/>
  <c r="W36" i="6" s="1"/>
  <c r="W37" i="7" s="1"/>
  <c r="W37" i="8" s="1"/>
  <c r="W36" i="9" s="1"/>
  <c r="W37" i="10" s="1"/>
  <c r="W36" i="11" s="1"/>
  <c r="W37" i="12" s="1"/>
  <c r="K34" i="2"/>
  <c r="K37" i="3" s="1"/>
  <c r="K36" i="4" s="1"/>
  <c r="K37" i="5" s="1"/>
  <c r="K36" i="6" s="1"/>
  <c r="K37" i="7" s="1"/>
  <c r="K37" i="8" s="1"/>
  <c r="K36" i="9" s="1"/>
  <c r="K37" i="10" s="1"/>
  <c r="K36" i="11" s="1"/>
  <c r="K37" i="12" s="1"/>
  <c r="U34" i="2"/>
  <c r="U37" i="3" s="1"/>
  <c r="U36" i="4" s="1"/>
  <c r="U37" i="5" s="1"/>
  <c r="U36" i="6" s="1"/>
  <c r="U37" i="7" s="1"/>
  <c r="U37" i="8" s="1"/>
  <c r="U36" i="9" s="1"/>
  <c r="U37" i="10" s="1"/>
  <c r="U36" i="11" s="1"/>
  <c r="U37" i="12" s="1"/>
  <c r="I34" i="2"/>
  <c r="I37" i="3" s="1"/>
  <c r="I36" i="4" s="1"/>
  <c r="I37" i="5" s="1"/>
  <c r="I36" i="6" s="1"/>
  <c r="I37" i="7" s="1"/>
  <c r="I37" i="8" s="1"/>
  <c r="I36" i="9" s="1"/>
  <c r="I37" i="10" s="1"/>
  <c r="I36" i="11" s="1"/>
  <c r="I37" i="12" s="1"/>
  <c r="S34" i="2"/>
  <c r="S37" i="3" s="1"/>
  <c r="S36" i="4" s="1"/>
  <c r="S37" i="5" s="1"/>
  <c r="S36" i="6" s="1"/>
  <c r="S37" i="7" s="1"/>
  <c r="S37" i="8" s="1"/>
  <c r="S36" i="9" s="1"/>
  <c r="S37" i="10" s="1"/>
  <c r="S36" i="11" s="1"/>
  <c r="S37" i="12" s="1"/>
  <c r="G34" i="2"/>
  <c r="G37" i="3" s="1"/>
  <c r="G36" i="4" s="1"/>
  <c r="G37" i="5" s="1"/>
  <c r="G36" i="6" s="1"/>
  <c r="G37" i="7" s="1"/>
  <c r="G37" i="8" s="1"/>
  <c r="G36" i="9" s="1"/>
  <c r="G37" i="10" s="1"/>
  <c r="G36" i="11" s="1"/>
  <c r="G37" i="12" s="1"/>
  <c r="AI34" i="2"/>
  <c r="AI37" i="3" s="1"/>
  <c r="AI36" i="4" s="1"/>
  <c r="AI37" i="5" s="1"/>
  <c r="AI36" i="6" s="1"/>
  <c r="AI37" i="7" s="1"/>
  <c r="AI37" i="8" s="1"/>
  <c r="AI36" i="9" s="1"/>
  <c r="AI37" i="10" s="1"/>
  <c r="AI36" i="11" s="1"/>
  <c r="AI37" i="12" s="1"/>
  <c r="AG34" i="2"/>
  <c r="AG37" i="3" s="1"/>
  <c r="AG36" i="4" s="1"/>
  <c r="AG37" i="5" s="1"/>
  <c r="AG36" i="6" s="1"/>
  <c r="AG37" i="7" s="1"/>
  <c r="AG37" i="8" s="1"/>
  <c r="AG36" i="9" s="1"/>
  <c r="AG37" i="10" s="1"/>
  <c r="AG36" i="11" s="1"/>
  <c r="AG37" i="12" s="1"/>
  <c r="AC34" i="2"/>
  <c r="AC37" i="3" s="1"/>
  <c r="AC36" i="4" s="1"/>
  <c r="AC37" i="5" s="1"/>
  <c r="AC36" i="6" s="1"/>
  <c r="AC37" i="7" s="1"/>
  <c r="AC37" i="8" s="1"/>
  <c r="AC36" i="9" s="1"/>
  <c r="AC37" i="10" s="1"/>
  <c r="AC36" i="11" s="1"/>
  <c r="AC37" i="12" s="1"/>
  <c r="Q34" i="2"/>
  <c r="Q37" i="3" s="1"/>
  <c r="Q36" i="4" s="1"/>
  <c r="Q37" i="5" s="1"/>
  <c r="Q36" i="6" s="1"/>
  <c r="Q37" i="7" s="1"/>
  <c r="Q37" i="8" s="1"/>
  <c r="Q36" i="9" s="1"/>
  <c r="Q37" i="10" s="1"/>
  <c r="Q36" i="11" s="1"/>
  <c r="Q37" i="12" s="1"/>
  <c r="O37" i="1"/>
  <c r="Y34" i="2"/>
  <c r="Y37" i="3" s="1"/>
  <c r="Y36" i="4" s="1"/>
  <c r="Y37" i="5" s="1"/>
  <c r="Y36" i="6" s="1"/>
  <c r="Y37" i="7" s="1"/>
  <c r="Y37" i="8" s="1"/>
  <c r="Y36" i="9" s="1"/>
  <c r="Y37" i="10" s="1"/>
  <c r="Y36" i="11" s="1"/>
  <c r="Y37" i="12" s="1"/>
  <c r="M34" i="2"/>
  <c r="M37" i="3" s="1"/>
  <c r="M36" i="4" s="1"/>
  <c r="M37" i="5" s="1"/>
  <c r="M36" i="6" s="1"/>
  <c r="M37" i="7" s="1"/>
  <c r="M37" i="8" s="1"/>
  <c r="M36" i="9" s="1"/>
  <c r="M37" i="10" s="1"/>
  <c r="M36" i="11" s="1"/>
  <c r="M37" i="12" s="1"/>
  <c r="AO34" i="2"/>
  <c r="AO37" i="3" s="1"/>
  <c r="AO36" i="4" s="1"/>
  <c r="AO37" i="5" s="1"/>
  <c r="AO36" i="6" s="1"/>
  <c r="AO37" i="7" s="1"/>
  <c r="AO37" i="8" s="1"/>
  <c r="AO36" i="9" s="1"/>
  <c r="AO37" i="10" s="1"/>
  <c r="AO36" i="11" s="1"/>
  <c r="AO37" i="12" s="1"/>
  <c r="CG34" i="10"/>
  <c r="CF34" i="10"/>
  <c r="CG34" i="8"/>
  <c r="CF34" i="8"/>
  <c r="CG34" i="7"/>
  <c r="CF34" i="7"/>
  <c r="CG34" i="3"/>
  <c r="CF34" i="1"/>
  <c r="CG34" i="1"/>
  <c r="AN4" i="12" l="1"/>
  <c r="AN36" i="12" s="1"/>
  <c r="AL4" i="12"/>
  <c r="AL36" i="12" s="1"/>
  <c r="AN4" i="11"/>
  <c r="AL4" i="11"/>
  <c r="AN4" i="10"/>
  <c r="AN36" i="10" s="1"/>
  <c r="AL4" i="10"/>
  <c r="AL36" i="10" s="1"/>
  <c r="AN4" i="9"/>
  <c r="AL4" i="9"/>
  <c r="AN4" i="8"/>
  <c r="AN36" i="8" s="1"/>
  <c r="AL4" i="8"/>
  <c r="AL36" i="8" s="1"/>
  <c r="AN4" i="7"/>
  <c r="AN36" i="7" s="1"/>
  <c r="AL4" i="7"/>
  <c r="AL36" i="7" s="1"/>
  <c r="AN4" i="6"/>
  <c r="AL4" i="6"/>
  <c r="AN4" i="5"/>
  <c r="AN36" i="5" s="1"/>
  <c r="AL4" i="5"/>
  <c r="AL36" i="5" s="1"/>
  <c r="AN4" i="4"/>
  <c r="AL4" i="4"/>
  <c r="AN4" i="2"/>
  <c r="AL4" i="2"/>
  <c r="AN4" i="1"/>
  <c r="AL4" i="1"/>
  <c r="AN4" i="3"/>
  <c r="AL4" i="3"/>
  <c r="V4" i="12"/>
  <c r="V36" i="12" s="1"/>
  <c r="V4" i="11"/>
  <c r="V4" i="10"/>
  <c r="V36" i="10" s="1"/>
  <c r="V4" i="9"/>
  <c r="V4" i="8"/>
  <c r="V36" i="8" s="1"/>
  <c r="V4" i="7"/>
  <c r="V36" i="7" s="1"/>
  <c r="V4" i="6"/>
  <c r="V4" i="5"/>
  <c r="V36" i="5" s="1"/>
  <c r="V4" i="4"/>
  <c r="V4" i="1"/>
  <c r="V4" i="3"/>
  <c r="V36" i="1" l="1"/>
  <c r="AN36" i="1"/>
  <c r="AL36" i="1"/>
  <c r="CA37" i="1"/>
  <c r="BY37" i="1"/>
  <c r="BW37" i="1"/>
  <c r="BU37" i="1"/>
  <c r="BS37" i="1"/>
  <c r="BQ37" i="1"/>
  <c r="BO37" i="1"/>
  <c r="BM37" i="1"/>
  <c r="BK37" i="1"/>
  <c r="BI37" i="1"/>
  <c r="BG37" i="1"/>
  <c r="BE37" i="1"/>
  <c r="BC37" i="1"/>
  <c r="BA37" i="1"/>
  <c r="AY37" i="1"/>
  <c r="AW37" i="1"/>
  <c r="CA36" i="1"/>
  <c r="BY36" i="1"/>
  <c r="BW36" i="1"/>
  <c r="BU36" i="1"/>
  <c r="BS36" i="1"/>
  <c r="BQ36" i="1"/>
  <c r="BO36" i="1"/>
  <c r="BM36" i="1"/>
  <c r="BK36" i="1"/>
  <c r="BI36" i="1"/>
  <c r="BG36" i="1"/>
  <c r="BE36" i="1"/>
  <c r="BC36" i="1"/>
  <c r="BA36" i="1"/>
  <c r="AY36" i="1"/>
  <c r="AW36" i="1"/>
  <c r="CG35" i="1"/>
  <c r="CF35" i="1"/>
  <c r="CG33" i="1"/>
  <c r="CF33" i="1"/>
  <c r="CG32" i="1"/>
  <c r="CF32" i="1"/>
  <c r="CG31" i="1"/>
  <c r="CF31" i="1"/>
  <c r="CG30" i="1"/>
  <c r="CF30" i="1"/>
  <c r="CG29" i="1"/>
  <c r="CF29" i="1"/>
  <c r="CG28" i="1"/>
  <c r="CF28" i="1"/>
  <c r="CG27" i="1"/>
  <c r="CF27" i="1"/>
  <c r="CG26" i="1"/>
  <c r="CF26" i="1"/>
  <c r="CG25" i="1"/>
  <c r="CF25" i="1"/>
  <c r="CG24" i="1"/>
  <c r="CF24" i="1"/>
  <c r="CG23" i="1"/>
  <c r="CF23" i="1"/>
  <c r="CG22" i="1"/>
  <c r="CF22" i="1"/>
  <c r="CG21" i="1"/>
  <c r="CF21" i="1"/>
  <c r="CG20" i="1"/>
  <c r="CF20" i="1"/>
  <c r="CG19" i="1"/>
  <c r="CF19" i="1"/>
  <c r="CG18" i="1"/>
  <c r="CF18" i="1"/>
  <c r="CG17" i="1"/>
  <c r="CF17" i="1"/>
  <c r="CG16" i="1"/>
  <c r="CF16" i="1"/>
  <c r="CG15" i="1"/>
  <c r="CF15" i="1"/>
  <c r="CG14" i="1"/>
  <c r="CF14" i="1"/>
  <c r="CG13" i="1"/>
  <c r="CF13" i="1"/>
  <c r="CG12" i="1"/>
  <c r="CF12" i="1"/>
  <c r="CG11" i="1"/>
  <c r="CF11" i="1"/>
  <c r="CG10" i="1"/>
  <c r="CF10" i="1"/>
  <c r="CG9" i="1"/>
  <c r="CF9" i="1"/>
  <c r="CG8" i="1"/>
  <c r="CF8" i="1"/>
  <c r="CG7" i="1"/>
  <c r="CF7" i="1"/>
  <c r="CG6" i="1"/>
  <c r="CF6" i="1"/>
  <c r="CG5" i="1"/>
  <c r="CF5" i="1"/>
  <c r="CA4" i="1"/>
  <c r="BY4" i="1"/>
  <c r="BW4" i="1"/>
  <c r="BU4" i="1"/>
  <c r="BS4" i="1"/>
  <c r="BQ4" i="1"/>
  <c r="BO4" i="1"/>
  <c r="BM4" i="1"/>
  <c r="BK4" i="1"/>
  <c r="BI4" i="1"/>
  <c r="BG4" i="1"/>
  <c r="BE4" i="1"/>
  <c r="BC4" i="1"/>
  <c r="BA4" i="1"/>
  <c r="AY4" i="1"/>
  <c r="AW4" i="1"/>
  <c r="AJ4" i="1"/>
  <c r="AH4" i="1"/>
  <c r="AF37" i="1"/>
  <c r="AB4" i="1"/>
  <c r="Z4" i="1"/>
  <c r="X4" i="1"/>
  <c r="T4" i="1"/>
  <c r="R4" i="1"/>
  <c r="P4" i="1"/>
  <c r="N4" i="1"/>
  <c r="L4" i="1"/>
  <c r="J4" i="1"/>
  <c r="H4" i="1"/>
  <c r="F4" i="1"/>
  <c r="D4" i="1"/>
  <c r="AD4" i="1"/>
  <c r="AD36" i="1" s="1"/>
  <c r="AD34" i="2" s="1"/>
  <c r="AD37" i="3" s="1"/>
  <c r="AD36" i="4" s="1"/>
  <c r="CA34" i="2"/>
  <c r="BY34" i="2"/>
  <c r="BW34" i="2"/>
  <c r="BU34" i="2"/>
  <c r="BS34" i="2"/>
  <c r="BQ34" i="2"/>
  <c r="BO34" i="2"/>
  <c r="BM34" i="2"/>
  <c r="BK34" i="2"/>
  <c r="BI34" i="2"/>
  <c r="BG34" i="2"/>
  <c r="BE34" i="2"/>
  <c r="BC34" i="2"/>
  <c r="BA34" i="2"/>
  <c r="AY34" i="2"/>
  <c r="AW34" i="2"/>
  <c r="CA33" i="2"/>
  <c r="BY33" i="2"/>
  <c r="BW33" i="2"/>
  <c r="BU33" i="2"/>
  <c r="BS33" i="2"/>
  <c r="BQ33" i="2"/>
  <c r="BO33" i="2"/>
  <c r="BM33" i="2"/>
  <c r="BK33" i="2"/>
  <c r="BI33" i="2"/>
  <c r="BG33" i="2"/>
  <c r="BE33" i="2"/>
  <c r="BC33" i="2"/>
  <c r="BA33" i="2"/>
  <c r="AY33" i="2"/>
  <c r="AW33" i="2"/>
  <c r="CG32" i="2"/>
  <c r="CF32" i="2"/>
  <c r="CG31" i="2"/>
  <c r="CF31" i="2"/>
  <c r="CG30" i="2"/>
  <c r="CF30" i="2"/>
  <c r="CG29" i="2"/>
  <c r="CF29" i="2"/>
  <c r="CG28" i="2"/>
  <c r="CF28" i="2"/>
  <c r="CG27" i="2"/>
  <c r="CF27" i="2"/>
  <c r="CG26" i="2"/>
  <c r="CF26" i="2"/>
  <c r="CG25" i="2"/>
  <c r="CF25" i="2"/>
  <c r="CG24" i="2"/>
  <c r="CF24" i="2"/>
  <c r="CG23" i="2"/>
  <c r="CF23" i="2"/>
  <c r="CG22" i="2"/>
  <c r="CF22" i="2"/>
  <c r="CG21" i="2"/>
  <c r="CF21" i="2"/>
  <c r="CG20" i="2"/>
  <c r="CF20" i="2"/>
  <c r="CG19" i="2"/>
  <c r="CF19" i="2"/>
  <c r="CG18" i="2"/>
  <c r="CF18" i="2"/>
  <c r="CG17" i="2"/>
  <c r="CF17" i="2"/>
  <c r="CG16" i="2"/>
  <c r="CF16" i="2"/>
  <c r="CG15" i="2"/>
  <c r="CF15" i="2"/>
  <c r="CG14" i="2"/>
  <c r="CF14" i="2"/>
  <c r="CG13" i="2"/>
  <c r="CF13" i="2"/>
  <c r="CG12" i="2"/>
  <c r="CF12" i="2"/>
  <c r="CG11" i="2"/>
  <c r="CF11" i="2"/>
  <c r="CG10" i="2"/>
  <c r="CF10" i="2"/>
  <c r="CG9" i="2"/>
  <c r="CF9" i="2"/>
  <c r="CG8" i="2"/>
  <c r="CF8" i="2"/>
  <c r="CG7" i="2"/>
  <c r="CF7" i="2"/>
  <c r="CG6" i="2"/>
  <c r="CF6" i="2"/>
  <c r="CG5" i="2"/>
  <c r="CF5" i="2"/>
  <c r="CA4" i="2"/>
  <c r="BY4" i="2"/>
  <c r="BW4" i="2"/>
  <c r="BS4" i="2"/>
  <c r="BQ4" i="2"/>
  <c r="BO4" i="2"/>
  <c r="BM4" i="2"/>
  <c r="BK4" i="2"/>
  <c r="BI4" i="2"/>
  <c r="BG4" i="2"/>
  <c r="BE4" i="2"/>
  <c r="BC4" i="2"/>
  <c r="BA4" i="2"/>
  <c r="AY4" i="2"/>
  <c r="AW4" i="2"/>
  <c r="AJ4" i="2"/>
  <c r="AH4" i="2"/>
  <c r="L4" i="2"/>
  <c r="J4" i="2"/>
  <c r="H4" i="2"/>
  <c r="F4" i="2"/>
  <c r="D4" i="2"/>
  <c r="CA37" i="3"/>
  <c r="BY37" i="3"/>
  <c r="BW37" i="3"/>
  <c r="BS37" i="3"/>
  <c r="BQ37" i="3"/>
  <c r="BO37" i="3"/>
  <c r="BM37" i="3"/>
  <c r="BK37" i="3"/>
  <c r="BI37" i="3"/>
  <c r="BG37" i="3"/>
  <c r="BE37" i="3"/>
  <c r="BC37" i="3"/>
  <c r="BA37" i="3"/>
  <c r="AY37" i="3"/>
  <c r="AW37" i="3"/>
  <c r="CA36" i="3"/>
  <c r="BY36" i="3"/>
  <c r="BW36" i="3"/>
  <c r="BS36" i="3"/>
  <c r="BQ36" i="3"/>
  <c r="BO36" i="3"/>
  <c r="BM36" i="3"/>
  <c r="BK36" i="3"/>
  <c r="BI36" i="3"/>
  <c r="BG36" i="3"/>
  <c r="BE36" i="3"/>
  <c r="BC36" i="3"/>
  <c r="BA36" i="3"/>
  <c r="AY36" i="3"/>
  <c r="AW36" i="3"/>
  <c r="CG35" i="3"/>
  <c r="CG33" i="3"/>
  <c r="CG32" i="3"/>
  <c r="CG31" i="3"/>
  <c r="CG30" i="3"/>
  <c r="CG29" i="3"/>
  <c r="CG28" i="3"/>
  <c r="CG27" i="3"/>
  <c r="CG26" i="3"/>
  <c r="CG25" i="3"/>
  <c r="CG24" i="3"/>
  <c r="CG23" i="3"/>
  <c r="CG22" i="3"/>
  <c r="CG21" i="3"/>
  <c r="CG20" i="3"/>
  <c r="CG19" i="3"/>
  <c r="CG18" i="3"/>
  <c r="CG17" i="3"/>
  <c r="CF17" i="3"/>
  <c r="CG16" i="3"/>
  <c r="CG15" i="3"/>
  <c r="CF15" i="3"/>
  <c r="CG14" i="3"/>
  <c r="CF14" i="3"/>
  <c r="CG13" i="3"/>
  <c r="CF13" i="3"/>
  <c r="CG12" i="3"/>
  <c r="CF12" i="3"/>
  <c r="CG11" i="3"/>
  <c r="CF11" i="3"/>
  <c r="CG10" i="3"/>
  <c r="CF10" i="3"/>
  <c r="CG9" i="3"/>
  <c r="CF9" i="3"/>
  <c r="CG8" i="3"/>
  <c r="CF8" i="3"/>
  <c r="CG7" i="3"/>
  <c r="CF7" i="3"/>
  <c r="CG6" i="3"/>
  <c r="CF6" i="3"/>
  <c r="CG5" i="3"/>
  <c r="CF5" i="3"/>
  <c r="CA4" i="3"/>
  <c r="BY4" i="3"/>
  <c r="BW4" i="3"/>
  <c r="BS4" i="3"/>
  <c r="BQ4" i="3"/>
  <c r="BO4" i="3"/>
  <c r="BM4" i="3"/>
  <c r="BK4" i="3"/>
  <c r="BI4" i="3"/>
  <c r="BG4" i="3"/>
  <c r="BE4" i="3"/>
  <c r="BC4" i="3"/>
  <c r="BA4" i="3"/>
  <c r="AY4" i="3"/>
  <c r="AW4" i="3"/>
  <c r="AJ4" i="3"/>
  <c r="AH4" i="3"/>
  <c r="AB4" i="3"/>
  <c r="X4" i="3"/>
  <c r="T4" i="3"/>
  <c r="R4" i="3"/>
  <c r="P4" i="3"/>
  <c r="N4" i="3"/>
  <c r="L4" i="3"/>
  <c r="J4" i="3"/>
  <c r="H4" i="3"/>
  <c r="F4" i="3"/>
  <c r="D4" i="3"/>
  <c r="AD4" i="3"/>
  <c r="CA36" i="4"/>
  <c r="BY36" i="4"/>
  <c r="BW36" i="4"/>
  <c r="BU36" i="4"/>
  <c r="BS36" i="4"/>
  <c r="BQ36" i="4"/>
  <c r="BO36" i="4"/>
  <c r="BM36" i="4"/>
  <c r="BK36" i="4"/>
  <c r="BI36" i="4"/>
  <c r="BG36" i="4"/>
  <c r="BE36" i="4"/>
  <c r="BC36" i="4"/>
  <c r="BA36" i="4"/>
  <c r="AY36" i="4"/>
  <c r="AW36" i="4"/>
  <c r="CA35" i="4"/>
  <c r="BY35" i="4"/>
  <c r="BW35" i="4"/>
  <c r="BU35" i="4"/>
  <c r="BS35" i="4"/>
  <c r="BQ35" i="4"/>
  <c r="BO35" i="4"/>
  <c r="BM35" i="4"/>
  <c r="BK35" i="4"/>
  <c r="BI35" i="4"/>
  <c r="BG35" i="4"/>
  <c r="BE35" i="4"/>
  <c r="BC35" i="4"/>
  <c r="BA35" i="4"/>
  <c r="AY35" i="4"/>
  <c r="AW35" i="4"/>
  <c r="CG34" i="4"/>
  <c r="CF34" i="4"/>
  <c r="CG33" i="4"/>
  <c r="CF33" i="4"/>
  <c r="CG32" i="4"/>
  <c r="CF32" i="4"/>
  <c r="CG31" i="4"/>
  <c r="CF31" i="4"/>
  <c r="CG30" i="4"/>
  <c r="CF30" i="4"/>
  <c r="CG29" i="4"/>
  <c r="CF29" i="4"/>
  <c r="CG28" i="4"/>
  <c r="CF28" i="4"/>
  <c r="CG27" i="4"/>
  <c r="CF27" i="4"/>
  <c r="CG26" i="4"/>
  <c r="CF26" i="4"/>
  <c r="CG25" i="4"/>
  <c r="CF25" i="4"/>
  <c r="CG24" i="4"/>
  <c r="CF24" i="4"/>
  <c r="CG23" i="4"/>
  <c r="CF23" i="4"/>
  <c r="CG22" i="4"/>
  <c r="CF22" i="4"/>
  <c r="CG21" i="4"/>
  <c r="CF21" i="4"/>
  <c r="CG20" i="4"/>
  <c r="CF20" i="4"/>
  <c r="CG19" i="4"/>
  <c r="CF19" i="4"/>
  <c r="CG18" i="4"/>
  <c r="CF18" i="4"/>
  <c r="CG17" i="4"/>
  <c r="CF17" i="4"/>
  <c r="CG16" i="4"/>
  <c r="CF16" i="4"/>
  <c r="CG15" i="4"/>
  <c r="CF15" i="4"/>
  <c r="CG14" i="4"/>
  <c r="CF14" i="4"/>
  <c r="CG13" i="4"/>
  <c r="CF13" i="4"/>
  <c r="CG12" i="4"/>
  <c r="CF12" i="4"/>
  <c r="CG11" i="4"/>
  <c r="CF11" i="4"/>
  <c r="CG10" i="4"/>
  <c r="CF10" i="4"/>
  <c r="CG9" i="4"/>
  <c r="CF9" i="4"/>
  <c r="CG8" i="4"/>
  <c r="CF8" i="4"/>
  <c r="CG7" i="4"/>
  <c r="CF7" i="4"/>
  <c r="CG6" i="4"/>
  <c r="CF6" i="4"/>
  <c r="CG5" i="4"/>
  <c r="CF5" i="4"/>
  <c r="CA4" i="4"/>
  <c r="BY4" i="4"/>
  <c r="BW4" i="4"/>
  <c r="BU4" i="4"/>
  <c r="BS4" i="4"/>
  <c r="BQ4" i="4"/>
  <c r="BO4" i="4"/>
  <c r="BM4" i="4"/>
  <c r="BK4" i="4"/>
  <c r="BI4" i="4"/>
  <c r="BG4" i="4"/>
  <c r="BE4" i="4"/>
  <c r="BC4" i="4"/>
  <c r="BA4" i="4"/>
  <c r="AY4" i="4"/>
  <c r="AW4" i="4"/>
  <c r="AJ4" i="4"/>
  <c r="AH4" i="4"/>
  <c r="AF4" i="4"/>
  <c r="AB4" i="4"/>
  <c r="X4" i="4"/>
  <c r="T4" i="4"/>
  <c r="R4" i="4"/>
  <c r="P4" i="4"/>
  <c r="N4" i="4"/>
  <c r="L4" i="4"/>
  <c r="J4" i="4"/>
  <c r="H4" i="4"/>
  <c r="F4" i="4"/>
  <c r="D4" i="4"/>
  <c r="AD4" i="4"/>
  <c r="CA37" i="5"/>
  <c r="BY37" i="5"/>
  <c r="BW37" i="5"/>
  <c r="BU37" i="5"/>
  <c r="BS37" i="5"/>
  <c r="BQ37" i="5"/>
  <c r="BO37" i="5"/>
  <c r="BM37" i="5"/>
  <c r="BK37" i="5"/>
  <c r="BI37" i="5"/>
  <c r="BG37" i="5"/>
  <c r="BE37" i="5"/>
  <c r="BC37" i="5"/>
  <c r="BA37" i="5"/>
  <c r="AY37" i="5"/>
  <c r="AW37" i="5"/>
  <c r="CA36" i="5"/>
  <c r="BY36" i="5"/>
  <c r="BW36" i="5"/>
  <c r="BU36" i="5"/>
  <c r="BS36" i="5"/>
  <c r="BQ36" i="5"/>
  <c r="BO36" i="5"/>
  <c r="BM36" i="5"/>
  <c r="BK36" i="5"/>
  <c r="BI36" i="5"/>
  <c r="BG36" i="5"/>
  <c r="BE36" i="5"/>
  <c r="BC36" i="5"/>
  <c r="BA36" i="5"/>
  <c r="AY36" i="5"/>
  <c r="AW36" i="5"/>
  <c r="CG35" i="5"/>
  <c r="CF35" i="5"/>
  <c r="CG33" i="5"/>
  <c r="CF33" i="5"/>
  <c r="CG32" i="5"/>
  <c r="CF32" i="5"/>
  <c r="CG31" i="5"/>
  <c r="CF31" i="5"/>
  <c r="CG30" i="5"/>
  <c r="CF30" i="5"/>
  <c r="CG29" i="5"/>
  <c r="CF29" i="5"/>
  <c r="CG28" i="5"/>
  <c r="CF28" i="5"/>
  <c r="CG27" i="5"/>
  <c r="CF27" i="5"/>
  <c r="CG26" i="5"/>
  <c r="CF26" i="5"/>
  <c r="CG25" i="5"/>
  <c r="CF25" i="5"/>
  <c r="CG24" i="5"/>
  <c r="CF24" i="5"/>
  <c r="CG23" i="5"/>
  <c r="CF23" i="5"/>
  <c r="CG22" i="5"/>
  <c r="CF22" i="5"/>
  <c r="CG21" i="5"/>
  <c r="CF21" i="5"/>
  <c r="CG20" i="5"/>
  <c r="CF20" i="5"/>
  <c r="CG19" i="5"/>
  <c r="CF19" i="5"/>
  <c r="CG18" i="5"/>
  <c r="CF18" i="5"/>
  <c r="CG17" i="5"/>
  <c r="CF17" i="5"/>
  <c r="CG16" i="5"/>
  <c r="CF16" i="5"/>
  <c r="CG15" i="5"/>
  <c r="CF15" i="5"/>
  <c r="CG14" i="5"/>
  <c r="CF14" i="5"/>
  <c r="CG13" i="5"/>
  <c r="CF13" i="5"/>
  <c r="CG12" i="5"/>
  <c r="CF12" i="5"/>
  <c r="CG11" i="5"/>
  <c r="CF11" i="5"/>
  <c r="CG10" i="5"/>
  <c r="CF10" i="5"/>
  <c r="CG9" i="5"/>
  <c r="CF9" i="5"/>
  <c r="CG8" i="5"/>
  <c r="CF8" i="5"/>
  <c r="CG7" i="5"/>
  <c r="CF7" i="5"/>
  <c r="CG6" i="5"/>
  <c r="CF6" i="5"/>
  <c r="CG5" i="5"/>
  <c r="CF5" i="5"/>
  <c r="CA4" i="5"/>
  <c r="BY4" i="5"/>
  <c r="BW4" i="5"/>
  <c r="BU4" i="5"/>
  <c r="BS4" i="5"/>
  <c r="BQ4" i="5"/>
  <c r="BO4" i="5"/>
  <c r="BM4" i="5"/>
  <c r="BK4" i="5"/>
  <c r="BI4" i="5"/>
  <c r="BG4" i="5"/>
  <c r="BE4" i="5"/>
  <c r="BC4" i="5"/>
  <c r="BA4" i="5"/>
  <c r="AY4" i="5"/>
  <c r="AW4" i="5"/>
  <c r="AJ4" i="5"/>
  <c r="AJ36" i="5" s="1"/>
  <c r="AH4" i="5"/>
  <c r="AH36" i="5" s="1"/>
  <c r="AF4" i="5"/>
  <c r="AF36" i="5" s="1"/>
  <c r="AF37" i="5" s="1"/>
  <c r="AF36" i="6" s="1"/>
  <c r="AF37" i="7" s="1"/>
  <c r="AB4" i="5"/>
  <c r="AB36" i="5" s="1"/>
  <c r="X4" i="5"/>
  <c r="X36" i="5" s="1"/>
  <c r="T4" i="5"/>
  <c r="T36" i="5" s="1"/>
  <c r="R4" i="5"/>
  <c r="R36" i="5" s="1"/>
  <c r="P4" i="5"/>
  <c r="P36" i="5" s="1"/>
  <c r="N4" i="5"/>
  <c r="N36" i="5" s="1"/>
  <c r="L4" i="5"/>
  <c r="L36" i="5" s="1"/>
  <c r="J4" i="5"/>
  <c r="J36" i="5" s="1"/>
  <c r="H4" i="5"/>
  <c r="H36" i="5" s="1"/>
  <c r="F4" i="5"/>
  <c r="F36" i="5" s="1"/>
  <c r="D4" i="5"/>
  <c r="D36" i="5" s="1"/>
  <c r="AD4" i="5"/>
  <c r="AD36" i="5" s="1"/>
  <c r="CA36" i="6"/>
  <c r="BY36" i="6"/>
  <c r="BW36" i="6"/>
  <c r="BU36" i="6"/>
  <c r="BS36" i="6"/>
  <c r="BQ36" i="6"/>
  <c r="BO36" i="6"/>
  <c r="BM36" i="6"/>
  <c r="BK36" i="6"/>
  <c r="BI36" i="6"/>
  <c r="BG36" i="6"/>
  <c r="BE36" i="6"/>
  <c r="BC36" i="6"/>
  <c r="BA36" i="6"/>
  <c r="AY36" i="6"/>
  <c r="AW36" i="6"/>
  <c r="CA35" i="6"/>
  <c r="BY35" i="6"/>
  <c r="BW35" i="6"/>
  <c r="BU35" i="6"/>
  <c r="BS35" i="6"/>
  <c r="BQ35" i="6"/>
  <c r="BO35" i="6"/>
  <c r="BM35" i="6"/>
  <c r="BK35" i="6"/>
  <c r="BI35" i="6"/>
  <c r="BG35" i="6"/>
  <c r="BE35" i="6"/>
  <c r="BC35" i="6"/>
  <c r="BA35" i="6"/>
  <c r="AY35" i="6"/>
  <c r="AW35" i="6"/>
  <c r="CG34" i="6"/>
  <c r="CF34" i="6"/>
  <c r="CG33" i="6"/>
  <c r="CF33" i="6"/>
  <c r="CG32" i="6"/>
  <c r="CF32" i="6"/>
  <c r="CG31" i="6"/>
  <c r="CF31" i="6"/>
  <c r="CG30" i="6"/>
  <c r="CF30" i="6"/>
  <c r="CG29" i="6"/>
  <c r="CF29" i="6"/>
  <c r="CG28" i="6"/>
  <c r="CF28" i="6"/>
  <c r="CG27" i="6"/>
  <c r="CF27" i="6"/>
  <c r="CG26" i="6"/>
  <c r="CF26" i="6"/>
  <c r="CG25" i="6"/>
  <c r="CF25" i="6"/>
  <c r="CG24" i="6"/>
  <c r="CF24" i="6"/>
  <c r="CG23" i="6"/>
  <c r="CF23" i="6"/>
  <c r="CG22" i="6"/>
  <c r="CF22" i="6"/>
  <c r="CG21" i="6"/>
  <c r="CF21" i="6"/>
  <c r="CG20" i="6"/>
  <c r="CF20" i="6"/>
  <c r="CG19" i="6"/>
  <c r="CF19" i="6"/>
  <c r="CG18" i="6"/>
  <c r="CF18" i="6"/>
  <c r="CG17" i="6"/>
  <c r="CF17" i="6"/>
  <c r="CG16" i="6"/>
  <c r="CF16" i="6"/>
  <c r="CG15" i="6"/>
  <c r="CF15" i="6"/>
  <c r="CG14" i="6"/>
  <c r="CF14" i="6"/>
  <c r="CG13" i="6"/>
  <c r="CF13" i="6"/>
  <c r="CG12" i="6"/>
  <c r="CF12" i="6"/>
  <c r="CG11" i="6"/>
  <c r="CF11" i="6"/>
  <c r="CG10" i="6"/>
  <c r="CF10" i="6"/>
  <c r="CG9" i="6"/>
  <c r="CF9" i="6"/>
  <c r="CG8" i="6"/>
  <c r="CF8" i="6"/>
  <c r="CG7" i="6"/>
  <c r="CF7" i="6"/>
  <c r="CG6" i="6"/>
  <c r="CF6" i="6"/>
  <c r="CG5" i="6"/>
  <c r="CF5" i="6"/>
  <c r="CA4" i="6"/>
  <c r="BY4" i="6"/>
  <c r="BW4" i="6"/>
  <c r="BU4" i="6"/>
  <c r="BS4" i="6"/>
  <c r="BQ4" i="6"/>
  <c r="BO4" i="6"/>
  <c r="BM4" i="6"/>
  <c r="BK4" i="6"/>
  <c r="BI4" i="6"/>
  <c r="BG4" i="6"/>
  <c r="BE4" i="6"/>
  <c r="BC4" i="6"/>
  <c r="BA4" i="6"/>
  <c r="AY4" i="6"/>
  <c r="AW4" i="6"/>
  <c r="AJ4" i="6"/>
  <c r="AH4" i="6"/>
  <c r="AF4" i="6"/>
  <c r="AB4" i="6"/>
  <c r="X4" i="6"/>
  <c r="T4" i="6"/>
  <c r="R4" i="6"/>
  <c r="P4" i="6"/>
  <c r="N4" i="6"/>
  <c r="L4" i="6"/>
  <c r="J4" i="6"/>
  <c r="H4" i="6"/>
  <c r="F4" i="6"/>
  <c r="D4" i="6"/>
  <c r="AD4" i="6"/>
  <c r="CA37" i="7"/>
  <c r="BY37" i="7"/>
  <c r="BW37" i="7"/>
  <c r="BU37" i="7"/>
  <c r="BS37" i="7"/>
  <c r="BQ37" i="7"/>
  <c r="BO37" i="7"/>
  <c r="BM37" i="7"/>
  <c r="BK37" i="7"/>
  <c r="BI37" i="7"/>
  <c r="BG37" i="7"/>
  <c r="BE37" i="7"/>
  <c r="BC37" i="7"/>
  <c r="BA37" i="7"/>
  <c r="AY37" i="7"/>
  <c r="AW37" i="7"/>
  <c r="CA36" i="7"/>
  <c r="BY36" i="7"/>
  <c r="BW36" i="7"/>
  <c r="BU36" i="7"/>
  <c r="BS36" i="7"/>
  <c r="BQ36" i="7"/>
  <c r="BO36" i="7"/>
  <c r="BM36" i="7"/>
  <c r="BK36" i="7"/>
  <c r="BI36" i="7"/>
  <c r="BG36" i="7"/>
  <c r="BE36" i="7"/>
  <c r="BC36" i="7"/>
  <c r="BA36" i="7"/>
  <c r="AY36" i="7"/>
  <c r="AW36" i="7"/>
  <c r="CG35" i="7"/>
  <c r="CF35" i="7"/>
  <c r="CG33" i="7"/>
  <c r="CF33" i="7"/>
  <c r="CG32" i="7"/>
  <c r="CF32" i="7"/>
  <c r="CG31" i="7"/>
  <c r="CF31" i="7"/>
  <c r="CG30" i="7"/>
  <c r="CF30" i="7"/>
  <c r="CG29" i="7"/>
  <c r="CF29" i="7"/>
  <c r="CG28" i="7"/>
  <c r="CF28" i="7"/>
  <c r="CG27" i="7"/>
  <c r="CF27" i="7"/>
  <c r="CG26" i="7"/>
  <c r="CF26" i="7"/>
  <c r="CG25" i="7"/>
  <c r="CF25" i="7"/>
  <c r="CG24" i="7"/>
  <c r="CF24" i="7"/>
  <c r="CG23" i="7"/>
  <c r="CF23" i="7"/>
  <c r="CG22" i="7"/>
  <c r="CF22" i="7"/>
  <c r="CG21" i="7"/>
  <c r="CF21" i="7"/>
  <c r="CG20" i="7"/>
  <c r="CF20" i="7"/>
  <c r="CG19" i="7"/>
  <c r="CF19" i="7"/>
  <c r="CG18" i="7"/>
  <c r="CF18" i="7"/>
  <c r="CG17" i="7"/>
  <c r="CF17" i="7"/>
  <c r="CG16" i="7"/>
  <c r="CF16" i="7"/>
  <c r="CG15" i="7"/>
  <c r="CF15" i="7"/>
  <c r="CG14" i="7"/>
  <c r="CF14" i="7"/>
  <c r="CG13" i="7"/>
  <c r="CF13" i="7"/>
  <c r="CG12" i="7"/>
  <c r="CF12" i="7"/>
  <c r="CG11" i="7"/>
  <c r="CF11" i="7"/>
  <c r="CG10" i="7"/>
  <c r="CF10" i="7"/>
  <c r="CG9" i="7"/>
  <c r="CF9" i="7"/>
  <c r="CG8" i="7"/>
  <c r="CF8" i="7"/>
  <c r="CG7" i="7"/>
  <c r="CF7" i="7"/>
  <c r="CG6" i="7"/>
  <c r="CF6" i="7"/>
  <c r="CG5" i="7"/>
  <c r="CF5" i="7"/>
  <c r="CA4" i="7"/>
  <c r="BY4" i="7"/>
  <c r="BW4" i="7"/>
  <c r="BU4" i="7"/>
  <c r="BS4" i="7"/>
  <c r="BQ4" i="7"/>
  <c r="BO4" i="7"/>
  <c r="BM4" i="7"/>
  <c r="BK4" i="7"/>
  <c r="BI4" i="7"/>
  <c r="BG4" i="7"/>
  <c r="BE4" i="7"/>
  <c r="BC4" i="7"/>
  <c r="BA4" i="7"/>
  <c r="AY4" i="7"/>
  <c r="AW4" i="7"/>
  <c r="AJ4" i="7"/>
  <c r="AJ36" i="7" s="1"/>
  <c r="AH4" i="7"/>
  <c r="AH36" i="7" s="1"/>
  <c r="AB4" i="7"/>
  <c r="AB36" i="7" s="1"/>
  <c r="X4" i="7"/>
  <c r="X36" i="7" s="1"/>
  <c r="T4" i="7"/>
  <c r="T36" i="7" s="1"/>
  <c r="R4" i="7"/>
  <c r="R36" i="7" s="1"/>
  <c r="P4" i="7"/>
  <c r="P36" i="7" s="1"/>
  <c r="N4" i="7"/>
  <c r="N36" i="7" s="1"/>
  <c r="L4" i="7"/>
  <c r="L36" i="7" s="1"/>
  <c r="J4" i="7"/>
  <c r="J36" i="7" s="1"/>
  <c r="H4" i="7"/>
  <c r="H36" i="7" s="1"/>
  <c r="F4" i="7"/>
  <c r="F36" i="7" s="1"/>
  <c r="D4" i="7"/>
  <c r="D36" i="7" s="1"/>
  <c r="AD4" i="7"/>
  <c r="AD36" i="7" s="1"/>
  <c r="CA37" i="8"/>
  <c r="BY37" i="8"/>
  <c r="BW37" i="8"/>
  <c r="BU37" i="8"/>
  <c r="BS37" i="8"/>
  <c r="BQ37" i="8"/>
  <c r="BO37" i="8"/>
  <c r="BM37" i="8"/>
  <c r="BK37" i="8"/>
  <c r="BI37" i="8"/>
  <c r="BG37" i="8"/>
  <c r="BE37" i="8"/>
  <c r="BC37" i="8"/>
  <c r="BA37" i="8"/>
  <c r="AY37" i="8"/>
  <c r="AW37" i="8"/>
  <c r="CA36" i="8"/>
  <c r="BY36" i="8"/>
  <c r="BW36" i="8"/>
  <c r="BU36" i="8"/>
  <c r="BS36" i="8"/>
  <c r="BQ36" i="8"/>
  <c r="BO36" i="8"/>
  <c r="BM36" i="8"/>
  <c r="BK36" i="8"/>
  <c r="BI36" i="8"/>
  <c r="BG36" i="8"/>
  <c r="BE36" i="8"/>
  <c r="BC36" i="8"/>
  <c r="BA36" i="8"/>
  <c r="AY36" i="8"/>
  <c r="AW36" i="8"/>
  <c r="CG35" i="8"/>
  <c r="CF35" i="8"/>
  <c r="CG33" i="8"/>
  <c r="CF33" i="8"/>
  <c r="CG32" i="8"/>
  <c r="CF32" i="8"/>
  <c r="CG31" i="8"/>
  <c r="CF31" i="8"/>
  <c r="CG30" i="8"/>
  <c r="CF30" i="8"/>
  <c r="CG29" i="8"/>
  <c r="CF29" i="8"/>
  <c r="CG28" i="8"/>
  <c r="CF28" i="8"/>
  <c r="CG27" i="8"/>
  <c r="CF27" i="8"/>
  <c r="CG26" i="8"/>
  <c r="CF26" i="8"/>
  <c r="CG25" i="8"/>
  <c r="CF25" i="8"/>
  <c r="CG24" i="8"/>
  <c r="CF24" i="8"/>
  <c r="CG23" i="8"/>
  <c r="CF23" i="8"/>
  <c r="CG22" i="8"/>
  <c r="CF22" i="8"/>
  <c r="CG21" i="8"/>
  <c r="CF21" i="8"/>
  <c r="CG20" i="8"/>
  <c r="CF20" i="8"/>
  <c r="CG19" i="8"/>
  <c r="CF19" i="8"/>
  <c r="CG18" i="8"/>
  <c r="CF18" i="8"/>
  <c r="CG17" i="8"/>
  <c r="CF17" i="8"/>
  <c r="CG16" i="8"/>
  <c r="CF16" i="8"/>
  <c r="CG15" i="8"/>
  <c r="CF15" i="8"/>
  <c r="CG14" i="8"/>
  <c r="CF14" i="8"/>
  <c r="CG13" i="8"/>
  <c r="CF13" i="8"/>
  <c r="CG12" i="8"/>
  <c r="CF12" i="8"/>
  <c r="CG11" i="8"/>
  <c r="CF11" i="8"/>
  <c r="CG10" i="8"/>
  <c r="CF10" i="8"/>
  <c r="CG9" i="8"/>
  <c r="CF9" i="8"/>
  <c r="CG8" i="8"/>
  <c r="CF8" i="8"/>
  <c r="CG7" i="8"/>
  <c r="CF7" i="8"/>
  <c r="CG6" i="8"/>
  <c r="CF6" i="8"/>
  <c r="CG5" i="8"/>
  <c r="CF5" i="8"/>
  <c r="CA4" i="8"/>
  <c r="BY4" i="8"/>
  <c r="BW4" i="8"/>
  <c r="BU4" i="8"/>
  <c r="BS4" i="8"/>
  <c r="BQ4" i="8"/>
  <c r="BO4" i="8"/>
  <c r="BM4" i="8"/>
  <c r="BK4" i="8"/>
  <c r="BI4" i="8"/>
  <c r="BG4" i="8"/>
  <c r="BE4" i="8"/>
  <c r="BC4" i="8"/>
  <c r="BA4" i="8"/>
  <c r="AY4" i="8"/>
  <c r="AW4" i="8"/>
  <c r="AJ4" i="8"/>
  <c r="AJ36" i="8" s="1"/>
  <c r="AH4" i="8"/>
  <c r="AH36" i="8" s="1"/>
  <c r="AF4" i="8"/>
  <c r="AF36" i="8" s="1"/>
  <c r="AB4" i="8"/>
  <c r="AB36" i="8" s="1"/>
  <c r="X4" i="8"/>
  <c r="X36" i="8" s="1"/>
  <c r="T4" i="8"/>
  <c r="T36" i="8" s="1"/>
  <c r="R4" i="8"/>
  <c r="R36" i="8" s="1"/>
  <c r="P4" i="8"/>
  <c r="P36" i="8" s="1"/>
  <c r="N4" i="8"/>
  <c r="N36" i="8" s="1"/>
  <c r="L4" i="8"/>
  <c r="L36" i="8" s="1"/>
  <c r="J4" i="8"/>
  <c r="J36" i="8" s="1"/>
  <c r="H4" i="8"/>
  <c r="H36" i="8" s="1"/>
  <c r="F4" i="8"/>
  <c r="F36" i="8" s="1"/>
  <c r="D4" i="8"/>
  <c r="D36" i="8" s="1"/>
  <c r="AD4" i="8"/>
  <c r="AD36" i="8" s="1"/>
  <c r="CA37" i="10"/>
  <c r="BY37" i="10"/>
  <c r="BW37" i="10"/>
  <c r="BU37" i="10"/>
  <c r="BS37" i="10"/>
  <c r="BQ37" i="10"/>
  <c r="BO37" i="10"/>
  <c r="BM37" i="10"/>
  <c r="BK37" i="10"/>
  <c r="BI37" i="10"/>
  <c r="BG37" i="10"/>
  <c r="BE37" i="10"/>
  <c r="BC37" i="10"/>
  <c r="BA37" i="10"/>
  <c r="AY37" i="10"/>
  <c r="AW37" i="10"/>
  <c r="CA36" i="10"/>
  <c r="BY36" i="10"/>
  <c r="BW36" i="10"/>
  <c r="BU36" i="10"/>
  <c r="BS36" i="10"/>
  <c r="BQ36" i="10"/>
  <c r="BO36" i="10"/>
  <c r="BM36" i="10"/>
  <c r="BK36" i="10"/>
  <c r="BI36" i="10"/>
  <c r="BG36" i="10"/>
  <c r="BE36" i="10"/>
  <c r="BC36" i="10"/>
  <c r="BA36" i="10"/>
  <c r="AY36" i="10"/>
  <c r="AW36" i="10"/>
  <c r="CG35" i="10"/>
  <c r="CF35" i="10"/>
  <c r="CG33" i="10"/>
  <c r="CF33" i="10"/>
  <c r="CG32" i="10"/>
  <c r="CF32" i="10"/>
  <c r="CG31" i="10"/>
  <c r="CF31" i="10"/>
  <c r="CG30" i="10"/>
  <c r="CF30" i="10"/>
  <c r="CG29" i="10"/>
  <c r="CF29" i="10"/>
  <c r="CG28" i="10"/>
  <c r="CF28" i="10"/>
  <c r="CG27" i="10"/>
  <c r="CF27" i="10"/>
  <c r="CG26" i="10"/>
  <c r="CF26" i="10"/>
  <c r="CG25" i="10"/>
  <c r="CF25" i="10"/>
  <c r="CG24" i="10"/>
  <c r="CF24" i="10"/>
  <c r="CG23" i="10"/>
  <c r="CF23" i="10"/>
  <c r="CG22" i="10"/>
  <c r="CF22" i="10"/>
  <c r="CG21" i="10"/>
  <c r="CF21" i="10"/>
  <c r="CG20" i="10"/>
  <c r="CF20" i="10"/>
  <c r="CG19" i="10"/>
  <c r="CF19" i="10"/>
  <c r="CG18" i="10"/>
  <c r="CF18" i="10"/>
  <c r="CG17" i="10"/>
  <c r="CF17" i="10"/>
  <c r="CG16" i="10"/>
  <c r="CF16" i="10"/>
  <c r="CG15" i="10"/>
  <c r="CF15" i="10"/>
  <c r="CG14" i="10"/>
  <c r="CF14" i="10"/>
  <c r="CG13" i="10"/>
  <c r="CF13" i="10"/>
  <c r="CG12" i="10"/>
  <c r="CF12" i="10"/>
  <c r="CG11" i="10"/>
  <c r="CF11" i="10"/>
  <c r="CG10" i="10"/>
  <c r="CF10" i="10"/>
  <c r="CG9" i="10"/>
  <c r="CF9" i="10"/>
  <c r="CG8" i="10"/>
  <c r="CF8" i="10"/>
  <c r="CG7" i="10"/>
  <c r="CF7" i="10"/>
  <c r="CG6" i="10"/>
  <c r="CF6" i="10"/>
  <c r="CG5" i="10"/>
  <c r="CF5" i="10"/>
  <c r="CA4" i="10"/>
  <c r="BY4" i="10"/>
  <c r="BW4" i="10"/>
  <c r="BU4" i="10"/>
  <c r="BS4" i="10"/>
  <c r="BQ4" i="10"/>
  <c r="BO4" i="10"/>
  <c r="BM4" i="10"/>
  <c r="BK4" i="10"/>
  <c r="BI4" i="10"/>
  <c r="BG4" i="10"/>
  <c r="BE4" i="10"/>
  <c r="BC4" i="10"/>
  <c r="BA4" i="10"/>
  <c r="AY4" i="10"/>
  <c r="AW4" i="10"/>
  <c r="AJ4" i="10"/>
  <c r="AJ36" i="10" s="1"/>
  <c r="AH4" i="10"/>
  <c r="AH36" i="10" s="1"/>
  <c r="AF4" i="10"/>
  <c r="AF36" i="10" s="1"/>
  <c r="AB4" i="10"/>
  <c r="AB36" i="10" s="1"/>
  <c r="X4" i="10"/>
  <c r="X36" i="10" s="1"/>
  <c r="T4" i="10"/>
  <c r="T36" i="10" s="1"/>
  <c r="R4" i="10"/>
  <c r="R36" i="10" s="1"/>
  <c r="P4" i="10"/>
  <c r="P36" i="10" s="1"/>
  <c r="N4" i="10"/>
  <c r="N36" i="10" s="1"/>
  <c r="L4" i="10"/>
  <c r="L36" i="10" s="1"/>
  <c r="J4" i="10"/>
  <c r="J36" i="10" s="1"/>
  <c r="H4" i="10"/>
  <c r="H36" i="10" s="1"/>
  <c r="F4" i="10"/>
  <c r="F36" i="10" s="1"/>
  <c r="D4" i="10"/>
  <c r="D36" i="10" s="1"/>
  <c r="AD4" i="10"/>
  <c r="AD36" i="10" s="1"/>
  <c r="CA36" i="11"/>
  <c r="BY36" i="11"/>
  <c r="BW36" i="11"/>
  <c r="BU36" i="11"/>
  <c r="BS36" i="11"/>
  <c r="BQ36" i="11"/>
  <c r="BO36" i="11"/>
  <c r="BM36" i="11"/>
  <c r="BK36" i="11"/>
  <c r="BI36" i="11"/>
  <c r="BG36" i="11"/>
  <c r="BE36" i="11"/>
  <c r="BC36" i="11"/>
  <c r="BA36" i="11"/>
  <c r="AY36" i="11"/>
  <c r="AW36" i="11"/>
  <c r="CA35" i="11"/>
  <c r="BY35" i="11"/>
  <c r="BW35" i="11"/>
  <c r="BU35" i="11"/>
  <c r="BS35" i="11"/>
  <c r="BQ35" i="11"/>
  <c r="BO35" i="11"/>
  <c r="BM35" i="11"/>
  <c r="BK35" i="11"/>
  <c r="BI35" i="11"/>
  <c r="BG35" i="11"/>
  <c r="BE35" i="11"/>
  <c r="BC35" i="11"/>
  <c r="BA35" i="11"/>
  <c r="AY35" i="11"/>
  <c r="AW35" i="11"/>
  <c r="CG34" i="11"/>
  <c r="CF34" i="11"/>
  <c r="CG33" i="11"/>
  <c r="CF33" i="11"/>
  <c r="CG32" i="11"/>
  <c r="CF32" i="11"/>
  <c r="CG31" i="11"/>
  <c r="CF31" i="11"/>
  <c r="CG30" i="11"/>
  <c r="CF30" i="11"/>
  <c r="CG29" i="11"/>
  <c r="CF29" i="11"/>
  <c r="CG28" i="11"/>
  <c r="CF28" i="11"/>
  <c r="CG27" i="11"/>
  <c r="CF27" i="11"/>
  <c r="CG26" i="11"/>
  <c r="CF26" i="11"/>
  <c r="CG25" i="11"/>
  <c r="CF25" i="11"/>
  <c r="CG24" i="11"/>
  <c r="CF24" i="11"/>
  <c r="CG23" i="11"/>
  <c r="CF23" i="11"/>
  <c r="CG22" i="11"/>
  <c r="CF22" i="11"/>
  <c r="CG21" i="11"/>
  <c r="CF21" i="11"/>
  <c r="CG20" i="11"/>
  <c r="CF20" i="11"/>
  <c r="CG19" i="11"/>
  <c r="CF19" i="11"/>
  <c r="CG18" i="11"/>
  <c r="CF18" i="11"/>
  <c r="CG17" i="11"/>
  <c r="CF17" i="11"/>
  <c r="CG16" i="11"/>
  <c r="CF16" i="11"/>
  <c r="CG15" i="11"/>
  <c r="CF15" i="11"/>
  <c r="CG14" i="11"/>
  <c r="CF14" i="11"/>
  <c r="CG13" i="11"/>
  <c r="CF13" i="11"/>
  <c r="CG12" i="11"/>
  <c r="CF12" i="11"/>
  <c r="CG11" i="11"/>
  <c r="CF11" i="11"/>
  <c r="CG10" i="11"/>
  <c r="CF10" i="11"/>
  <c r="CG9" i="11"/>
  <c r="CF9" i="11"/>
  <c r="CG8" i="11"/>
  <c r="CF8" i="11"/>
  <c r="CG7" i="11"/>
  <c r="CF7" i="11"/>
  <c r="CG6" i="11"/>
  <c r="CF6" i="11"/>
  <c r="CG5" i="11"/>
  <c r="CF5" i="11"/>
  <c r="CA4" i="11"/>
  <c r="BY4" i="11"/>
  <c r="BW4" i="11"/>
  <c r="BU4" i="11"/>
  <c r="BS4" i="11"/>
  <c r="BQ4" i="11"/>
  <c r="BO4" i="11"/>
  <c r="BM4" i="11"/>
  <c r="BK4" i="11"/>
  <c r="BI4" i="11"/>
  <c r="BG4" i="11"/>
  <c r="BE4" i="11"/>
  <c r="BC4" i="11"/>
  <c r="BA4" i="11"/>
  <c r="AY4" i="11"/>
  <c r="AW4" i="11"/>
  <c r="AJ4" i="11"/>
  <c r="AH4" i="11"/>
  <c r="AF4" i="11"/>
  <c r="AB4" i="11"/>
  <c r="X4" i="11"/>
  <c r="T4" i="11"/>
  <c r="R4" i="11"/>
  <c r="P4" i="11"/>
  <c r="N4" i="11"/>
  <c r="L4" i="11"/>
  <c r="J4" i="11"/>
  <c r="H4" i="11"/>
  <c r="F4" i="11"/>
  <c r="D4" i="11"/>
  <c r="AD4" i="11"/>
  <c r="CA37" i="12"/>
  <c r="BY37" i="12"/>
  <c r="BW37" i="12"/>
  <c r="BU37" i="12"/>
  <c r="BS37" i="12"/>
  <c r="BQ37" i="12"/>
  <c r="BO37" i="12"/>
  <c r="BM37" i="12"/>
  <c r="BK37" i="12"/>
  <c r="BI37" i="12"/>
  <c r="BG37" i="12"/>
  <c r="BE37" i="12"/>
  <c r="BC37" i="12"/>
  <c r="BA37" i="12"/>
  <c r="AY37" i="12"/>
  <c r="AW37" i="12"/>
  <c r="CA36" i="12"/>
  <c r="BY36" i="12"/>
  <c r="BW36" i="12"/>
  <c r="BU36" i="12"/>
  <c r="BS36" i="12"/>
  <c r="BQ36" i="12"/>
  <c r="BO36" i="12"/>
  <c r="BM36" i="12"/>
  <c r="BK36" i="12"/>
  <c r="BI36" i="12"/>
  <c r="BG36" i="12"/>
  <c r="BE36" i="12"/>
  <c r="BC36" i="12"/>
  <c r="BA36" i="12"/>
  <c r="AY36" i="12"/>
  <c r="AW36" i="12"/>
  <c r="CG35" i="12"/>
  <c r="CF35" i="12"/>
  <c r="CG33" i="12"/>
  <c r="CF33" i="12"/>
  <c r="CG32" i="12"/>
  <c r="CF32" i="12"/>
  <c r="CG31" i="12"/>
  <c r="CF31" i="12"/>
  <c r="CG30" i="12"/>
  <c r="CF30" i="12"/>
  <c r="CG29" i="12"/>
  <c r="CF29" i="12"/>
  <c r="CG28" i="12"/>
  <c r="CF28" i="12"/>
  <c r="CG27" i="12"/>
  <c r="CF27" i="12"/>
  <c r="CG26" i="12"/>
  <c r="CF26" i="12"/>
  <c r="CG25" i="12"/>
  <c r="CF25" i="12"/>
  <c r="CG24" i="12"/>
  <c r="CF24" i="12"/>
  <c r="CG23" i="12"/>
  <c r="CF23" i="12"/>
  <c r="CG22" i="12"/>
  <c r="CF22" i="12"/>
  <c r="CG21" i="12"/>
  <c r="CF21" i="12"/>
  <c r="CG20" i="12"/>
  <c r="CF20" i="12"/>
  <c r="CG19" i="12"/>
  <c r="CF19" i="12"/>
  <c r="CG18" i="12"/>
  <c r="CF18" i="12"/>
  <c r="CG17" i="12"/>
  <c r="CF17" i="12"/>
  <c r="CG16" i="12"/>
  <c r="CF16" i="12"/>
  <c r="CG15" i="12"/>
  <c r="CF15" i="12"/>
  <c r="CG14" i="12"/>
  <c r="CF14" i="12"/>
  <c r="CG13" i="12"/>
  <c r="CF13" i="12"/>
  <c r="CG12" i="12"/>
  <c r="CF12" i="12"/>
  <c r="CG11" i="12"/>
  <c r="CF11" i="12"/>
  <c r="CG10" i="12"/>
  <c r="CF10" i="12"/>
  <c r="CG9" i="12"/>
  <c r="CF9" i="12"/>
  <c r="CG8" i="12"/>
  <c r="CF8" i="12"/>
  <c r="CG7" i="12"/>
  <c r="CF7" i="12"/>
  <c r="CG6" i="12"/>
  <c r="CF6" i="12"/>
  <c r="CG5" i="12"/>
  <c r="CF5" i="12"/>
  <c r="CA4" i="12"/>
  <c r="BY4" i="12"/>
  <c r="BW4" i="12"/>
  <c r="BU4" i="12"/>
  <c r="BS4" i="12"/>
  <c r="BQ4" i="12"/>
  <c r="BO4" i="12"/>
  <c r="BM4" i="12"/>
  <c r="BK4" i="12"/>
  <c r="BI4" i="12"/>
  <c r="BG4" i="12"/>
  <c r="BE4" i="12"/>
  <c r="BC4" i="12"/>
  <c r="BA4" i="12"/>
  <c r="AY4" i="12"/>
  <c r="AW4" i="12"/>
  <c r="AJ4" i="12"/>
  <c r="AJ36" i="12" s="1"/>
  <c r="AH4" i="12"/>
  <c r="AH36" i="12" s="1"/>
  <c r="AF4" i="12"/>
  <c r="AF36" i="12" s="1"/>
  <c r="AB4" i="12"/>
  <c r="AB36" i="12" s="1"/>
  <c r="X4" i="12"/>
  <c r="X36" i="12" s="1"/>
  <c r="T4" i="12"/>
  <c r="T36" i="12" s="1"/>
  <c r="R4" i="12"/>
  <c r="R36" i="12" s="1"/>
  <c r="P4" i="12"/>
  <c r="P36" i="12" s="1"/>
  <c r="N4" i="12"/>
  <c r="N36" i="12" s="1"/>
  <c r="L4" i="12"/>
  <c r="L36" i="12" s="1"/>
  <c r="J4" i="12"/>
  <c r="J36" i="12" s="1"/>
  <c r="H4" i="12"/>
  <c r="H36" i="12" s="1"/>
  <c r="F4" i="12"/>
  <c r="F36" i="12" s="1"/>
  <c r="D4" i="12"/>
  <c r="D36" i="12" s="1"/>
  <c r="AD4" i="12"/>
  <c r="AD36" i="12" s="1"/>
  <c r="BK37" i="11" l="1"/>
  <c r="BK38" i="11" s="1"/>
  <c r="AD37" i="5"/>
  <c r="AD36" i="6" s="1"/>
  <c r="AD37" i="7" s="1"/>
  <c r="AD37" i="8" s="1"/>
  <c r="AD36" i="9" s="1"/>
  <c r="AD37" i="10" s="1"/>
  <c r="AD36" i="11" s="1"/>
  <c r="AD37" i="12" s="1"/>
  <c r="AF37" i="8"/>
  <c r="AF36" i="9" s="1"/>
  <c r="AF37" i="10" s="1"/>
  <c r="AF36" i="11" s="1"/>
  <c r="AF37" i="12" s="1"/>
  <c r="AL37" i="1"/>
  <c r="AL34" i="2"/>
  <c r="AL37" i="3" s="1"/>
  <c r="AL36" i="4" s="1"/>
  <c r="AL37" i="5" s="1"/>
  <c r="AL36" i="6" s="1"/>
  <c r="AL37" i="7" s="1"/>
  <c r="AL37" i="8" s="1"/>
  <c r="AL36" i="9" s="1"/>
  <c r="AL37" i="10" s="1"/>
  <c r="AL36" i="11" s="1"/>
  <c r="AL37" i="12" s="1"/>
  <c r="AN37" i="1"/>
  <c r="AN34" i="2"/>
  <c r="AN37" i="3" s="1"/>
  <c r="AN36" i="4" s="1"/>
  <c r="AN37" i="5" s="1"/>
  <c r="AN36" i="6" s="1"/>
  <c r="AN37" i="7" s="1"/>
  <c r="AN37" i="8" s="1"/>
  <c r="AN36" i="9" s="1"/>
  <c r="AN37" i="10" s="1"/>
  <c r="AN36" i="11" s="1"/>
  <c r="AN37" i="12" s="1"/>
  <c r="V37" i="1"/>
  <c r="V34" i="2"/>
  <c r="V37" i="3" s="1"/>
  <c r="V36" i="4" s="1"/>
  <c r="V37" i="5" s="1"/>
  <c r="V36" i="6" s="1"/>
  <c r="V37" i="7" s="1"/>
  <c r="V37" i="8" s="1"/>
  <c r="V36" i="9" s="1"/>
  <c r="V37" i="10" s="1"/>
  <c r="V36" i="11" s="1"/>
  <c r="V37" i="12" s="1"/>
  <c r="BU38" i="7"/>
  <c r="BU39" i="7" s="1"/>
  <c r="P36" i="1"/>
  <c r="X36" i="1"/>
  <c r="Z36" i="1"/>
  <c r="AB36" i="1"/>
  <c r="D36" i="1"/>
  <c r="F36" i="1"/>
  <c r="AH36" i="1"/>
  <c r="H36" i="1"/>
  <c r="AJ36" i="1"/>
  <c r="J36" i="1"/>
  <c r="L36" i="1"/>
  <c r="N36" i="1"/>
  <c r="R36" i="1"/>
  <c r="T36" i="1"/>
  <c r="AW38" i="12"/>
  <c r="AW39" i="12" s="1"/>
  <c r="AY38" i="12"/>
  <c r="AY39" i="12" s="1"/>
  <c r="BA38" i="12"/>
  <c r="BA39" i="12" s="1"/>
  <c r="BM38" i="12"/>
  <c r="BM39" i="12" s="1"/>
  <c r="BO38" i="12"/>
  <c r="BO39" i="12" s="1"/>
  <c r="BS38" i="12"/>
  <c r="BS39" i="12" s="1"/>
  <c r="BQ38" i="12"/>
  <c r="BQ39" i="12" s="1"/>
  <c r="BA37" i="11"/>
  <c r="BA38" i="11" s="1"/>
  <c r="BW37" i="11"/>
  <c r="BW38" i="11" s="1"/>
  <c r="CA37" i="11"/>
  <c r="CA38" i="11" s="1"/>
  <c r="BY37" i="11"/>
  <c r="BY38" i="11" s="1"/>
  <c r="BM37" i="11"/>
  <c r="BM38" i="11" s="1"/>
  <c r="BG37" i="11"/>
  <c r="BG38" i="11" s="1"/>
  <c r="BI37" i="11"/>
  <c r="BI38" i="11" s="1"/>
  <c r="BE37" i="11"/>
  <c r="BE38" i="11" s="1"/>
  <c r="AW38" i="10"/>
  <c r="AW39" i="10" s="1"/>
  <c r="BK38" i="10"/>
  <c r="BK39" i="10" s="1"/>
  <c r="BI38" i="10"/>
  <c r="BI39" i="10" s="1"/>
  <c r="BU38" i="10"/>
  <c r="BU39" i="10" s="1"/>
  <c r="BS38" i="10"/>
  <c r="BS39" i="10" s="1"/>
  <c r="BQ38" i="10"/>
  <c r="BQ39" i="10" s="1"/>
  <c r="BM38" i="10"/>
  <c r="BM39" i="10" s="1"/>
  <c r="BA38" i="8"/>
  <c r="BA39" i="8" s="1"/>
  <c r="BW38" i="8"/>
  <c r="BW39" i="8" s="1"/>
  <c r="BY38" i="8"/>
  <c r="BY39" i="8" s="1"/>
  <c r="CA38" i="8"/>
  <c r="CA39" i="8" s="1"/>
  <c r="BM38" i="8"/>
  <c r="BM39" i="8" s="1"/>
  <c r="BK38" i="8"/>
  <c r="BK39" i="8" s="1"/>
  <c r="BG38" i="8"/>
  <c r="BG39" i="8" s="1"/>
  <c r="BE38" i="8"/>
  <c r="BE39" i="8" s="1"/>
  <c r="BC38" i="7"/>
  <c r="BC39" i="7" s="1"/>
  <c r="BA38" i="7"/>
  <c r="BA39" i="7" s="1"/>
  <c r="AW38" i="7"/>
  <c r="AW39" i="7" s="1"/>
  <c r="AY38" i="7"/>
  <c r="AY39" i="7" s="1"/>
  <c r="BO38" i="7"/>
  <c r="BO39" i="7" s="1"/>
  <c r="BE38" i="7"/>
  <c r="BE39" i="7" s="1"/>
  <c r="BS38" i="7"/>
  <c r="BS39" i="7" s="1"/>
  <c r="BQ38" i="7"/>
  <c r="BQ39" i="7" s="1"/>
  <c r="BM37" i="6"/>
  <c r="BM38" i="6" s="1"/>
  <c r="BK37" i="6"/>
  <c r="BK38" i="6" s="1"/>
  <c r="BI37" i="6"/>
  <c r="BI38" i="6" s="1"/>
  <c r="BA37" i="6"/>
  <c r="BA38" i="6" s="1"/>
  <c r="AW37" i="6"/>
  <c r="AW38" i="6" s="1"/>
  <c r="BY37" i="6"/>
  <c r="BY38" i="6" s="1"/>
  <c r="BG37" i="6"/>
  <c r="BG38" i="6" s="1"/>
  <c r="AY38" i="5"/>
  <c r="AY39" i="5" s="1"/>
  <c r="AW38" i="5"/>
  <c r="AW39" i="5" s="1"/>
  <c r="BK38" i="5"/>
  <c r="BK39" i="5" s="1"/>
  <c r="BU38" i="5"/>
  <c r="BU39" i="5" s="1"/>
  <c r="BW38" i="5"/>
  <c r="BW39" i="5" s="1"/>
  <c r="BY38" i="5"/>
  <c r="BY39" i="5" s="1"/>
  <c r="BQ38" i="5"/>
  <c r="BQ39" i="5" s="1"/>
  <c r="BO38" i="5"/>
  <c r="BO39" i="5" s="1"/>
  <c r="BS38" i="5"/>
  <c r="BS39" i="5" s="1"/>
  <c r="CA37" i="4"/>
  <c r="CA38" i="4" s="1"/>
  <c r="BY37" i="4"/>
  <c r="BY38" i="4" s="1"/>
  <c r="BM37" i="4"/>
  <c r="BM38" i="4" s="1"/>
  <c r="BO37" i="4"/>
  <c r="BO38" i="4" s="1"/>
  <c r="BQ37" i="4"/>
  <c r="BQ38" i="4" s="1"/>
  <c r="BK37" i="4"/>
  <c r="BK38" i="4" s="1"/>
  <c r="BE37" i="4"/>
  <c r="BE38" i="4" s="1"/>
  <c r="BI37" i="4"/>
  <c r="BI38" i="4" s="1"/>
  <c r="BG37" i="4"/>
  <c r="BG38" i="4" s="1"/>
  <c r="BA37" i="4"/>
  <c r="BA38" i="4" s="1"/>
  <c r="BC37" i="4"/>
  <c r="BC38" i="4" s="1"/>
  <c r="AY38" i="3"/>
  <c r="AY39" i="3" s="1"/>
  <c r="AW38" i="3"/>
  <c r="AW39" i="3" s="1"/>
  <c r="BA38" i="3"/>
  <c r="BA39" i="3" s="1"/>
  <c r="BC38" i="3"/>
  <c r="BO38" i="3"/>
  <c r="BO39" i="3" s="1"/>
  <c r="BM38" i="3"/>
  <c r="BM39" i="3" s="1"/>
  <c r="BK38" i="3"/>
  <c r="BK39" i="3" s="1"/>
  <c r="BC38" i="8"/>
  <c r="BC39" i="8" s="1"/>
  <c r="CA37" i="6"/>
  <c r="CA38" i="6" s="1"/>
  <c r="BM38" i="5"/>
  <c r="BM39" i="5" s="1"/>
  <c r="AW37" i="11"/>
  <c r="AW38" i="11" s="1"/>
  <c r="BO38" i="8"/>
  <c r="BO39" i="8" s="1"/>
  <c r="AY37" i="6"/>
  <c r="AY38" i="6" s="1"/>
  <c r="BW38" i="10"/>
  <c r="BW39" i="10" s="1"/>
  <c r="CA38" i="5"/>
  <c r="CA39" i="5" s="1"/>
  <c r="BS37" i="4"/>
  <c r="BS38" i="4" s="1"/>
  <c r="BE38" i="3"/>
  <c r="BE39" i="3" s="1"/>
  <c r="BE38" i="12"/>
  <c r="BE39" i="12" s="1"/>
  <c r="BG38" i="7"/>
  <c r="BG39" i="7" s="1"/>
  <c r="AY37" i="11"/>
  <c r="AY38" i="11" s="1"/>
  <c r="BI38" i="12"/>
  <c r="BI39" i="12" s="1"/>
  <c r="BS38" i="8"/>
  <c r="BS39" i="8" s="1"/>
  <c r="BK38" i="7"/>
  <c r="BK39" i="7" s="1"/>
  <c r="BC37" i="6"/>
  <c r="BC38" i="6" s="1"/>
  <c r="BU37" i="4"/>
  <c r="BU38" i="4" s="1"/>
  <c r="BG38" i="3"/>
  <c r="BG39" i="3" s="1"/>
  <c r="BC38" i="12"/>
  <c r="BC39" i="12" s="1"/>
  <c r="BG38" i="12"/>
  <c r="BG39" i="12" s="1"/>
  <c r="BY38" i="10"/>
  <c r="BY39" i="10" s="1"/>
  <c r="BQ38" i="8"/>
  <c r="BQ39" i="8" s="1"/>
  <c r="BI38" i="7"/>
  <c r="BI39" i="7" s="1"/>
  <c r="BK38" i="12"/>
  <c r="BK39" i="12" s="1"/>
  <c r="BC37" i="11"/>
  <c r="BC38" i="11" s="1"/>
  <c r="BU38" i="8"/>
  <c r="BU39" i="8" s="1"/>
  <c r="BM38" i="7"/>
  <c r="BM39" i="7" s="1"/>
  <c r="BE37" i="6"/>
  <c r="BE38" i="6" s="1"/>
  <c r="BW37" i="4"/>
  <c r="BW38" i="4" s="1"/>
  <c r="BI38" i="3"/>
  <c r="BI39" i="3" s="1"/>
  <c r="BW38" i="7"/>
  <c r="BW39" i="7" s="1"/>
  <c r="BO37" i="6"/>
  <c r="BO38" i="6" s="1"/>
  <c r="BA38" i="5"/>
  <c r="BA39" i="5" s="1"/>
  <c r="BU38" i="12"/>
  <c r="BU39" i="12" s="1"/>
  <c r="BW38" i="12"/>
  <c r="BW39" i="12" s="1"/>
  <c r="BO37" i="11"/>
  <c r="BO38" i="11" s="1"/>
  <c r="BY38" i="7"/>
  <c r="BY39" i="7" s="1"/>
  <c r="BQ37" i="6"/>
  <c r="BQ38" i="6" s="1"/>
  <c r="BQ37" i="11"/>
  <c r="BQ38" i="11" s="1"/>
  <c r="BS37" i="6"/>
  <c r="BS38" i="6" s="1"/>
  <c r="BE38" i="5"/>
  <c r="BE39" i="5" s="1"/>
  <c r="AW37" i="4"/>
  <c r="AW38" i="4" s="1"/>
  <c r="BW38" i="3"/>
  <c r="BW39" i="3" s="1"/>
  <c r="BS37" i="11"/>
  <c r="BS38" i="11" s="1"/>
  <c r="BG38" i="5"/>
  <c r="BG39" i="5" s="1"/>
  <c r="AY37" i="4"/>
  <c r="AY38" i="4" s="1"/>
  <c r="BY38" i="3"/>
  <c r="BY39" i="3" s="1"/>
  <c r="BY38" i="12"/>
  <c r="BY39" i="12" s="1"/>
  <c r="CA38" i="7"/>
  <c r="CA39" i="7" s="1"/>
  <c r="CA38" i="12"/>
  <c r="CA39" i="12" s="1"/>
  <c r="BE38" i="10"/>
  <c r="BE39" i="10" s="1"/>
  <c r="BU37" i="6"/>
  <c r="BU38" i="6" s="1"/>
  <c r="BU37" i="11"/>
  <c r="BU38" i="11" s="1"/>
  <c r="BG38" i="10"/>
  <c r="BG39" i="10" s="1"/>
  <c r="AY38" i="8"/>
  <c r="AY39" i="8" s="1"/>
  <c r="BW37" i="6"/>
  <c r="BW38" i="6" s="1"/>
  <c r="BI38" i="5"/>
  <c r="BI39" i="5" s="1"/>
  <c r="CA38" i="3"/>
  <c r="CA39" i="3" s="1"/>
  <c r="BM35" i="2"/>
  <c r="BM36" i="2" s="1"/>
  <c r="BQ35" i="2"/>
  <c r="BQ36" i="2" s="1"/>
  <c r="BO35" i="2"/>
  <c r="BO36" i="2" s="1"/>
  <c r="BK35" i="2"/>
  <c r="BK36" i="2" s="1"/>
  <c r="BI35" i="2"/>
  <c r="BI36" i="2" s="1"/>
  <c r="BE35" i="2"/>
  <c r="BE36" i="2" s="1"/>
  <c r="BC35" i="2"/>
  <c r="BC36" i="2" s="1"/>
  <c r="BA35" i="2"/>
  <c r="BA36" i="2" s="1"/>
  <c r="AY35" i="2"/>
  <c r="AY36" i="2" s="1"/>
  <c r="AW35" i="2"/>
  <c r="AW36" i="2" s="1"/>
  <c r="CA35" i="2"/>
  <c r="CA36" i="2" s="1"/>
  <c r="BY35" i="2"/>
  <c r="BY36" i="2" s="1"/>
  <c r="BW35" i="2"/>
  <c r="BW36" i="2" s="1"/>
  <c r="BU35" i="2"/>
  <c r="BU36" i="2" s="1"/>
  <c r="BA38" i="10"/>
  <c r="BA39" i="10" s="1"/>
  <c r="BC38" i="10"/>
  <c r="BC39" i="10" s="1"/>
  <c r="BO38" i="10"/>
  <c r="BO39" i="10" s="1"/>
  <c r="CA38" i="10"/>
  <c r="CA39" i="10" s="1"/>
  <c r="BG35" i="2"/>
  <c r="BG36" i="2" s="1"/>
  <c r="BS35" i="2"/>
  <c r="BS36" i="2" s="1"/>
  <c r="AY38" i="10"/>
  <c r="AY39" i="10" s="1"/>
  <c r="AW38" i="8"/>
  <c r="AW39" i="8" s="1"/>
  <c r="BI38" i="8"/>
  <c r="BI39" i="8" s="1"/>
  <c r="BC38" i="5"/>
  <c r="BC39" i="5" s="1"/>
  <c r="BQ38" i="3"/>
  <c r="BQ39" i="3" s="1"/>
  <c r="BS38" i="3"/>
  <c r="BS39" i="3" s="1"/>
  <c r="BG38" i="1"/>
  <c r="BG39" i="1" s="1"/>
  <c r="BS38" i="1"/>
  <c r="BS39" i="1" s="1"/>
  <c r="AY38" i="1"/>
  <c r="AY39" i="1" s="1"/>
  <c r="BK38" i="1"/>
  <c r="BK39" i="1" s="1"/>
  <c r="BW38" i="1"/>
  <c r="BW39" i="1" s="1"/>
  <c r="BA38" i="1"/>
  <c r="BA39" i="1" s="1"/>
  <c r="BM38" i="1"/>
  <c r="BM39" i="1" s="1"/>
  <c r="BE38" i="1"/>
  <c r="BE39" i="1" s="1"/>
  <c r="BQ38" i="1"/>
  <c r="BQ39" i="1" s="1"/>
  <c r="BC38" i="1"/>
  <c r="BC39" i="1" s="1"/>
  <c r="BO38" i="1"/>
  <c r="BO39" i="1" s="1"/>
  <c r="AW38" i="1"/>
  <c r="AW39" i="1" s="1"/>
  <c r="BI38" i="1"/>
  <c r="BI39" i="1" s="1"/>
  <c r="BU38" i="1"/>
  <c r="BU39" i="1" s="1"/>
  <c r="BY38" i="1"/>
  <c r="BY39" i="1" s="1"/>
  <c r="CA38" i="1"/>
  <c r="CA39" i="1" s="1"/>
  <c r="CG34" i="9"/>
  <c r="CG33" i="9"/>
  <c r="CG32" i="9"/>
  <c r="CG31" i="9"/>
  <c r="CG30" i="9"/>
  <c r="CG29" i="9"/>
  <c r="CG28" i="9"/>
  <c r="CG27" i="9"/>
  <c r="CG26" i="9"/>
  <c r="CG25" i="9"/>
  <c r="CG24" i="9"/>
  <c r="CG23" i="9"/>
  <c r="CG22" i="9"/>
  <c r="CG21" i="9"/>
  <c r="CG20" i="9"/>
  <c r="CG19" i="9"/>
  <c r="CG18" i="9"/>
  <c r="CG17" i="9"/>
  <c r="CG16" i="9"/>
  <c r="CG15" i="9"/>
  <c r="CG14" i="9"/>
  <c r="CG13" i="9"/>
  <c r="CG12" i="9"/>
  <c r="CG11" i="9"/>
  <c r="CG10" i="9"/>
  <c r="CG9" i="9"/>
  <c r="CG8" i="9"/>
  <c r="CG7" i="9"/>
  <c r="CG6" i="9"/>
  <c r="CF34" i="9"/>
  <c r="CF33" i="9"/>
  <c r="CF32" i="9"/>
  <c r="CF31" i="9"/>
  <c r="CF30" i="9"/>
  <c r="CF29" i="9"/>
  <c r="CF28" i="9"/>
  <c r="CF27" i="9"/>
  <c r="CF26" i="9"/>
  <c r="CF25" i="9"/>
  <c r="CF24" i="9"/>
  <c r="CF23" i="9"/>
  <c r="CF22" i="9"/>
  <c r="CF21" i="9"/>
  <c r="CF20" i="9"/>
  <c r="CF19" i="9"/>
  <c r="CF18" i="9"/>
  <c r="CF17" i="9"/>
  <c r="CF16" i="9"/>
  <c r="CF15" i="9"/>
  <c r="CF14" i="9"/>
  <c r="CF13" i="9"/>
  <c r="CF12" i="9"/>
  <c r="CF11" i="9"/>
  <c r="CF10" i="9"/>
  <c r="CF9" i="9"/>
  <c r="CF8" i="9"/>
  <c r="CF7" i="9"/>
  <c r="CF6" i="9"/>
  <c r="D37" i="1" l="1"/>
  <c r="D34" i="2"/>
  <c r="AB37" i="1"/>
  <c r="AB34" i="2"/>
  <c r="AB37" i="3" s="1"/>
  <c r="AB36" i="4" s="1"/>
  <c r="AB37" i="5" s="1"/>
  <c r="AB36" i="6" s="1"/>
  <c r="AB37" i="7" s="1"/>
  <c r="AB37" i="8" s="1"/>
  <c r="AB36" i="9" s="1"/>
  <c r="AB37" i="10" s="1"/>
  <c r="AB36" i="11" s="1"/>
  <c r="AB37" i="12" s="1"/>
  <c r="T37" i="1"/>
  <c r="T34" i="2"/>
  <c r="T37" i="3" s="1"/>
  <c r="T36" i="4" s="1"/>
  <c r="T37" i="5" s="1"/>
  <c r="T36" i="6" s="1"/>
  <c r="T37" i="7" s="1"/>
  <c r="T37" i="8" s="1"/>
  <c r="T36" i="9" s="1"/>
  <c r="T37" i="10" s="1"/>
  <c r="T36" i="11" s="1"/>
  <c r="T37" i="12" s="1"/>
  <c r="X37" i="1"/>
  <c r="X34" i="2"/>
  <c r="X37" i="3" s="1"/>
  <c r="X36" i="4" s="1"/>
  <c r="X37" i="5" s="1"/>
  <c r="X36" i="6" s="1"/>
  <c r="X37" i="7" s="1"/>
  <c r="X37" i="8" s="1"/>
  <c r="X36" i="9" s="1"/>
  <c r="X37" i="10" s="1"/>
  <c r="X36" i="11" s="1"/>
  <c r="X37" i="12" s="1"/>
  <c r="R37" i="1"/>
  <c r="R34" i="2"/>
  <c r="R37" i="3" s="1"/>
  <c r="R36" i="4" s="1"/>
  <c r="R37" i="5" s="1"/>
  <c r="R36" i="6" s="1"/>
  <c r="R37" i="7" s="1"/>
  <c r="R37" i="8" s="1"/>
  <c r="R36" i="9" s="1"/>
  <c r="R37" i="10" s="1"/>
  <c r="R36" i="11" s="1"/>
  <c r="R37" i="12" s="1"/>
  <c r="P37" i="1"/>
  <c r="P34" i="2"/>
  <c r="P37" i="3" s="1"/>
  <c r="P36" i="4" s="1"/>
  <c r="P37" i="5" s="1"/>
  <c r="P36" i="6" s="1"/>
  <c r="P37" i="7" s="1"/>
  <c r="P37" i="8" s="1"/>
  <c r="P36" i="9" s="1"/>
  <c r="P37" i="10" s="1"/>
  <c r="P36" i="11" s="1"/>
  <c r="P37" i="12" s="1"/>
  <c r="Z37" i="1"/>
  <c r="Z34" i="2"/>
  <c r="Z37" i="3" s="1"/>
  <c r="Z36" i="4" s="1"/>
  <c r="Z37" i="5" s="1"/>
  <c r="Z36" i="6" s="1"/>
  <c r="Z37" i="7" s="1"/>
  <c r="Z37" i="8" s="1"/>
  <c r="Z36" i="9" s="1"/>
  <c r="Z37" i="10" s="1"/>
  <c r="Z36" i="11" s="1"/>
  <c r="Z37" i="12" s="1"/>
  <c r="N37" i="1"/>
  <c r="N34" i="2"/>
  <c r="N37" i="3" s="1"/>
  <c r="N36" i="4" s="1"/>
  <c r="N37" i="5" s="1"/>
  <c r="N36" i="6" s="1"/>
  <c r="N37" i="7" s="1"/>
  <c r="N37" i="8" s="1"/>
  <c r="N36" i="9" s="1"/>
  <c r="N37" i="10" s="1"/>
  <c r="N36" i="11" s="1"/>
  <c r="N37" i="12" s="1"/>
  <c r="L37" i="1"/>
  <c r="L34" i="2"/>
  <c r="L37" i="3" s="1"/>
  <c r="L36" i="4" s="1"/>
  <c r="L37" i="5" s="1"/>
  <c r="L36" i="6" s="1"/>
  <c r="L37" i="7" s="1"/>
  <c r="L37" i="8" s="1"/>
  <c r="L36" i="9" s="1"/>
  <c r="L37" i="10" s="1"/>
  <c r="L36" i="11" s="1"/>
  <c r="L37" i="12" s="1"/>
  <c r="J37" i="1"/>
  <c r="J34" i="2"/>
  <c r="J37" i="3" s="1"/>
  <c r="J36" i="4" s="1"/>
  <c r="J37" i="5" s="1"/>
  <c r="J36" i="6" s="1"/>
  <c r="J37" i="7" s="1"/>
  <c r="J37" i="8" s="1"/>
  <c r="J36" i="9" s="1"/>
  <c r="J37" i="10" s="1"/>
  <c r="J36" i="11" s="1"/>
  <c r="J37" i="12" s="1"/>
  <c r="AJ37" i="1"/>
  <c r="AJ34" i="2"/>
  <c r="AJ37" i="3" s="1"/>
  <c r="AJ36" i="4" s="1"/>
  <c r="AJ37" i="5" s="1"/>
  <c r="AJ36" i="6" s="1"/>
  <c r="AJ37" i="7" s="1"/>
  <c r="AJ37" i="8" s="1"/>
  <c r="AJ36" i="9" s="1"/>
  <c r="AJ37" i="10" s="1"/>
  <c r="AJ36" i="11" s="1"/>
  <c r="AJ37" i="12" s="1"/>
  <c r="H37" i="1"/>
  <c r="H34" i="2"/>
  <c r="H37" i="3" s="1"/>
  <c r="H36" i="4" s="1"/>
  <c r="H37" i="5" s="1"/>
  <c r="H36" i="6" s="1"/>
  <c r="H37" i="7" s="1"/>
  <c r="H37" i="8" s="1"/>
  <c r="H36" i="9" s="1"/>
  <c r="H37" i="10" s="1"/>
  <c r="H36" i="11" s="1"/>
  <c r="H37" i="12" s="1"/>
  <c r="AH37" i="1"/>
  <c r="AH34" i="2"/>
  <c r="AH37" i="3" s="1"/>
  <c r="AH36" i="4" s="1"/>
  <c r="AH37" i="5" s="1"/>
  <c r="AH36" i="6" s="1"/>
  <c r="AH37" i="7" s="1"/>
  <c r="AH37" i="8" s="1"/>
  <c r="AH36" i="9" s="1"/>
  <c r="AH37" i="10" s="1"/>
  <c r="AH36" i="11" s="1"/>
  <c r="AH37" i="12" s="1"/>
  <c r="F37" i="1"/>
  <c r="F34" i="2"/>
  <c r="F37" i="3" s="1"/>
  <c r="F36" i="4" s="1"/>
  <c r="F37" i="5" s="1"/>
  <c r="F36" i="6" s="1"/>
  <c r="F37" i="7" s="1"/>
  <c r="F37" i="8" s="1"/>
  <c r="F36" i="9" s="1"/>
  <c r="F37" i="10" s="1"/>
  <c r="F36" i="11" s="1"/>
  <c r="F37" i="12" s="1"/>
  <c r="CA4" i="9"/>
  <c r="BY4" i="9"/>
  <c r="BW4" i="9"/>
  <c r="BU4" i="9"/>
  <c r="BS4" i="9"/>
  <c r="BQ4" i="9"/>
  <c r="BO4" i="9"/>
  <c r="BM4" i="9"/>
  <c r="BK4" i="9"/>
  <c r="BI4" i="9"/>
  <c r="BG4" i="9"/>
  <c r="BE4" i="9"/>
  <c r="BC4" i="9"/>
  <c r="BA4" i="9"/>
  <c r="AY4" i="9"/>
  <c r="AW4" i="9"/>
  <c r="D37" i="3" l="1"/>
  <c r="D36" i="4" s="1"/>
  <c r="D37" i="5" s="1"/>
  <c r="D36" i="6" s="1"/>
  <c r="D37" i="7" s="1"/>
  <c r="D37" i="8" s="1"/>
  <c r="D36" i="9" s="1"/>
  <c r="D37" i="10" s="1"/>
  <c r="D36" i="11" s="1"/>
  <c r="D37" i="12" s="1"/>
  <c r="T4" i="9"/>
  <c r="R4" i="9"/>
  <c r="P4" i="9"/>
  <c r="N4" i="9"/>
  <c r="L4" i="9"/>
  <c r="J4" i="9"/>
  <c r="H4" i="9"/>
  <c r="F4" i="9"/>
  <c r="D4" i="9"/>
  <c r="AD4" i="9"/>
  <c r="X4" i="9" l="1"/>
  <c r="CG5" i="9" l="1"/>
  <c r="AY35" i="9" l="1"/>
  <c r="BA35" i="9"/>
  <c r="BC35" i="9"/>
  <c r="BE35" i="9"/>
  <c r="BG35" i="9"/>
  <c r="BI35" i="9"/>
  <c r="BK35" i="9"/>
  <c r="BM35" i="9"/>
  <c r="BO35" i="9"/>
  <c r="BQ35" i="9"/>
  <c r="BS35" i="9"/>
  <c r="BU35" i="9"/>
  <c r="BW35" i="9"/>
  <c r="BY35" i="9"/>
  <c r="CA35" i="9"/>
  <c r="AY36" i="9"/>
  <c r="BA36" i="9"/>
  <c r="BC36" i="9"/>
  <c r="BE36" i="9"/>
  <c r="BG36" i="9"/>
  <c r="BI36" i="9"/>
  <c r="BK36" i="9"/>
  <c r="BM36" i="9"/>
  <c r="BO36" i="9"/>
  <c r="BQ36" i="9"/>
  <c r="BS36" i="9"/>
  <c r="BU36" i="9"/>
  <c r="BW36" i="9"/>
  <c r="BY36" i="9"/>
  <c r="CA36" i="9"/>
  <c r="AW36" i="9"/>
  <c r="AW35" i="9"/>
  <c r="BU37" i="9" l="1"/>
  <c r="BU38" i="9" s="1"/>
  <c r="BI37" i="9"/>
  <c r="BI38" i="9" s="1"/>
  <c r="BS37" i="9"/>
  <c r="BS38" i="9" s="1"/>
  <c r="BQ37" i="9"/>
  <c r="BQ38" i="9" s="1"/>
  <c r="BE37" i="9"/>
  <c r="BE38" i="9" s="1"/>
  <c r="CA37" i="9"/>
  <c r="CA38" i="9" s="1"/>
  <c r="BO37" i="9"/>
  <c r="BO38" i="9" s="1"/>
  <c r="BC37" i="9"/>
  <c r="BC38" i="9" s="1"/>
  <c r="AW37" i="9"/>
  <c r="AW38" i="9" s="1"/>
  <c r="BY37" i="9"/>
  <c r="BY38" i="9" s="1"/>
  <c r="BM37" i="9"/>
  <c r="BM38" i="9" s="1"/>
  <c r="BA37" i="9"/>
  <c r="BA38" i="9" s="1"/>
  <c r="BW37" i="9"/>
  <c r="BW38" i="9" s="1"/>
  <c r="BK37" i="9"/>
  <c r="BK38" i="9" s="1"/>
  <c r="AY37" i="9"/>
  <c r="AY38" i="9" s="1"/>
  <c r="BG37" i="9"/>
  <c r="BG38" i="9" s="1"/>
  <c r="AJ4" i="9" l="1"/>
  <c r="AH4" i="9"/>
  <c r="AF4" i="9"/>
  <c r="AB4" i="9"/>
  <c r="CF5"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Yoav Bardugo</author>
    <author>Shmuel Fogel</author>
    <author>Merabi Kricheli</author>
    <author>Avi Manorr</author>
  </authors>
  <commentList>
    <comment ref="N5" authorId="0" guid="{8DDA4D13-1BE0-498F-87BF-27C8CA4A29F4}" shapeId="0" xr:uid="{00000000-0006-0000-0000-000001000000}">
      <text>
        <r>
          <rPr>
            <b/>
            <sz val="9"/>
            <color indexed="81"/>
            <rFont val="Tahoma"/>
            <family val="2"/>
          </rPr>
          <t>Yoav Bardugo:</t>
        </r>
        <r>
          <rPr>
            <sz val="9"/>
            <color indexed="81"/>
            <rFont val="Tahoma"/>
            <family val="2"/>
          </rPr>
          <t xml:space="preserve">
מאחר ביום זה
</t>
        </r>
      </text>
    </comment>
    <comment ref="AM5" authorId="1" guid="{B62F717D-6CB7-4D2F-BF84-4A91E34D7AA8}" shapeId="0" xr:uid="{00000000-0006-0000-0000-000002000000}">
      <text>
        <r>
          <rPr>
            <sz val="9"/>
            <color indexed="81"/>
            <rFont val="Tahoma"/>
            <family val="2"/>
          </rPr>
          <t xml:space="preserve">ראובן
</t>
        </r>
      </text>
    </comment>
    <comment ref="BB7" authorId="2" guid="{105D50F8-7890-4BA8-9B51-AAAD44951260}" shapeId="0" xr:uid="{00000000-0006-0000-0000-000003000000}">
      <text>
        <r>
          <rPr>
            <b/>
            <sz val="9"/>
            <color indexed="81"/>
            <rFont val="Tahoma"/>
            <family val="2"/>
          </rPr>
          <t>Merabi Kricheli:</t>
        </r>
        <r>
          <rPr>
            <sz val="9"/>
            <color indexed="81"/>
            <rFont val="Tahoma"/>
            <family val="2"/>
          </rPr>
          <t xml:space="preserve">
יוצא מוקדם ב: 18:00
באשור רא"ג
</t>
        </r>
      </text>
    </comment>
    <comment ref="AH8" authorId="3" guid="{073049A6-E275-46F3-A216-5D9D608F2D05}" shapeId="0" xr:uid="{00000000-0006-0000-0000-000004000000}">
      <text>
        <r>
          <rPr>
            <b/>
            <sz val="9"/>
            <color indexed="81"/>
            <rFont val="Tahoma"/>
            <family val="2"/>
          </rPr>
          <t>Avi Manorr:</t>
        </r>
        <r>
          <rPr>
            <sz val="9"/>
            <color indexed="81"/>
            <rFont val="Tahoma"/>
            <family val="2"/>
          </rPr>
          <t xml:space="preserve">
אחזקה חודשית
</t>
        </r>
      </text>
    </comment>
    <comment ref="AK8" authorId="1" guid="{A431E427-DC4D-4EAA-80D2-A8FC49960193}" shapeId="0" xr:uid="{00000000-0006-0000-0000-000005000000}">
      <text>
        <r>
          <rPr>
            <b/>
            <sz val="9"/>
            <color indexed="81"/>
            <rFont val="Tahoma"/>
            <family val="2"/>
          </rPr>
          <t xml:space="preserve">אבבה
</t>
        </r>
      </text>
    </comment>
    <comment ref="AN8" authorId="3" guid="{FAA41185-DE3D-4257-A258-D22937499EAC}" shapeId="0" xr:uid="{00000000-0006-0000-0000-000006000000}">
      <text>
        <r>
          <rPr>
            <b/>
            <sz val="9"/>
            <color indexed="81"/>
            <rFont val="Tahoma"/>
            <family val="2"/>
          </rPr>
          <t>Avi Manorr:</t>
        </r>
        <r>
          <rPr>
            <sz val="9"/>
            <color indexed="81"/>
            <rFont val="Tahoma"/>
            <family val="2"/>
          </rPr>
          <t xml:space="preserve">
אחזקה חודשית
</t>
        </r>
      </text>
    </comment>
    <comment ref="AZ8" authorId="2" guid="{11B26154-62EB-4236-B95A-EA548DBF3990}" shapeId="0" xr:uid="{00000000-0006-0000-0000-000007000000}">
      <text>
        <r>
          <rPr>
            <b/>
            <sz val="9"/>
            <color indexed="81"/>
            <rFont val="Tahoma"/>
            <family val="2"/>
          </rPr>
          <t>Merabi Kricheli:</t>
        </r>
        <r>
          <rPr>
            <sz val="9"/>
            <color indexed="81"/>
            <rFont val="Tahoma"/>
            <family val="2"/>
          </rPr>
          <t xml:space="preserve">
ndhg c: 22:30
</t>
        </r>
      </text>
    </comment>
    <comment ref="BX8" authorId="2" guid="{E7E26528-231E-4573-8632-48BEF371B7A6}" shapeId="0" xr:uid="{00000000-0006-0000-0000-000008000000}">
      <text>
        <r>
          <rPr>
            <b/>
            <sz val="9"/>
            <color indexed="81"/>
            <rFont val="Tahoma"/>
            <family val="2"/>
          </rPr>
          <t>Merabi Kricheli:</t>
        </r>
        <r>
          <rPr>
            <sz val="9"/>
            <color indexed="81"/>
            <rFont val="Tahoma"/>
            <family val="2"/>
          </rPr>
          <t xml:space="preserve">
באשור של רא"ג
</t>
        </r>
      </text>
    </comment>
    <comment ref="D10" authorId="3" guid="{1B60D714-AA58-4977-B7D0-F591CA69152A}" shapeId="0" xr:uid="{00000000-0006-0000-0000-000009000000}">
      <text>
        <r>
          <rPr>
            <b/>
            <sz val="9"/>
            <color indexed="81"/>
            <rFont val="Tahoma"/>
            <family val="2"/>
          </rPr>
          <t>Avi Manorr:</t>
        </r>
        <r>
          <rPr>
            <sz val="9"/>
            <color indexed="81"/>
            <rFont val="Tahoma"/>
            <family val="2"/>
          </rPr>
          <t xml:space="preserve">
אחזקה חודשית
</t>
        </r>
      </text>
    </comment>
    <comment ref="F10" authorId="3" guid="{43D00042-B3C3-4281-9BAD-47F54CCA8A49}" shapeId="0" xr:uid="{00000000-0006-0000-0000-00000A000000}">
      <text>
        <r>
          <rPr>
            <b/>
            <sz val="9"/>
            <color indexed="81"/>
            <rFont val="Tahoma"/>
            <family val="2"/>
          </rPr>
          <t>Avi Manorr:</t>
        </r>
        <r>
          <rPr>
            <sz val="9"/>
            <color indexed="81"/>
            <rFont val="Tahoma"/>
            <family val="2"/>
          </rPr>
          <t xml:space="preserve">
אחזקה חודשית
</t>
        </r>
      </text>
    </comment>
    <comment ref="J10" authorId="3" guid="{E51FCCD7-69DD-4F18-ACB7-DA0A06624FF9}" shapeId="0" xr:uid="{00000000-0006-0000-0000-00000B000000}">
      <text>
        <r>
          <rPr>
            <b/>
            <sz val="9"/>
            <color indexed="81"/>
            <rFont val="Tahoma"/>
            <family val="2"/>
          </rPr>
          <t>Avi Manorr:</t>
        </r>
        <r>
          <rPr>
            <sz val="9"/>
            <color indexed="81"/>
            <rFont val="Tahoma"/>
            <family val="2"/>
          </rPr>
          <t xml:space="preserve">
אחזקה חודשית
</t>
        </r>
      </text>
    </comment>
    <comment ref="AJ10" authorId="3" guid="{E79084D9-D673-4E1D-8CA4-BBF46DD0D56F}" shapeId="0" xr:uid="{00000000-0006-0000-0000-00000C000000}">
      <text>
        <r>
          <rPr>
            <b/>
            <sz val="9"/>
            <color indexed="81"/>
            <rFont val="Tahoma"/>
            <family val="2"/>
          </rPr>
          <t>Avi Manorr:</t>
        </r>
        <r>
          <rPr>
            <sz val="9"/>
            <color indexed="81"/>
            <rFont val="Tahoma"/>
            <family val="2"/>
          </rPr>
          <t xml:space="preserve">
אחזקה חודשית
</t>
        </r>
      </text>
    </comment>
    <comment ref="AZ11" authorId="2" guid="{DFEA40A0-7C6A-4F08-AD98-CADF5314EE8E}" shapeId="0" xr:uid="{00000000-0006-0000-0000-00000D000000}">
      <text>
        <r>
          <rPr>
            <b/>
            <sz val="9"/>
            <color indexed="81"/>
            <rFont val="Tahoma"/>
            <family val="2"/>
          </rPr>
          <t>Merabi Kricheli:</t>
        </r>
        <r>
          <rPr>
            <sz val="9"/>
            <color indexed="81"/>
            <rFont val="Tahoma"/>
            <family val="2"/>
          </rPr>
          <t xml:space="preserve">
לימודים
</t>
        </r>
      </text>
    </comment>
    <comment ref="BB11" authorId="2" guid="{ACB8E2C5-C184-4910-91D1-F8487159A1CE}" shapeId="0" xr:uid="{00000000-0006-0000-0000-00000E000000}">
      <text>
        <r>
          <rPr>
            <b/>
            <sz val="9"/>
            <color indexed="81"/>
            <rFont val="Tahoma"/>
            <family val="2"/>
          </rPr>
          <t>Merabi Kricheli:</t>
        </r>
        <r>
          <rPr>
            <sz val="9"/>
            <color indexed="81"/>
            <rFont val="Tahoma"/>
            <family val="2"/>
          </rPr>
          <t xml:space="preserve">
יוצא מוקדם ב: 18:00
באשור רא"ג
</t>
        </r>
      </text>
    </comment>
    <comment ref="BN11" authorId="2" guid="{5AA8C1DC-26D9-4E22-A1C3-026E8101F207}" shapeId="0" xr:uid="{00000000-0006-0000-0000-00000F000000}">
      <text>
        <r>
          <rPr>
            <b/>
            <sz val="9"/>
            <color indexed="81"/>
            <rFont val="Tahoma"/>
            <family val="2"/>
          </rPr>
          <t>Merabi Kricheli:</t>
        </r>
        <r>
          <rPr>
            <sz val="9"/>
            <color indexed="81"/>
            <rFont val="Tahoma"/>
            <family val="2"/>
          </rPr>
          <t xml:space="preserve">
טיול ועד
</t>
        </r>
      </text>
    </comment>
    <comment ref="M13" authorId="0" guid="{511A5AF8-EC1A-45A0-A42D-0A9AECE8EF8C}" shapeId="0" xr:uid="{00000000-0006-0000-0000-000010000000}">
      <text>
        <r>
          <rPr>
            <b/>
            <sz val="9"/>
            <color indexed="81"/>
            <rFont val="Tahoma"/>
            <family val="2"/>
          </rPr>
          <t>Yoav Bardugo:</t>
        </r>
        <r>
          <rPr>
            <sz val="9"/>
            <color indexed="81"/>
            <rFont val="Tahoma"/>
            <family val="2"/>
          </rPr>
          <t xml:space="preserve">
אבי מנור
</t>
        </r>
      </text>
    </comment>
    <comment ref="G14" authorId="0" guid="{A98AD2DA-8E56-4F35-8C6E-DE2706D5754D}" shapeId="0" xr:uid="{00000000-0006-0000-0000-000011000000}">
      <text>
        <r>
          <rPr>
            <b/>
            <sz val="9"/>
            <color indexed="81"/>
            <rFont val="Tahoma"/>
            <family val="2"/>
          </rPr>
          <t>Yoav Bardugo:</t>
        </r>
        <r>
          <rPr>
            <sz val="9"/>
            <color indexed="81"/>
            <rFont val="Tahoma"/>
            <family val="2"/>
          </rPr>
          <t xml:space="preserve">
אבי מנור
</t>
        </r>
      </text>
    </comment>
    <comment ref="AZ15" authorId="2" guid="{D4CE5C6F-0A56-4B2A-9487-8B46DC69FBB3}" shapeId="0" xr:uid="{00000000-0006-0000-0000-000012000000}">
      <text>
        <r>
          <rPr>
            <b/>
            <sz val="9"/>
            <color indexed="81"/>
            <rFont val="Tahoma"/>
            <family val="2"/>
          </rPr>
          <t>Merabi Kricheli:</t>
        </r>
        <r>
          <rPr>
            <sz val="9"/>
            <color indexed="81"/>
            <rFont val="Tahoma"/>
            <family val="2"/>
          </rPr>
          <t xml:space="preserve">
לימודים
</t>
        </r>
      </text>
    </comment>
    <comment ref="BB15" authorId="2" guid="{82ADC958-EC35-4045-B9EC-16C07D84B064}" shapeId="0" xr:uid="{00000000-0006-0000-0000-000013000000}">
      <text>
        <r>
          <rPr>
            <b/>
            <sz val="9"/>
            <color indexed="81"/>
            <rFont val="Tahoma"/>
            <family val="2"/>
          </rPr>
          <t>Merabi Kricheli:</t>
        </r>
        <r>
          <rPr>
            <sz val="9"/>
            <color indexed="81"/>
            <rFont val="Tahoma"/>
            <family val="2"/>
          </rPr>
          <t xml:space="preserve">
יוצא מוקדם ב: 18:00
באשור רא"ג
</t>
        </r>
      </text>
    </comment>
    <comment ref="BF15" authorId="2" guid="{2C5A9303-B675-484D-B94D-EF187ED54F35}" shapeId="0" xr:uid="{00000000-0006-0000-0000-000014000000}">
      <text>
        <r>
          <rPr>
            <b/>
            <sz val="9"/>
            <color indexed="81"/>
            <rFont val="Tahoma"/>
            <family val="2"/>
          </rPr>
          <t>Merabi Kricheli:</t>
        </r>
        <r>
          <rPr>
            <sz val="9"/>
            <color indexed="81"/>
            <rFont val="Tahoma"/>
            <family val="2"/>
          </rPr>
          <t xml:space="preserve">
שבעה
</t>
        </r>
      </text>
    </comment>
    <comment ref="BF16" authorId="2" guid="{82FEBCE4-B676-4FF6-ACF3-9F9953E967EA}" shapeId="0" xr:uid="{00000000-0006-0000-0000-000015000000}">
      <text>
        <r>
          <rPr>
            <b/>
            <sz val="9"/>
            <color indexed="81"/>
            <rFont val="Tahoma"/>
            <family val="2"/>
          </rPr>
          <t>Merabi Kricheli:</t>
        </r>
        <r>
          <rPr>
            <sz val="9"/>
            <color indexed="81"/>
            <rFont val="Tahoma"/>
            <family val="2"/>
          </rPr>
          <t xml:space="preserve">
שבעה
</t>
        </r>
      </text>
    </comment>
    <comment ref="BF17" authorId="2" guid="{5E5536ED-7D93-4D9D-82ED-3EFE196F9E4D}" shapeId="0" xr:uid="{00000000-0006-0000-0000-000016000000}">
      <text>
        <r>
          <rPr>
            <b/>
            <sz val="9"/>
            <color indexed="81"/>
            <rFont val="Tahoma"/>
            <family val="2"/>
          </rPr>
          <t>Merabi Kricheli:</t>
        </r>
        <r>
          <rPr>
            <sz val="9"/>
            <color indexed="81"/>
            <rFont val="Tahoma"/>
            <family val="2"/>
          </rPr>
          <t xml:space="preserve">
שבעה
</t>
        </r>
      </text>
    </comment>
    <comment ref="BF18" authorId="2" guid="{FDDD8A4F-788F-4C05-9399-CB09B756EA1C}" shapeId="0" xr:uid="{00000000-0006-0000-0000-000017000000}">
      <text>
        <r>
          <rPr>
            <b/>
            <sz val="9"/>
            <color indexed="81"/>
            <rFont val="Tahoma"/>
            <family val="2"/>
          </rPr>
          <t>Merabi Kricheli:</t>
        </r>
        <r>
          <rPr>
            <sz val="9"/>
            <color indexed="81"/>
            <rFont val="Tahoma"/>
            <family val="2"/>
          </rPr>
          <t xml:space="preserve">
שבעה
</t>
        </r>
      </text>
    </comment>
    <comment ref="BZ18" authorId="2" guid="{ADF56132-AC91-4CEA-A7A6-449615F61642}" shapeId="0" xr:uid="{00000000-0006-0000-0000-000018000000}">
      <text>
        <r>
          <rPr>
            <b/>
            <sz val="9"/>
            <color indexed="81"/>
            <rFont val="Tahoma"/>
            <family val="2"/>
          </rPr>
          <t>Merabi Kricheli:</t>
        </r>
        <r>
          <rPr>
            <sz val="9"/>
            <color indexed="81"/>
            <rFont val="Tahoma"/>
            <family val="2"/>
          </rPr>
          <t xml:space="preserve">
בטיחות כללית
08:30
מבנה אחזקה
</t>
        </r>
      </text>
    </comment>
    <comment ref="BF19" authorId="2" guid="{F39CB28D-117A-483A-9F11-5B31951B86EC}" shapeId="0" xr:uid="{00000000-0006-0000-0000-000019000000}">
      <text>
        <r>
          <rPr>
            <b/>
            <sz val="9"/>
            <color indexed="81"/>
            <rFont val="Tahoma"/>
            <family val="2"/>
          </rPr>
          <t>Merabi Kricheli:</t>
        </r>
        <r>
          <rPr>
            <sz val="9"/>
            <color indexed="81"/>
            <rFont val="Tahoma"/>
            <family val="2"/>
          </rPr>
          <t xml:space="preserve">
שבעה
</t>
        </r>
      </text>
    </comment>
    <comment ref="AI20" authorId="1" guid="{70075656-6C21-4A1E-B658-3EAF8CB4DDA1}" shapeId="0" xr:uid="{00000000-0006-0000-0000-00001A000000}">
      <text>
        <r>
          <rPr>
            <b/>
            <sz val="9"/>
            <color indexed="81"/>
            <rFont val="Tahoma"/>
            <family val="2"/>
          </rPr>
          <t>שמוליק</t>
        </r>
        <r>
          <rPr>
            <sz val="9"/>
            <color indexed="81"/>
            <rFont val="Tahoma"/>
            <family val="2"/>
          </rPr>
          <t xml:space="preserve">
</t>
        </r>
      </text>
    </comment>
    <comment ref="N23" authorId="0" guid="{8A75BD1E-D239-4BF3-8CFA-A475BD9A4EE9}" shapeId="0" xr:uid="{00000000-0006-0000-0000-00001B000000}">
      <text>
        <r>
          <rPr>
            <b/>
            <sz val="9"/>
            <color indexed="81"/>
            <rFont val="Tahoma"/>
            <family val="2"/>
          </rPr>
          <t>Yoav Bardugo:</t>
        </r>
        <r>
          <rPr>
            <sz val="9"/>
            <color indexed="81"/>
            <rFont val="Tahoma"/>
            <family val="2"/>
          </rPr>
          <t xml:space="preserve">
בקרה צפון
</t>
        </r>
      </text>
    </comment>
    <comment ref="T23" authorId="0" guid="{6BC260D3-5ECC-4CC0-ADF3-49B22C8C60F0}" shapeId="0" xr:uid="{00000000-0006-0000-0000-00001C000000}">
      <text>
        <r>
          <rPr>
            <b/>
            <sz val="9"/>
            <color indexed="81"/>
            <rFont val="Tahoma"/>
            <family val="2"/>
          </rPr>
          <t>Yoav Bardugo:</t>
        </r>
        <r>
          <rPr>
            <sz val="9"/>
            <color indexed="81"/>
            <rFont val="Tahoma"/>
            <family val="2"/>
          </rPr>
          <t xml:space="preserve">
בקרה צפון
</t>
        </r>
      </text>
    </comment>
    <comment ref="X23" authorId="0" guid="{F4C16CC3-F8E1-4205-9F85-E182CBD46D20}" shapeId="0" xr:uid="{00000000-0006-0000-0000-00001D000000}">
      <text>
        <r>
          <rPr>
            <b/>
            <sz val="9"/>
            <color indexed="81"/>
            <rFont val="Tahoma"/>
            <family val="2"/>
          </rPr>
          <t>Yoav Bardugo:</t>
        </r>
        <r>
          <rPr>
            <sz val="9"/>
            <color indexed="81"/>
            <rFont val="Tahoma"/>
            <family val="2"/>
          </rPr>
          <t xml:space="preserve">
בקרה צפון
</t>
        </r>
      </text>
    </comment>
    <comment ref="H24" authorId="3" guid="{F9A45305-5B57-42C0-A6C1-53A52EB4FD3D}" shapeId="0" xr:uid="{00000000-0006-0000-0000-00001E000000}">
      <text>
        <r>
          <rPr>
            <b/>
            <sz val="9"/>
            <color indexed="81"/>
            <rFont val="Tahoma"/>
            <family val="2"/>
          </rPr>
          <t>Avi Manorr:</t>
        </r>
        <r>
          <rPr>
            <sz val="9"/>
            <color indexed="81"/>
            <rFont val="Tahoma"/>
            <family val="2"/>
          </rPr>
          <t xml:space="preserve">
בחינה
</t>
        </r>
      </text>
    </comment>
    <comment ref="AZ24" authorId="2" guid="{29A59393-21B3-479C-A693-573112CBFE9F}" shapeId="0" xr:uid="{00000000-0006-0000-0000-00001F000000}">
      <text>
        <r>
          <rPr>
            <b/>
            <sz val="9"/>
            <color indexed="81"/>
            <rFont val="Tahoma"/>
            <family val="2"/>
          </rPr>
          <t>Merabi Kricheli:</t>
        </r>
        <r>
          <rPr>
            <sz val="9"/>
            <color indexed="81"/>
            <rFont val="Tahoma"/>
            <family val="2"/>
          </rPr>
          <t xml:space="preserve">
מגיע מאוחר ובבוקר נשאר להדרכת בטיחות
</t>
        </r>
      </text>
    </comment>
    <comment ref="BH24" authorId="1" guid="{99C89242-1CD5-417D-9191-E39BB3F2E639}" shapeId="0" xr:uid="{00000000-0006-0000-0000-000020000000}">
      <text>
        <r>
          <rPr>
            <b/>
            <sz val="9"/>
            <color indexed="81"/>
            <rFont val="Tahoma"/>
            <family val="2"/>
          </rPr>
          <t>בטיחות חשמל 13:00-16:00</t>
        </r>
        <r>
          <rPr>
            <sz val="9"/>
            <color indexed="81"/>
            <rFont val="Tahoma"/>
            <family val="2"/>
          </rPr>
          <t xml:space="preserve">
</t>
        </r>
      </text>
    </comment>
    <comment ref="BJ24" authorId="1" guid="{787E8823-8400-4790-84F8-27D3F3AF3BA9}" shapeId="0" xr:uid="{00000000-0006-0000-0000-000021000000}">
      <text>
        <r>
          <rPr>
            <b/>
            <sz val="9"/>
            <color indexed="81"/>
            <rFont val="Tahoma"/>
            <family val="2"/>
          </rPr>
          <t>בטיחות חשמל 13:00-16:00</t>
        </r>
        <r>
          <rPr>
            <sz val="9"/>
            <color indexed="81"/>
            <rFont val="Tahoma"/>
            <family val="2"/>
          </rPr>
          <t xml:space="preserve">
</t>
        </r>
      </text>
    </comment>
    <comment ref="BL24" authorId="1" guid="{87CA9C74-EC4C-4FD9-B89B-3C70A65BD502}" shapeId="0" xr:uid="{00000000-0006-0000-0000-000022000000}">
      <text>
        <r>
          <rPr>
            <b/>
            <sz val="9"/>
            <color indexed="81"/>
            <rFont val="Tahoma"/>
            <family val="2"/>
          </rPr>
          <t>בטיחות חשמל 13:00-16:00</t>
        </r>
        <r>
          <rPr>
            <sz val="9"/>
            <color indexed="81"/>
            <rFont val="Tahoma"/>
            <family val="2"/>
          </rPr>
          <t xml:space="preserve">
</t>
        </r>
      </text>
    </comment>
    <comment ref="AZ25" authorId="2" guid="{7B51BEFE-F21B-45D1-9501-408C5231DD3D}" shapeId="0" xr:uid="{00000000-0006-0000-0000-000023000000}">
      <text>
        <r>
          <rPr>
            <b/>
            <sz val="9"/>
            <color indexed="81"/>
            <rFont val="Tahoma"/>
            <family val="2"/>
          </rPr>
          <t>Merabi Kricheli:</t>
        </r>
        <r>
          <rPr>
            <sz val="9"/>
            <color indexed="81"/>
            <rFont val="Tahoma"/>
            <family val="2"/>
          </rPr>
          <t xml:space="preserve">
הדרכת בטיחות
  ב 08:30
במבנה אחזקה
</t>
        </r>
      </text>
    </comment>
    <comment ref="BN25" authorId="2" guid="{1550B1C3-DC4A-4CE7-B0B9-D21BBCC3EC50}" shapeId="0" xr:uid="{00000000-0006-0000-0000-000024000000}">
      <text>
        <r>
          <rPr>
            <b/>
            <sz val="9"/>
            <color indexed="81"/>
            <rFont val="Tahoma"/>
            <family val="2"/>
          </rPr>
          <t>Merabi Kricheli:</t>
        </r>
        <r>
          <rPr>
            <sz val="9"/>
            <color indexed="81"/>
            <rFont val="Tahoma"/>
            <family val="2"/>
          </rPr>
          <t xml:space="preserve">
קורס בודקים
</t>
        </r>
      </text>
    </comment>
    <comment ref="AG27" authorId="1" guid="{63B61E60-B6F1-48E9-8865-85B480230B47}" shapeId="0" xr:uid="{00000000-0006-0000-0000-000025000000}">
      <text>
        <r>
          <rPr>
            <b/>
            <sz val="9"/>
            <color indexed="81"/>
            <rFont val="Tahoma"/>
            <family val="2"/>
          </rPr>
          <t>אלי</t>
        </r>
        <r>
          <rPr>
            <sz val="9"/>
            <color indexed="81"/>
            <rFont val="Tahoma"/>
            <family val="2"/>
          </rPr>
          <t xml:space="preserve">
</t>
        </r>
      </text>
    </comment>
    <comment ref="AZ27" authorId="2" guid="{C178851D-4DA1-4DA0-8137-2FE9140D6DEC}" shapeId="0" xr:uid="{00000000-0006-0000-0000-000026000000}">
      <text>
        <r>
          <rPr>
            <b/>
            <sz val="9"/>
            <color indexed="81"/>
            <rFont val="Tahoma"/>
            <family val="2"/>
          </rPr>
          <t>Merabi Kricheli:</t>
        </r>
        <r>
          <rPr>
            <sz val="9"/>
            <color indexed="81"/>
            <rFont val="Tahoma"/>
            <family val="2"/>
          </rPr>
          <t xml:space="preserve">
לימודים
</t>
        </r>
      </text>
    </comment>
    <comment ref="BB27" authorId="2" guid="{476918B0-BC14-4DEA-8E59-97638C83154F}" shapeId="0" xr:uid="{00000000-0006-0000-0000-000027000000}">
      <text>
        <r>
          <rPr>
            <b/>
            <sz val="9"/>
            <color indexed="81"/>
            <rFont val="Tahoma"/>
            <family val="2"/>
          </rPr>
          <t>Merabi Kricheli:</t>
        </r>
        <r>
          <rPr>
            <sz val="9"/>
            <color indexed="81"/>
            <rFont val="Tahoma"/>
            <family val="2"/>
          </rPr>
          <t xml:space="preserve">
יוצא מוקדם ב: 18:00
באשור רא"ג
</t>
        </r>
      </text>
    </comment>
    <comment ref="BB28" authorId="2" guid="{AB6D5323-5157-43E7-979A-0CA5DE4E1C14}" shapeId="0" xr:uid="{00000000-0006-0000-0000-000028000000}">
      <text>
        <r>
          <rPr>
            <b/>
            <sz val="9"/>
            <color indexed="81"/>
            <rFont val="Tahoma"/>
            <family val="2"/>
          </rPr>
          <t>Merabi Kricheli:</t>
        </r>
        <r>
          <rPr>
            <sz val="9"/>
            <color indexed="81"/>
            <rFont val="Tahoma"/>
            <family val="2"/>
          </rPr>
          <t xml:space="preserve">
מגיע מאוחר ב: 22:00
באשור רא"ג
</t>
        </r>
      </text>
    </comment>
    <comment ref="F29" authorId="3" guid="{2907ABDC-EA3B-4CF8-B9B2-FC3E629F09BB}" shapeId="0" xr:uid="{00000000-0006-0000-0000-000029000000}">
      <text>
        <r>
          <rPr>
            <b/>
            <sz val="9"/>
            <color indexed="81"/>
            <rFont val="Tahoma"/>
            <family val="2"/>
          </rPr>
          <t>Avi Manorr:</t>
        </r>
        <r>
          <rPr>
            <sz val="9"/>
            <color indexed="81"/>
            <rFont val="Tahoma"/>
            <family val="2"/>
          </rPr>
          <t xml:space="preserve">
אחזקה
</t>
        </r>
      </text>
    </comment>
    <comment ref="T29" authorId="3" guid="{DC0B3A52-DBBD-4F35-B976-89D7F79E5309}" shapeId="0" xr:uid="{00000000-0006-0000-0000-00002A000000}">
      <text>
        <r>
          <rPr>
            <b/>
            <sz val="9"/>
            <color indexed="81"/>
            <rFont val="Tahoma"/>
            <family val="2"/>
          </rPr>
          <t>Avi Manorr:</t>
        </r>
        <r>
          <rPr>
            <sz val="9"/>
            <color indexed="81"/>
            <rFont val="Tahoma"/>
            <family val="2"/>
          </rPr>
          <t xml:space="preserve">
אחזקה
</t>
        </r>
      </text>
    </comment>
    <comment ref="AB29" authorId="3" guid="{FCF01072-86EE-4F85-9903-B8936FD9D94C}" shapeId="0" xr:uid="{00000000-0006-0000-0000-00002B000000}">
      <text>
        <r>
          <rPr>
            <b/>
            <sz val="9"/>
            <color indexed="81"/>
            <rFont val="Tahoma"/>
            <family val="2"/>
          </rPr>
          <t>Avi Manorr:</t>
        </r>
        <r>
          <rPr>
            <sz val="9"/>
            <color indexed="81"/>
            <rFont val="Tahoma"/>
            <family val="2"/>
          </rPr>
          <t xml:space="preserve">
אחזקה
</t>
        </r>
      </text>
    </comment>
    <comment ref="AJ29" authorId="3" guid="{4C7CC023-FBBA-4B82-806A-D15CF47B38EC}" shapeId="0" xr:uid="{00000000-0006-0000-0000-00002C000000}">
      <text>
        <r>
          <rPr>
            <b/>
            <sz val="9"/>
            <color indexed="81"/>
            <rFont val="Tahoma"/>
            <family val="2"/>
          </rPr>
          <t>Avi Manorr:</t>
        </r>
        <r>
          <rPr>
            <sz val="9"/>
            <color indexed="81"/>
            <rFont val="Tahoma"/>
            <family val="2"/>
          </rPr>
          <t xml:space="preserve">
אחזקה
</t>
        </r>
      </text>
    </comment>
    <comment ref="AM29" authorId="1" guid="{5BA04596-E10A-496B-8715-88B2B3C7A4E2}" shapeId="0" xr:uid="{00000000-0006-0000-0000-00002D000000}">
      <text>
        <r>
          <rPr>
            <b/>
            <sz val="9"/>
            <color indexed="81"/>
            <rFont val="Tahoma"/>
            <family val="2"/>
          </rPr>
          <t xml:space="preserve">אלי
יוחזר בפברואר
</t>
        </r>
      </text>
    </comment>
    <comment ref="BV30" authorId="1" guid="{D00DFFB0-2AA3-4159-9CE6-EE9DC93BA704}" shapeId="0" xr:uid="{00000000-0006-0000-0000-00002E000000}">
      <text>
        <r>
          <rPr>
            <b/>
            <sz val="9"/>
            <color indexed="81"/>
            <rFont val="Tahoma"/>
            <family val="2"/>
          </rPr>
          <t>בטיחות חשמל 13:00-16:00</t>
        </r>
        <r>
          <rPr>
            <sz val="9"/>
            <color indexed="81"/>
            <rFont val="Tahoma"/>
            <family val="2"/>
          </rPr>
          <t xml:space="preserve">
</t>
        </r>
      </text>
    </comment>
    <comment ref="BX30" authorId="1" guid="{CFA1B869-97BC-43FB-B90E-05A591ABAA28}" shapeId="0" xr:uid="{00000000-0006-0000-0000-00002F000000}">
      <text>
        <r>
          <rPr>
            <b/>
            <sz val="9"/>
            <color indexed="81"/>
            <rFont val="Tahoma"/>
            <family val="2"/>
          </rPr>
          <t>בטיחות חשמל 13:00 - 16:00</t>
        </r>
        <r>
          <rPr>
            <sz val="9"/>
            <color indexed="81"/>
            <rFont val="Tahoma"/>
            <family val="2"/>
          </rPr>
          <t xml:space="preserve">
</t>
        </r>
      </text>
    </comment>
    <comment ref="BZ30" authorId="1" guid="{2DE39B1B-FC2E-4442-920F-4D07F051A846}" shapeId="0" xr:uid="{00000000-0006-0000-0000-000030000000}">
      <text>
        <r>
          <rPr>
            <b/>
            <sz val="9"/>
            <color indexed="81"/>
            <rFont val="Tahoma"/>
            <family val="2"/>
          </rPr>
          <t>בטיחות חשמל 13:00-16:00</t>
        </r>
        <r>
          <rPr>
            <sz val="9"/>
            <color indexed="81"/>
            <rFont val="Tahoma"/>
            <family val="2"/>
          </rPr>
          <t xml:space="preserve">
</t>
        </r>
      </text>
    </comment>
    <comment ref="CB30" authorId="1" guid="{A7F097C2-527F-437F-9DC3-2CB23516877F}" shapeId="0" xr:uid="{00000000-0006-0000-0000-000031000000}">
      <text>
        <r>
          <rPr>
            <b/>
            <sz val="9"/>
            <color indexed="81"/>
            <rFont val="Tahoma"/>
            <family val="2"/>
          </rPr>
          <t>בטיחות חשמל 13:00-16:00</t>
        </r>
        <r>
          <rPr>
            <sz val="9"/>
            <color indexed="81"/>
            <rFont val="Tahoma"/>
            <family val="2"/>
          </rPr>
          <t xml:space="preserve">
</t>
        </r>
      </text>
    </comment>
    <comment ref="AZ31" authorId="1" guid="{4DBB8EAB-E695-4B20-9594-4FF8F62F739E}" shapeId="0" xr:uid="{00000000-0006-0000-0000-000032000000}">
      <text>
        <r>
          <rPr>
            <b/>
            <sz val="9"/>
            <color indexed="81"/>
            <rFont val="Tahoma"/>
            <family val="2"/>
          </rPr>
          <t>בטיחות חשמל 13:00-16:00</t>
        </r>
        <r>
          <rPr>
            <sz val="9"/>
            <color indexed="81"/>
            <rFont val="Tahoma"/>
            <family val="2"/>
          </rPr>
          <t xml:space="preserve">
</t>
        </r>
      </text>
    </comment>
    <comment ref="BB31" authorId="2" guid="{558E3D50-F545-4612-B1EA-44CA242D656A}" shapeId="0" xr:uid="{00000000-0006-0000-0000-000033000000}">
      <text>
        <r>
          <rPr>
            <b/>
            <sz val="9"/>
            <color indexed="81"/>
            <rFont val="Tahoma"/>
            <family val="2"/>
          </rPr>
          <t>Merabi Kricheli:</t>
        </r>
        <r>
          <rPr>
            <sz val="9"/>
            <color indexed="81"/>
            <rFont val="Tahoma"/>
            <family val="2"/>
          </rPr>
          <t xml:space="preserve">
יוצא מוקדם ב: 18:00
באשור רא"ג
</t>
        </r>
        <r>
          <rPr>
            <b/>
            <sz val="9"/>
            <color indexed="81"/>
            <rFont val="Tahoma"/>
            <family val="2"/>
          </rPr>
          <t>Shmuel Fogel:</t>
        </r>
        <r>
          <rPr>
            <sz val="9"/>
            <color indexed="81"/>
            <rFont val="Tahoma"/>
            <family val="2"/>
          </rPr>
          <t xml:space="preserve">
בטיחות חשמל
</t>
        </r>
      </text>
    </comment>
    <comment ref="BD31" authorId="1" guid="{3B214E00-B770-4263-AC7C-A978F5C07F0F}" shapeId="0" xr:uid="{00000000-0006-0000-0000-000034000000}">
      <text>
        <r>
          <rPr>
            <b/>
            <sz val="9"/>
            <color indexed="81"/>
            <rFont val="Tahoma"/>
            <family val="2"/>
          </rPr>
          <t>בטיחות חשמל 13:00-16:00</t>
        </r>
        <r>
          <rPr>
            <sz val="9"/>
            <color indexed="81"/>
            <rFont val="Tahoma"/>
            <family val="2"/>
          </rPr>
          <t xml:space="preserve">
</t>
        </r>
      </text>
    </comment>
    <comment ref="BT31" authorId="2" guid="{4BC3140D-A325-4161-B7BD-673E8E6AE034}" shapeId="0" xr:uid="{00000000-0006-0000-0000-000035000000}">
      <text>
        <r>
          <rPr>
            <b/>
            <sz val="9"/>
            <color indexed="81"/>
            <rFont val="Tahoma"/>
            <family val="2"/>
          </rPr>
          <t>Merabi Kricheli:</t>
        </r>
        <r>
          <rPr>
            <sz val="9"/>
            <color indexed="81"/>
            <rFont val="Tahoma"/>
            <family val="2"/>
          </rPr>
          <t xml:space="preserve">
באשור של רא"ג
</t>
        </r>
      </text>
    </comment>
    <comment ref="AZ32" authorId="2" guid="{7E25C32A-2AFF-4B44-91A3-4BA8393EEAA0}" shapeId="0" xr:uid="{00000000-0006-0000-0000-000036000000}">
      <text>
        <r>
          <rPr>
            <b/>
            <sz val="9"/>
            <color indexed="81"/>
            <rFont val="Tahoma"/>
            <family val="2"/>
          </rPr>
          <t>Merabi Kricheli:</t>
        </r>
        <r>
          <rPr>
            <sz val="9"/>
            <color indexed="81"/>
            <rFont val="Tahoma"/>
            <family val="2"/>
          </rPr>
          <t xml:space="preserve">
מגיע ב 21:00
</t>
        </r>
      </text>
    </comment>
    <comment ref="BH32" authorId="2" guid="{08A7EFA3-3BEA-4EBC-AD35-32F3D5BE78FF}" shapeId="0" xr:uid="{00000000-0006-0000-0000-000037000000}">
      <text>
        <r>
          <rPr>
            <b/>
            <sz val="9"/>
            <color indexed="81"/>
            <rFont val="Tahoma"/>
            <family val="2"/>
          </rPr>
          <t>Merabi Kricheli:</t>
        </r>
        <r>
          <rPr>
            <sz val="9"/>
            <color indexed="81"/>
            <rFont val="Tahoma"/>
            <family val="2"/>
          </rPr>
          <t xml:space="preserve">
קורס בודקים
</t>
        </r>
      </text>
    </comment>
    <comment ref="BX32" authorId="2" guid="{08701B33-DAC8-4E65-81E3-D874369A0E1D}" shapeId="0" xr:uid="{00000000-0006-0000-0000-000038000000}">
      <text>
        <r>
          <rPr>
            <b/>
            <sz val="9"/>
            <color indexed="81"/>
            <rFont val="Tahoma"/>
            <family val="2"/>
          </rPr>
          <t>Merabi Kricheli:</t>
        </r>
        <r>
          <rPr>
            <sz val="9"/>
            <color indexed="81"/>
            <rFont val="Tahoma"/>
            <family val="2"/>
          </rPr>
          <t xml:space="preserve">
באשור של רא"ג
</t>
        </r>
      </text>
    </comment>
    <comment ref="N33" authorId="0" guid="{F7A2A1A1-92BF-46F6-B291-DF5A9CEC7439}" shapeId="0" xr:uid="{00000000-0006-0000-0000-000039000000}">
      <text>
        <r>
          <rPr>
            <b/>
            <sz val="9"/>
            <color indexed="81"/>
            <rFont val="Tahoma"/>
            <family val="2"/>
          </rPr>
          <t>Yoav Bardugo:</t>
        </r>
        <r>
          <rPr>
            <sz val="9"/>
            <color indexed="81"/>
            <rFont val="Tahoma"/>
            <family val="2"/>
          </rPr>
          <t xml:space="preserve">
בקרה דרום
</t>
        </r>
      </text>
    </comment>
    <comment ref="V33" authorId="0" guid="{CAD1D91D-2A3C-4951-A38B-85CC0454B520}" shapeId="0" xr:uid="{00000000-0006-0000-0000-00003A000000}">
      <text>
        <r>
          <rPr>
            <b/>
            <sz val="9"/>
            <color indexed="81"/>
            <rFont val="Tahoma"/>
            <family val="2"/>
          </rPr>
          <t>Yoav Bardugo:</t>
        </r>
        <r>
          <rPr>
            <sz val="9"/>
            <color indexed="81"/>
            <rFont val="Tahoma"/>
            <family val="2"/>
          </rPr>
          <t xml:space="preserve">
בקרה דרום
</t>
        </r>
      </text>
    </comment>
    <comment ref="Y34" authorId="0" guid="{2203B6BC-BC2B-45DA-9EC9-FD3AEAA2F8F5}" shapeId="0" xr:uid="{00000000-0006-0000-0000-00003B000000}">
      <text>
        <r>
          <rPr>
            <b/>
            <sz val="9"/>
            <color indexed="81"/>
            <rFont val="Tahoma"/>
            <family val="2"/>
          </rPr>
          <t>Yoav Bardugo:</t>
        </r>
        <r>
          <rPr>
            <sz val="9"/>
            <color indexed="81"/>
            <rFont val="Tahoma"/>
            <family val="2"/>
          </rPr>
          <t xml:space="preserve">
תומר סער
</t>
        </r>
      </text>
    </comment>
    <comment ref="Y35" authorId="0" guid="{7BF177EB-4BCB-45CF-90B9-AC54CAE5C8E0}" shapeId="0" xr:uid="{00000000-0006-0000-0000-00003C000000}">
      <text>
        <r>
          <rPr>
            <b/>
            <sz val="9"/>
            <color indexed="81"/>
            <rFont val="Tahoma"/>
            <family val="2"/>
          </rPr>
          <t>Yoav Bardugo:</t>
        </r>
        <r>
          <rPr>
            <sz val="9"/>
            <color indexed="81"/>
            <rFont val="Tahoma"/>
            <family val="2"/>
          </rPr>
          <t xml:space="preserve">
מיכאל דניאל
</t>
        </r>
      </text>
    </comment>
    <comment ref="BB35" authorId="2" guid="{596AA9C4-AC94-46B5-AA94-8D66E80BF165}" shapeId="0" xr:uid="{00000000-0006-0000-0000-00003D000000}">
      <text>
        <r>
          <rPr>
            <b/>
            <sz val="9"/>
            <color indexed="81"/>
            <rFont val="Tahoma"/>
            <family val="2"/>
          </rPr>
          <t>Merabi Kricheli:</t>
        </r>
        <r>
          <rPr>
            <sz val="9"/>
            <color indexed="81"/>
            <rFont val="Tahoma"/>
            <family val="2"/>
          </rPr>
          <t xml:space="preserve">
יוצא מוקדם ב: 18:00
באשור רא"ג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Avi Shmueli</author>
    <author>Tomer Lebovich</author>
    <author>Merabi Kricheli</author>
    <author>Avi Manorr</author>
    <author>Yoav Bardugo</author>
    <author>Shmuel Fogel</author>
  </authors>
  <commentList>
    <comment ref="E5" authorId="0" guid="{71A5233B-104C-41C9-BA05-823FB1006BB7}" shapeId="0" xr:uid="{00000000-0006-0000-0100-000001000000}">
      <text>
        <r>
          <rPr>
            <sz val="9"/>
            <color indexed="81"/>
            <rFont val="Tahoma"/>
            <family val="2"/>
          </rPr>
          <t xml:space="preserve">שמואלי
</t>
        </r>
      </text>
    </comment>
    <comment ref="AO5" authorId="1" guid="{3FEBC46C-0172-406B-A6E5-38C60FEB39E4}" shapeId="0" xr:uid="{00000000-0006-0000-0100-000002000000}">
      <text>
        <r>
          <rPr>
            <b/>
            <sz val="9"/>
            <color indexed="81"/>
            <rFont val="Tahoma"/>
            <family val="2"/>
          </rPr>
          <t>Tomer Lebovich:</t>
        </r>
        <r>
          <rPr>
            <sz val="9"/>
            <color indexed="81"/>
            <rFont val="Tahoma"/>
            <family val="2"/>
          </rPr>
          <t xml:space="preserve">
אלי
</t>
        </r>
      </text>
    </comment>
    <comment ref="BT5" authorId="2" guid="{A0AC2096-A41E-4759-BD8E-C084DF9E1DA3}" shapeId="0" xr:uid="{00000000-0006-0000-0100-000003000000}">
      <text>
        <r>
          <rPr>
            <b/>
            <sz val="9"/>
            <color indexed="81"/>
            <rFont val="Tahoma"/>
            <family val="2"/>
          </rPr>
          <t>Merabi Kricheli:</t>
        </r>
        <r>
          <rPr>
            <sz val="9"/>
            <color indexed="81"/>
            <rFont val="Tahoma"/>
            <family val="2"/>
          </rPr>
          <t xml:space="preserve">
בשבעה
</t>
        </r>
      </text>
    </comment>
    <comment ref="BT6" authorId="2" guid="{9F13D7BC-EE1E-4CB3-955A-C8551E1C3B16}" shapeId="0" xr:uid="{00000000-0006-0000-0100-000004000000}">
      <text>
        <r>
          <rPr>
            <b/>
            <sz val="9"/>
            <color indexed="81"/>
            <rFont val="Tahoma"/>
            <family val="2"/>
          </rPr>
          <t>Merabi Kricheli:</t>
        </r>
        <r>
          <rPr>
            <sz val="9"/>
            <color indexed="81"/>
            <rFont val="Tahoma"/>
            <family val="2"/>
          </rPr>
          <t xml:space="preserve">
בשבעה
</t>
        </r>
      </text>
    </comment>
    <comment ref="F7" authorId="3" guid="{597070DB-10A0-42BC-B0C5-795CCAC7C8FA}" shapeId="0" xr:uid="{00000000-0006-0000-0100-000005000000}">
      <text>
        <r>
          <rPr>
            <b/>
            <sz val="9"/>
            <color indexed="81"/>
            <rFont val="Tahoma"/>
            <family val="2"/>
          </rPr>
          <t>Avi Manorr:</t>
        </r>
        <r>
          <rPr>
            <sz val="9"/>
            <color indexed="81"/>
            <rFont val="Tahoma"/>
            <family val="2"/>
          </rPr>
          <t xml:space="preserve">
אחזקה חודשית
</t>
        </r>
      </text>
    </comment>
    <comment ref="R7" authorId="3" guid="{4CC6474C-6ABB-4B43-8C97-7A29E4B8B3B1}" shapeId="0" xr:uid="{00000000-0006-0000-0100-000006000000}">
      <text>
        <r>
          <rPr>
            <b/>
            <sz val="9"/>
            <color indexed="81"/>
            <rFont val="Tahoma"/>
            <family val="2"/>
          </rPr>
          <t>Avi Manorr:</t>
        </r>
        <r>
          <rPr>
            <sz val="9"/>
            <color indexed="81"/>
            <rFont val="Tahoma"/>
            <family val="2"/>
          </rPr>
          <t xml:space="preserve">
אחזקה חודשית
</t>
        </r>
      </text>
    </comment>
    <comment ref="AD7" authorId="0" guid="{3B3F02F6-1621-4AB4-95E7-3BE5D022D0A4}" shapeId="0" xr:uid="{00000000-0006-0000-0100-000007000000}">
      <text>
        <r>
          <rPr>
            <b/>
            <sz val="9"/>
            <color indexed="81"/>
            <rFont val="Tahoma"/>
            <family val="2"/>
          </rPr>
          <t>Avi Shmueli:</t>
        </r>
        <r>
          <rPr>
            <sz val="9"/>
            <color indexed="81"/>
            <rFont val="Tahoma"/>
            <family val="2"/>
          </rPr>
          <t xml:space="preserve">
שעון - פגישה עם כפיר חגאי 11:00-12:00</t>
        </r>
        <r>
          <rPr>
            <b/>
            <sz val="9"/>
            <color indexed="81"/>
            <rFont val="Tahoma"/>
            <family val="2"/>
          </rPr>
          <t xml:space="preserve"> 
</t>
        </r>
      </text>
    </comment>
    <comment ref="AL7" authorId="3" guid="{8AA994B1-6D76-4B7B-A42F-05248DB1E7CA}" shapeId="0" xr:uid="{00000000-0006-0000-0100-000008000000}">
      <text>
        <r>
          <rPr>
            <b/>
            <sz val="9"/>
            <color indexed="81"/>
            <rFont val="Tahoma"/>
            <family val="2"/>
          </rPr>
          <t>Avi Manorr:</t>
        </r>
        <r>
          <rPr>
            <sz val="9"/>
            <color indexed="81"/>
            <rFont val="Tahoma"/>
            <family val="2"/>
          </rPr>
          <t xml:space="preserve">
אחזקה חודשית
</t>
        </r>
      </text>
    </comment>
    <comment ref="BT7" authorId="2" guid="{26F19A9C-4EF7-40D1-9951-244EADE1FDEA}" shapeId="0" xr:uid="{00000000-0006-0000-0100-000009000000}">
      <text>
        <r>
          <rPr>
            <b/>
            <sz val="9"/>
            <color indexed="81"/>
            <rFont val="Tahoma"/>
            <family val="2"/>
          </rPr>
          <t>Merabi Kricheli:</t>
        </r>
        <r>
          <rPr>
            <sz val="9"/>
            <color indexed="81"/>
            <rFont val="Tahoma"/>
            <family val="2"/>
          </rPr>
          <t xml:space="preserve">
בשבעה
</t>
        </r>
      </text>
    </comment>
    <comment ref="BX7" authorId="3" guid="{D74434E7-B72D-4607-AB6F-0EFB43D2DF52}" shapeId="0" xr:uid="{00000000-0006-0000-0100-00000A000000}">
      <text>
        <r>
          <rPr>
            <b/>
            <sz val="9"/>
            <color indexed="81"/>
            <rFont val="Tahoma"/>
            <family val="2"/>
          </rPr>
          <t>Avi Manorr:</t>
        </r>
        <r>
          <rPr>
            <sz val="9"/>
            <color indexed="81"/>
            <rFont val="Tahoma"/>
            <family val="2"/>
          </rPr>
          <t xml:space="preserve">
אחזקה מונעת B4 B5
</t>
        </r>
      </text>
    </comment>
    <comment ref="BZ7" authorId="3" guid="{2763BC9A-AE77-4659-88A0-1EE696835223}" shapeId="0" xr:uid="{00000000-0006-0000-0100-00000B000000}">
      <text>
        <r>
          <rPr>
            <b/>
            <sz val="9"/>
            <color indexed="81"/>
            <rFont val="Tahoma"/>
            <family val="2"/>
          </rPr>
          <t>Avi Manorr:</t>
        </r>
        <r>
          <rPr>
            <sz val="9"/>
            <color indexed="81"/>
            <rFont val="Tahoma"/>
            <family val="2"/>
          </rPr>
          <t xml:space="preserve">
אחזקה מונעת B4 B5
</t>
        </r>
      </text>
    </comment>
    <comment ref="CB7" authorId="3" guid="{FA3D8092-63B6-4A06-B784-8C1FCF517726}" shapeId="0" xr:uid="{00000000-0006-0000-0100-00000C000000}">
      <text>
        <r>
          <rPr>
            <b/>
            <sz val="9"/>
            <color indexed="81"/>
            <rFont val="Tahoma"/>
            <family val="2"/>
          </rPr>
          <t>Avi Manorr:</t>
        </r>
        <r>
          <rPr>
            <sz val="9"/>
            <color indexed="81"/>
            <rFont val="Tahoma"/>
            <family val="2"/>
          </rPr>
          <t xml:space="preserve">
אחזקה מונעת B4 B5
</t>
        </r>
      </text>
    </comment>
    <comment ref="F8" authorId="3" guid="{733730C1-7D87-4F95-AE5B-4D55AF98221F}" shapeId="0" xr:uid="{00000000-0006-0000-0100-00000D000000}">
      <text>
        <r>
          <rPr>
            <b/>
            <sz val="9"/>
            <color indexed="81"/>
            <rFont val="Tahoma"/>
            <family val="2"/>
          </rPr>
          <t>Avi Manorr:</t>
        </r>
        <r>
          <rPr>
            <sz val="9"/>
            <color indexed="81"/>
            <rFont val="Tahoma"/>
            <family val="2"/>
          </rPr>
          <t xml:space="preserve">
</t>
        </r>
        <r>
          <rPr>
            <sz val="22"/>
            <color indexed="81"/>
            <rFont val="Tahoma"/>
            <family val="2"/>
          </rPr>
          <t xml:space="preserve">E6
</t>
        </r>
      </text>
    </comment>
    <comment ref="T8" authorId="3" guid="{6B624270-123F-40EA-9A64-A42CB5FCD7F0}" shapeId="0" xr:uid="{00000000-0006-0000-0100-00000E000000}">
      <text>
        <r>
          <rPr>
            <b/>
            <sz val="9"/>
            <color indexed="81"/>
            <rFont val="Tahoma"/>
            <family val="2"/>
          </rPr>
          <t>Avi Manorr:</t>
        </r>
        <r>
          <rPr>
            <sz val="9"/>
            <color indexed="81"/>
            <rFont val="Tahoma"/>
            <family val="2"/>
          </rPr>
          <t xml:space="preserve">
</t>
        </r>
        <r>
          <rPr>
            <sz val="22"/>
            <color indexed="81"/>
            <rFont val="Tahoma"/>
            <family val="2"/>
          </rPr>
          <t xml:space="preserve">E6
</t>
        </r>
      </text>
    </comment>
    <comment ref="BB8" authorId="2" guid="{274075D5-65E7-43E9-8689-B782A5E6295E}" shapeId="0" xr:uid="{E3964008-B46B-4E07-AC43-5C12B1ED6695}">
      <text>
        <r>
          <rPr>
            <b/>
            <sz val="9"/>
            <color indexed="81"/>
            <rFont val="Tahoma"/>
            <family val="2"/>
          </rPr>
          <t>Merabi Kricheli:</t>
        </r>
        <r>
          <rPr>
            <sz val="9"/>
            <color indexed="81"/>
            <rFont val="Tahoma"/>
            <family val="2"/>
          </rPr>
          <t xml:space="preserve">
יוצא מוקדם ב: 18:00
באשור רא"ג
</t>
        </r>
      </text>
    </comment>
    <comment ref="BF8" authorId="2" guid="{61423561-D2EC-4FCC-B7FD-23B23775DBEB}" shapeId="0" xr:uid="{B2CF9D5D-D8E6-40FB-A989-C5B7CF292A5A}">
      <text>
        <r>
          <rPr>
            <b/>
            <sz val="9"/>
            <color indexed="81"/>
            <rFont val="Tahoma"/>
            <family val="2"/>
          </rPr>
          <t>Merabi Kricheli:</t>
        </r>
        <r>
          <rPr>
            <sz val="9"/>
            <color indexed="81"/>
            <rFont val="Tahoma"/>
            <family val="2"/>
          </rPr>
          <t xml:space="preserve">
חופש ע"י הסכם - 1
</t>
        </r>
      </text>
    </comment>
    <comment ref="BT8" authorId="2" guid="{DD805A70-D939-4C43-8DB5-5B8DC88B79F5}" shapeId="0" xr:uid="{00000000-0006-0000-0100-00000F000000}">
      <text>
        <r>
          <rPr>
            <b/>
            <sz val="9"/>
            <color indexed="81"/>
            <rFont val="Tahoma"/>
            <family val="2"/>
          </rPr>
          <t>Merabi Kricheli:</t>
        </r>
        <r>
          <rPr>
            <sz val="9"/>
            <color indexed="81"/>
            <rFont val="Tahoma"/>
            <family val="2"/>
          </rPr>
          <t xml:space="preserve">
בשבעה
</t>
        </r>
      </text>
    </comment>
    <comment ref="F9" authorId="3" guid="{C539DF2B-AD64-42F6-B82E-DF1E235E9BAD}" shapeId="0" xr:uid="{00000000-0006-0000-0100-000010000000}">
      <text>
        <r>
          <rPr>
            <b/>
            <sz val="9"/>
            <color indexed="81"/>
            <rFont val="Tahoma"/>
            <family val="2"/>
          </rPr>
          <t>Avi Manorr:</t>
        </r>
        <r>
          <rPr>
            <sz val="9"/>
            <color indexed="81"/>
            <rFont val="Tahoma"/>
            <family val="2"/>
          </rPr>
          <t xml:space="preserve">
</t>
        </r>
        <r>
          <rPr>
            <sz val="20"/>
            <color indexed="81"/>
            <rFont val="Tahoma"/>
            <family val="2"/>
          </rPr>
          <t xml:space="preserve">C5+B7
</t>
        </r>
      </text>
    </comment>
    <comment ref="BT9" authorId="2" guid="{AAB717ED-3459-475B-B0BF-FE7A89CBD75D}" shapeId="0" xr:uid="{00000000-0006-0000-0100-000011000000}">
      <text>
        <r>
          <rPr>
            <b/>
            <sz val="9"/>
            <color indexed="81"/>
            <rFont val="Tahoma"/>
            <family val="2"/>
          </rPr>
          <t>Merabi Kricheli:</t>
        </r>
        <r>
          <rPr>
            <sz val="9"/>
            <color indexed="81"/>
            <rFont val="Tahoma"/>
            <family val="2"/>
          </rPr>
          <t xml:space="preserve">
בשבעה
</t>
        </r>
      </text>
    </comment>
    <comment ref="L12" authorId="3" guid="{33EFA724-C5FD-4397-9BC3-E200682150DB}" shapeId="0" xr:uid="{00000000-0006-0000-0100-000012000000}">
      <text>
        <r>
          <rPr>
            <b/>
            <sz val="9"/>
            <color indexed="81"/>
            <rFont val="Tahoma"/>
            <family val="2"/>
          </rPr>
          <t>Avi Manorr:</t>
        </r>
        <r>
          <rPr>
            <sz val="9"/>
            <color indexed="81"/>
            <rFont val="Tahoma"/>
            <family val="2"/>
          </rPr>
          <t xml:space="preserve">
</t>
        </r>
        <r>
          <rPr>
            <sz val="20"/>
            <color indexed="81"/>
            <rFont val="Tahoma"/>
            <family val="2"/>
          </rPr>
          <t xml:space="preserve">E3+E7
</t>
        </r>
      </text>
    </comment>
    <comment ref="T12" authorId="3" guid="{6310790A-F0EF-45B8-B8CC-35A68483D951}" shapeId="0" xr:uid="{00000000-0006-0000-0100-000013000000}">
      <text>
        <r>
          <rPr>
            <b/>
            <sz val="9"/>
            <color indexed="81"/>
            <rFont val="Tahoma"/>
            <family val="2"/>
          </rPr>
          <t>Avi Manorr:</t>
        </r>
        <r>
          <rPr>
            <sz val="9"/>
            <color indexed="81"/>
            <rFont val="Tahoma"/>
            <family val="2"/>
          </rPr>
          <t xml:space="preserve">
</t>
        </r>
        <r>
          <rPr>
            <sz val="20"/>
            <color indexed="81"/>
            <rFont val="Tahoma"/>
            <family val="2"/>
          </rPr>
          <t xml:space="preserve">E3+E7
</t>
        </r>
      </text>
    </comment>
    <comment ref="AZ12" authorId="2" guid="{C6D1B212-005D-4CEF-B543-478DECF50147}" shapeId="0" xr:uid="{00000000-0006-0000-0100-000014000000}">
      <text>
        <r>
          <rPr>
            <b/>
            <sz val="9"/>
            <color indexed="81"/>
            <rFont val="Tahoma"/>
            <family val="2"/>
          </rPr>
          <t>Merabi Kricheli:</t>
        </r>
        <r>
          <rPr>
            <sz val="9"/>
            <color indexed="81"/>
            <rFont val="Tahoma"/>
            <family val="2"/>
          </rPr>
          <t xml:space="preserve">
מבחן
</t>
        </r>
      </text>
    </comment>
    <comment ref="L13" authorId="3" guid="{DA4022EE-F8E1-45FB-9734-EBFD7D2779E7}" shapeId="0" xr:uid="{00000000-0006-0000-0100-000015000000}">
      <text>
        <r>
          <rPr>
            <b/>
            <sz val="9"/>
            <color indexed="81"/>
            <rFont val="Tahoma"/>
            <family val="2"/>
          </rPr>
          <t>Avi Manorr:</t>
        </r>
        <r>
          <rPr>
            <sz val="9"/>
            <color indexed="81"/>
            <rFont val="Tahoma"/>
            <family val="2"/>
          </rPr>
          <t xml:space="preserve">
</t>
        </r>
        <r>
          <rPr>
            <sz val="20"/>
            <color indexed="81"/>
            <rFont val="Tahoma"/>
            <family val="2"/>
          </rPr>
          <t xml:space="preserve">D2
</t>
        </r>
      </text>
    </comment>
    <comment ref="N13" authorId="4" guid="{3F0397D6-8B2D-49C1-ADE5-1384B6C8E71B}" shapeId="0" xr:uid="{00000000-0006-0000-0100-000016000000}">
      <text>
        <r>
          <rPr>
            <b/>
            <sz val="9"/>
            <color indexed="81"/>
            <rFont val="Tahoma"/>
            <family val="2"/>
          </rPr>
          <t>Yoav Bardugo:</t>
        </r>
        <r>
          <rPr>
            <sz val="9"/>
            <color indexed="81"/>
            <rFont val="Tahoma"/>
            <family val="2"/>
          </rPr>
          <t xml:space="preserve">
בקרה דרום
</t>
        </r>
      </text>
    </comment>
    <comment ref="X13" authorId="4" guid="{31B3C2A6-C10B-4108-A289-6514568D20F6}" shapeId="0" xr:uid="{00000000-0006-0000-0100-000017000000}">
      <text>
        <r>
          <rPr>
            <b/>
            <sz val="9"/>
            <color indexed="81"/>
            <rFont val="Tahoma"/>
            <family val="2"/>
          </rPr>
          <t>Yoav Bardugo:</t>
        </r>
        <r>
          <rPr>
            <sz val="9"/>
            <color indexed="81"/>
            <rFont val="Tahoma"/>
            <family val="2"/>
          </rPr>
          <t xml:space="preserve">
בקרה דרום
</t>
        </r>
      </text>
    </comment>
    <comment ref="BF13" authorId="2" guid="{6524D474-E66D-4280-B8E7-5F304F97DCC7}" shapeId="0" xr:uid="{00000000-0006-0000-0100-000018000000}">
      <text>
        <r>
          <rPr>
            <b/>
            <sz val="9"/>
            <color indexed="81"/>
            <rFont val="Tahoma"/>
            <family val="2"/>
          </rPr>
          <t>Merabi Kricheli:</t>
        </r>
        <r>
          <rPr>
            <sz val="9"/>
            <color indexed="81"/>
            <rFont val="Tahoma"/>
            <family val="2"/>
          </rPr>
          <t xml:space="preserve">
 אזכרה 30
</t>
        </r>
      </text>
    </comment>
    <comment ref="BJ14" authorId="2" guid="{ED60B782-DE92-422D-91CC-6198F9B43197}" shapeId="0" xr:uid="{00000000-0006-0000-0100-000019000000}">
      <text>
        <r>
          <rPr>
            <b/>
            <sz val="9"/>
            <color indexed="81"/>
            <rFont val="Tahoma"/>
            <family val="2"/>
          </rPr>
          <t>Merabi Kricheli:</t>
        </r>
        <r>
          <rPr>
            <sz val="9"/>
            <color indexed="81"/>
            <rFont val="Tahoma"/>
            <family val="2"/>
          </rPr>
          <t xml:space="preserve">
מגיע מאוחר
</t>
        </r>
      </text>
    </comment>
    <comment ref="L15" authorId="3" guid="{0451AC30-8943-4E2B-82EC-D82952279ED0}" shapeId="0" xr:uid="{00000000-0006-0000-0100-00001A000000}">
      <text>
        <r>
          <rPr>
            <b/>
            <sz val="9"/>
            <color indexed="81"/>
            <rFont val="Tahoma"/>
            <family val="2"/>
          </rPr>
          <t>Avi Manorr:</t>
        </r>
        <r>
          <rPr>
            <sz val="9"/>
            <color indexed="81"/>
            <rFont val="Tahoma"/>
            <family val="2"/>
          </rPr>
          <t xml:space="preserve">
</t>
        </r>
        <r>
          <rPr>
            <sz val="20"/>
            <color indexed="81"/>
            <rFont val="Tahoma"/>
            <family val="2"/>
          </rPr>
          <t xml:space="preserve">D6
</t>
        </r>
      </text>
    </comment>
    <comment ref="L16" authorId="3" guid="{3252F95A-113F-4830-B219-647EC64AD960}" shapeId="0" xr:uid="{00000000-0006-0000-0100-00001B000000}">
      <text>
        <r>
          <rPr>
            <b/>
            <sz val="9"/>
            <color indexed="81"/>
            <rFont val="Tahoma"/>
            <family val="2"/>
          </rPr>
          <t>Avi Manorr:</t>
        </r>
        <r>
          <rPr>
            <sz val="9"/>
            <color indexed="81"/>
            <rFont val="Tahoma"/>
            <family val="2"/>
          </rPr>
          <t xml:space="preserve">
</t>
        </r>
        <r>
          <rPr>
            <sz val="20"/>
            <color indexed="81"/>
            <rFont val="Tahoma"/>
            <family val="2"/>
          </rPr>
          <t xml:space="preserve">D3
</t>
        </r>
      </text>
    </comment>
    <comment ref="T16" authorId="3" guid="{25B1B443-C64C-41A5-9D1C-53F69DBB3CF3}" shapeId="0" xr:uid="{00000000-0006-0000-0100-00001C000000}">
      <text>
        <r>
          <rPr>
            <b/>
            <sz val="9"/>
            <color indexed="81"/>
            <rFont val="Tahoma"/>
            <family val="2"/>
          </rPr>
          <t>Avi Manorr:</t>
        </r>
        <r>
          <rPr>
            <sz val="9"/>
            <color indexed="81"/>
            <rFont val="Tahoma"/>
            <family val="2"/>
          </rPr>
          <t xml:space="preserve">
</t>
        </r>
        <r>
          <rPr>
            <sz val="20"/>
            <color indexed="81"/>
            <rFont val="Tahoma"/>
            <family val="2"/>
          </rPr>
          <t xml:space="preserve">D3
</t>
        </r>
      </text>
    </comment>
    <comment ref="AM16" authorId="5" guid="{D9167271-E7A1-4ED5-BCF0-177C91233770}" shapeId="0" xr:uid="{00000000-0006-0000-0100-00001D000000}">
      <text>
        <r>
          <rPr>
            <b/>
            <sz val="9"/>
            <color indexed="81"/>
            <rFont val="Tahoma"/>
            <family val="2"/>
          </rPr>
          <t>מהלו</t>
        </r>
        <r>
          <rPr>
            <sz val="9"/>
            <color indexed="81"/>
            <rFont val="Tahoma"/>
            <family val="2"/>
          </rPr>
          <t xml:space="preserve">
</t>
        </r>
      </text>
    </comment>
    <comment ref="BB16" authorId="2" guid="{F7CED0A1-727B-4DD4-ADC4-58B760C069FC}" shapeId="0" xr:uid="{00000000-0006-0000-0100-00001E000000}">
      <text>
        <r>
          <rPr>
            <b/>
            <sz val="9"/>
            <color indexed="81"/>
            <rFont val="Tahoma"/>
            <family val="2"/>
          </rPr>
          <t>Merabi Kricheli:</t>
        </r>
        <r>
          <rPr>
            <sz val="9"/>
            <color indexed="81"/>
            <rFont val="Tahoma"/>
            <family val="2"/>
          </rPr>
          <t xml:space="preserve">
יוצא מוקדם ב: 18:00
באשור רא"ג
</t>
        </r>
      </text>
    </comment>
    <comment ref="BF17" authorId="2" guid="{7CF143C0-A543-4939-BBFA-09DCF4C4566F}" shapeId="0" xr:uid="{00000000-0006-0000-0100-00001F000000}">
      <text>
        <r>
          <rPr>
            <b/>
            <sz val="9"/>
            <color indexed="81"/>
            <rFont val="Tahoma"/>
            <family val="2"/>
          </rPr>
          <t>Merabi Kricheli:</t>
        </r>
        <r>
          <rPr>
            <sz val="9"/>
            <color indexed="81"/>
            <rFont val="Tahoma"/>
            <family val="2"/>
          </rPr>
          <t xml:space="preserve">
יוצא ב: 17:00
</t>
        </r>
      </text>
    </comment>
    <comment ref="AZ20" authorId="2" guid="{FF87AE1E-7461-49C0-AD3F-0F90C97C6C9C}" shapeId="0" xr:uid="{00000000-0006-0000-0100-000020000000}">
      <text>
        <r>
          <rPr>
            <b/>
            <sz val="9"/>
            <color indexed="81"/>
            <rFont val="Tahoma"/>
            <family val="2"/>
          </rPr>
          <t>Merabi Kricheli:</t>
        </r>
        <r>
          <rPr>
            <sz val="9"/>
            <color indexed="81"/>
            <rFont val="Tahoma"/>
            <family val="2"/>
          </rPr>
          <t xml:space="preserve">
מבחן
</t>
        </r>
      </text>
    </comment>
    <comment ref="BB20" authorId="2" guid="{EA9B3D0A-BC6E-458A-B3B0-461447A1DAB7}" shapeId="0" xr:uid="{00000000-0006-0000-0100-000021000000}">
      <text>
        <r>
          <rPr>
            <b/>
            <sz val="9"/>
            <color indexed="81"/>
            <rFont val="Tahoma"/>
            <family val="2"/>
          </rPr>
          <t>Merabi Kricheli:</t>
        </r>
        <r>
          <rPr>
            <sz val="9"/>
            <color indexed="81"/>
            <rFont val="Tahoma"/>
            <family val="2"/>
          </rPr>
          <t xml:space="preserve">
יוצא מוקדם ב: 18:00
באשור רא"ג
</t>
        </r>
      </text>
    </comment>
    <comment ref="Q21" authorId="5" guid="{4FFFE774-2F24-4941-BD02-47E9D7F09181}" shapeId="0" xr:uid="{00000000-0006-0000-0100-000022000000}">
      <text>
        <r>
          <rPr>
            <b/>
            <sz val="9"/>
            <color indexed="81"/>
            <rFont val="Tahoma"/>
            <family val="2"/>
          </rPr>
          <t xml:space="preserve">אבבה
</t>
        </r>
      </text>
    </comment>
    <comment ref="BD21" authorId="2" guid="{3F341E54-A57A-45BC-8FF5-62BC621061FF}" shapeId="0" xr:uid="{00000000-0006-0000-0100-000023000000}">
      <text>
        <r>
          <rPr>
            <b/>
            <sz val="9"/>
            <color indexed="81"/>
            <rFont val="Tahoma"/>
            <family val="2"/>
          </rPr>
          <t>Merabi Kricheli:</t>
        </r>
        <r>
          <rPr>
            <sz val="9"/>
            <color indexed="81"/>
            <rFont val="Tahoma"/>
            <family val="2"/>
          </rPr>
          <t xml:space="preserve">
באשור רא"ג
</t>
        </r>
      </text>
    </comment>
    <comment ref="P22" authorId="3" guid="{899BD596-3F4E-4807-B39B-5D679EC1403F}" shapeId="0" xr:uid="{00000000-0006-0000-0100-000024000000}">
      <text>
        <r>
          <rPr>
            <b/>
            <sz val="9"/>
            <color indexed="81"/>
            <rFont val="Tahoma"/>
            <family val="2"/>
          </rPr>
          <t>Avi Manorr:</t>
        </r>
        <r>
          <rPr>
            <sz val="9"/>
            <color indexed="81"/>
            <rFont val="Tahoma"/>
            <family val="2"/>
          </rPr>
          <t xml:space="preserve">
אחזקה חודשית
</t>
        </r>
      </text>
    </comment>
    <comment ref="T22" authorId="3" guid="{AFF6D479-16FD-42FE-9D7C-6961E2A86D0D}" shapeId="0" xr:uid="{00000000-0006-0000-0100-000025000000}">
      <text>
        <r>
          <rPr>
            <b/>
            <sz val="9"/>
            <color indexed="81"/>
            <rFont val="Tahoma"/>
            <family val="2"/>
          </rPr>
          <t>Avi Manorr:</t>
        </r>
        <r>
          <rPr>
            <sz val="9"/>
            <color indexed="81"/>
            <rFont val="Tahoma"/>
            <family val="2"/>
          </rPr>
          <t xml:space="preserve">
אחזקה חודשית
</t>
        </r>
      </text>
    </comment>
    <comment ref="AB22" authorId="3" guid="{A70C8D84-B10C-4218-86B6-A3F4CF4F46E1}" shapeId="0" xr:uid="{00000000-0006-0000-0100-000026000000}">
      <text>
        <r>
          <rPr>
            <b/>
            <sz val="9"/>
            <color indexed="81"/>
            <rFont val="Tahoma"/>
            <family val="2"/>
          </rPr>
          <t>Avi Manorr:</t>
        </r>
        <r>
          <rPr>
            <sz val="9"/>
            <color indexed="81"/>
            <rFont val="Tahoma"/>
            <family val="2"/>
          </rPr>
          <t xml:space="preserve">
אחזקה חודשית
</t>
        </r>
      </text>
    </comment>
    <comment ref="AJ22" authorId="3" guid="{45747506-B44B-469F-B2D1-1E22FC459D4C}" shapeId="0" xr:uid="{00000000-0006-0000-0100-000027000000}">
      <text>
        <r>
          <rPr>
            <b/>
            <sz val="9"/>
            <color indexed="81"/>
            <rFont val="Tahoma"/>
            <family val="2"/>
          </rPr>
          <t>Avi Manorr:</t>
        </r>
        <r>
          <rPr>
            <sz val="9"/>
            <color indexed="81"/>
            <rFont val="Tahoma"/>
            <family val="2"/>
          </rPr>
          <t xml:space="preserve">
אחזקה חודשית
</t>
        </r>
      </text>
    </comment>
    <comment ref="BP22" authorId="2" guid="{BE4AD6BD-98FA-4C9E-8C52-61C364BD47F6}" shapeId="0" xr:uid="{00000000-0006-0000-0100-000028000000}">
      <text>
        <r>
          <rPr>
            <b/>
            <sz val="9"/>
            <color indexed="81"/>
            <rFont val="Tahoma"/>
            <family val="2"/>
          </rPr>
          <t>Merabi Kricheli:</t>
        </r>
        <r>
          <rPr>
            <sz val="9"/>
            <color indexed="81"/>
            <rFont val="Tahoma"/>
            <family val="2"/>
          </rPr>
          <t xml:space="preserve">
בטיחות כללית
08:30-10:00
מבנה 5
</t>
        </r>
      </text>
    </comment>
    <comment ref="D23" authorId="5" guid="{90811177-9F92-4D3E-B2C0-C085060F79C3}" shapeId="0" xr:uid="{00000000-0006-0000-0100-000029000000}">
      <text>
        <r>
          <rPr>
            <b/>
            <sz val="9"/>
            <color indexed="81"/>
            <rFont val="Tahoma"/>
            <family val="2"/>
          </rPr>
          <t xml:space="preserve">גופים שבורים סוף מסלול 15
</t>
        </r>
      </text>
    </comment>
    <comment ref="AL23" authorId="5" guid="{FC97D45F-608B-44DA-BC1C-1CBC8CD39A76}" shapeId="0" xr:uid="{00000000-0006-0000-0100-00002A000000}">
      <text>
        <r>
          <rPr>
            <b/>
            <sz val="9"/>
            <color indexed="81"/>
            <rFont val="Tahoma"/>
            <family val="2"/>
          </rPr>
          <t xml:space="preserve">גופים שבורים סוף מסלול 15
</t>
        </r>
      </text>
    </comment>
    <comment ref="BN23" authorId="2" guid="{4DB501DA-7172-4F43-9580-D42FBF966773}" shapeId="0" xr:uid="{00000000-0006-0000-0100-00002B000000}">
      <text>
        <r>
          <rPr>
            <b/>
            <sz val="9"/>
            <color indexed="81"/>
            <rFont val="Tahoma"/>
            <family val="2"/>
          </rPr>
          <t>Merabi Kricheli:</t>
        </r>
        <r>
          <rPr>
            <sz val="9"/>
            <color indexed="81"/>
            <rFont val="Tahoma"/>
            <family val="2"/>
          </rPr>
          <t xml:space="preserve">
מגיע מאוחר
</t>
        </r>
      </text>
    </comment>
    <comment ref="AE24" authorId="5" guid="{97A83562-62D6-4729-8C4E-347D2763FDF2}" shapeId="0" xr:uid="{00000000-0006-0000-0100-00002C000000}">
      <text>
        <r>
          <rPr>
            <b/>
            <sz val="9"/>
            <color indexed="81"/>
            <rFont val="Tahoma"/>
            <family val="2"/>
          </rPr>
          <t>אלי</t>
        </r>
        <r>
          <rPr>
            <sz val="9"/>
            <color indexed="81"/>
            <rFont val="Tahoma"/>
            <family val="2"/>
          </rPr>
          <t xml:space="preserve">
</t>
        </r>
      </text>
    </comment>
    <comment ref="P26" authorId="3" guid="{22074A7C-6AC9-4C0A-8540-A9DCF37D2694}" shapeId="0" xr:uid="{00000000-0006-0000-0100-00002D000000}">
      <text>
        <r>
          <rPr>
            <b/>
            <sz val="9"/>
            <color indexed="81"/>
            <rFont val="Tahoma"/>
            <family val="2"/>
          </rPr>
          <t>Avi Manorr:</t>
        </r>
        <r>
          <rPr>
            <sz val="9"/>
            <color indexed="81"/>
            <rFont val="Tahoma"/>
            <family val="2"/>
          </rPr>
          <t xml:space="preserve">
מסייע לאור ועומר
</t>
        </r>
      </text>
    </comment>
    <comment ref="U26" authorId="3" guid="{E573D50B-74D7-476E-8049-8A5A629CBCB2}" shapeId="0" xr:uid="{00000000-0006-0000-0100-00002E000000}">
      <text>
        <r>
          <rPr>
            <b/>
            <sz val="9"/>
            <color indexed="81"/>
            <rFont val="Tahoma"/>
            <family val="2"/>
          </rPr>
          <t>Avi Manorr:</t>
        </r>
        <r>
          <rPr>
            <sz val="9"/>
            <color indexed="81"/>
            <rFont val="Tahoma"/>
            <family val="2"/>
          </rPr>
          <t xml:space="preserve">
קובי
</t>
        </r>
      </text>
    </comment>
    <comment ref="AJ26" authorId="5" guid="{18601CEF-7F76-498D-B97F-A0AE32D83287}" shapeId="0" xr:uid="{00000000-0006-0000-0100-00002F000000}">
      <text>
        <r>
          <rPr>
            <sz val="9"/>
            <color indexed="81"/>
            <rFont val="Tahoma"/>
            <family val="2"/>
          </rPr>
          <t xml:space="preserve">ליווי עבודות קבלן תחנה 1 09:00
</t>
        </r>
      </text>
    </comment>
    <comment ref="BP26" authorId="3" guid="{A7122984-DECB-4B70-B8D5-AF00EE71C248}" shapeId="0" xr:uid="{00000000-0006-0000-0100-000030000000}">
      <text>
        <r>
          <rPr>
            <b/>
            <sz val="9"/>
            <color indexed="81"/>
            <rFont val="Tahoma"/>
            <family val="2"/>
          </rPr>
          <t>Avi Manorr:</t>
        </r>
        <r>
          <rPr>
            <sz val="9"/>
            <color indexed="81"/>
            <rFont val="Tahoma"/>
            <family val="2"/>
          </rPr>
          <t xml:space="preserve">
טיפול במערכת AVDGS
</t>
        </r>
      </text>
    </comment>
    <comment ref="BR26" authorId="3" guid="{BF0900F4-F772-4560-AF9A-8063DB14D753}" shapeId="0" xr:uid="{00000000-0006-0000-0100-000031000000}">
      <text>
        <r>
          <rPr>
            <b/>
            <sz val="9"/>
            <color indexed="81"/>
            <rFont val="Tahoma"/>
            <family val="2"/>
          </rPr>
          <t>Avi Manorr:</t>
        </r>
        <r>
          <rPr>
            <sz val="9"/>
            <color indexed="81"/>
            <rFont val="Tahoma"/>
            <family val="2"/>
          </rPr>
          <t xml:space="preserve">
טיפול במערכת AVDGS
</t>
        </r>
      </text>
    </comment>
    <comment ref="AJ27" authorId="5" guid="{73B68281-7269-49E5-A390-6F0539A17F31}" shapeId="0" xr:uid="{00000000-0006-0000-0100-000032000000}">
      <text>
        <r>
          <rPr>
            <sz val="9"/>
            <color indexed="81"/>
            <rFont val="Tahoma"/>
            <family val="2"/>
          </rPr>
          <t xml:space="preserve">ליווי עבודות קבלן תחנה 1 09:00
</t>
        </r>
      </text>
    </comment>
    <comment ref="BX27" authorId="2" guid="{681B0017-99F5-4030-8A6C-AE89730A4003}" shapeId="0" xr:uid="{00000000-0006-0000-0100-000033000000}">
      <text>
        <r>
          <rPr>
            <b/>
            <sz val="9"/>
            <color indexed="81"/>
            <rFont val="Tahoma"/>
            <family val="2"/>
          </rPr>
          <t>Merabi Kricheli:</t>
        </r>
        <r>
          <rPr>
            <sz val="9"/>
            <color indexed="81"/>
            <rFont val="Tahoma"/>
            <family val="2"/>
          </rPr>
          <t xml:space="preserve">
יוצא מוקדם בשעה 15:00
</t>
        </r>
      </text>
    </comment>
    <comment ref="AZ28" authorId="2" guid="{D5F750E5-C1B7-4ACF-A67D-5A4B0B076ACD}" shapeId="0" xr:uid="{00000000-0006-0000-0100-000034000000}">
      <text>
        <r>
          <rPr>
            <b/>
            <sz val="9"/>
            <color indexed="81"/>
            <rFont val="Tahoma"/>
            <family val="2"/>
          </rPr>
          <t>Merabi Kricheli:</t>
        </r>
        <r>
          <rPr>
            <sz val="9"/>
            <color indexed="81"/>
            <rFont val="Tahoma"/>
            <family val="2"/>
          </rPr>
          <t xml:space="preserve">
בטיחות כללית
08:30-10:00
מבנה 5
</t>
        </r>
      </text>
    </comment>
    <comment ref="I29" authorId="3" guid="{C20671D4-6FF9-4D0C-870D-1B01CBDB78DC}" shapeId="0" xr:uid="{00000000-0006-0000-0100-000036000000}">
      <text>
        <r>
          <rPr>
            <b/>
            <sz val="9"/>
            <color indexed="81"/>
            <rFont val="Tahoma"/>
            <family val="2"/>
          </rPr>
          <t>Avi Manorr:</t>
        </r>
        <r>
          <rPr>
            <sz val="9"/>
            <color indexed="81"/>
            <rFont val="Tahoma"/>
            <family val="2"/>
          </rPr>
          <t xml:space="preserve">
מהלו
</t>
        </r>
      </text>
    </comment>
    <comment ref="AJ29" authorId="5" guid="{9CA3492E-EF32-4622-B424-8B4F1BE5435F}" shapeId="0" xr:uid="{00000000-0006-0000-0100-000037000000}">
      <text>
        <r>
          <rPr>
            <sz val="9"/>
            <color indexed="81"/>
            <rFont val="Tahoma"/>
            <family val="2"/>
          </rPr>
          <t xml:space="preserve">ליווי עבודות קבלן תחנה 1 09:00
</t>
        </r>
      </text>
    </comment>
    <comment ref="AZ29" authorId="2" guid="{A682B168-D090-4AEE-93A0-F77B124934D5}" shapeId="0" xr:uid="{00000000-0006-0000-0100-000038000000}">
      <text>
        <r>
          <rPr>
            <b/>
            <sz val="9"/>
            <color indexed="81"/>
            <rFont val="Tahoma"/>
            <family val="2"/>
          </rPr>
          <t>Merabi Kricheli:</t>
        </r>
        <r>
          <rPr>
            <sz val="9"/>
            <color indexed="81"/>
            <rFont val="Tahoma"/>
            <family val="2"/>
          </rPr>
          <t xml:space="preserve">
לימודים, מגיע ב: 22:30
</t>
        </r>
      </text>
    </comment>
    <comment ref="P30" authorId="3" guid="{5D112C7A-B373-4543-8A80-3B36EA3222B6}" shapeId="0" xr:uid="{00000000-0006-0000-0100-00003A000000}">
      <text>
        <r>
          <rPr>
            <b/>
            <sz val="9"/>
            <color indexed="81"/>
            <rFont val="Tahoma"/>
            <family val="2"/>
          </rPr>
          <t>Avi Manorr:</t>
        </r>
        <r>
          <rPr>
            <sz val="9"/>
            <color indexed="81"/>
            <rFont val="Tahoma"/>
            <family val="2"/>
          </rPr>
          <t xml:space="preserve">
מסייע לאור ועומר
</t>
        </r>
      </text>
    </comment>
    <comment ref="AJ30" authorId="5" guid="{E413FBA8-BD24-4CBA-98CA-D829D6CE2B9B}" shapeId="0" xr:uid="{00000000-0006-0000-0100-00003B000000}">
      <text>
        <r>
          <rPr>
            <sz val="9"/>
            <color indexed="81"/>
            <rFont val="Tahoma"/>
            <family val="2"/>
          </rPr>
          <t xml:space="preserve">ליווי עבודות קבלן תחנה 1 09:00
</t>
        </r>
      </text>
    </comment>
    <comment ref="BN30" authorId="2" guid="{166460E1-4DEB-4B84-BC3E-00C251906FAA}" shapeId="0" xr:uid="{00000000-0006-0000-0100-00003C000000}">
      <text>
        <r>
          <rPr>
            <b/>
            <sz val="9"/>
            <color indexed="81"/>
            <rFont val="Tahoma"/>
            <family val="2"/>
          </rPr>
          <t>Merabi Kricheli:</t>
        </r>
        <r>
          <rPr>
            <sz val="9"/>
            <color indexed="81"/>
            <rFont val="Tahoma"/>
            <family val="2"/>
          </rPr>
          <t xml:space="preserve">
יוצא מודם בשעה: 18:00
</t>
        </r>
      </text>
    </comment>
    <comment ref="AI31" authorId="5" guid="{CD5AE3BD-30FD-4E8D-A024-FB16CEE63605}" shapeId="0" xr:uid="{00000000-0006-0000-0100-00003D000000}">
      <text>
        <r>
          <rPr>
            <b/>
            <sz val="9"/>
            <color indexed="81"/>
            <rFont val="Tahoma"/>
            <family val="2"/>
          </rPr>
          <t xml:space="preserve">שמואלי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Avi Manorr</author>
    <author>Merabi Kricheli</author>
    <author>Shmuel Fogel</author>
  </authors>
  <commentList>
    <comment ref="Q5" authorId="0" guid="{4BD8AA11-1393-43FD-82E8-FC40604335E6}" shapeId="0" xr:uid="{D1B5EE8F-3866-4E21-B162-C3D2BB8AB4B4}">
      <text>
        <r>
          <rPr>
            <b/>
            <sz val="9"/>
            <color indexed="81"/>
            <rFont val="Tahoma"/>
            <family val="2"/>
          </rPr>
          <t>Avi Manorr:</t>
        </r>
        <r>
          <rPr>
            <sz val="9"/>
            <color indexed="81"/>
            <rFont val="Tahoma"/>
            <family val="2"/>
          </rPr>
          <t xml:space="preserve">
בניתה
</t>
        </r>
      </text>
    </comment>
    <comment ref="AZ5" authorId="1" guid="{6A51228B-484B-4E7D-B8AF-C5A524BF5A30}" shapeId="0" xr:uid="{00000000-0006-0000-0200-000001000000}">
      <text>
        <r>
          <rPr>
            <b/>
            <sz val="9"/>
            <color indexed="81"/>
            <rFont val="Tahoma"/>
            <family val="2"/>
          </rPr>
          <t>Merabi Kricheli:</t>
        </r>
        <r>
          <rPr>
            <sz val="9"/>
            <color indexed="81"/>
            <rFont val="Tahoma"/>
            <family val="2"/>
          </rPr>
          <t xml:space="preserve">
לימודים, מגיע ב: 22:30
</t>
        </r>
      </text>
    </comment>
    <comment ref="AC6" authorId="0" guid="{4F4612ED-392D-4049-895F-2F2F19AB6640}" shapeId="0" xr:uid="{C8226327-D20E-49FF-B18A-C5541DC342F6}">
      <text>
        <r>
          <rPr>
            <b/>
            <sz val="9"/>
            <color indexed="81"/>
            <rFont val="Tahoma"/>
            <family val="2"/>
          </rPr>
          <t>Avi Manorr:</t>
        </r>
        <r>
          <rPr>
            <sz val="9"/>
            <color indexed="81"/>
            <rFont val="Tahoma"/>
            <family val="2"/>
          </rPr>
          <t xml:space="preserve">
סויסה
</t>
        </r>
      </text>
    </comment>
    <comment ref="AM6" authorId="2" guid="{89D5A701-03E2-4EE3-944F-57E0E396BE9C}" shapeId="0" xr:uid="{00000000-0006-0000-0200-000002000000}">
      <text>
        <r>
          <rPr>
            <sz val="9"/>
            <color indexed="81"/>
            <rFont val="Tahoma"/>
            <family val="2"/>
          </rPr>
          <t xml:space="preserve">ראובן
</t>
        </r>
      </text>
    </comment>
    <comment ref="AZ8" authorId="1" guid="{352027F5-A2A2-40FF-8996-420235EEF183}" shapeId="0" xr:uid="{00000000-0006-0000-0200-000003000000}">
      <text>
        <r>
          <rPr>
            <b/>
            <sz val="9"/>
            <color indexed="81"/>
            <rFont val="Tahoma"/>
            <family val="2"/>
          </rPr>
          <t>Merabi Kricheli:</t>
        </r>
        <r>
          <rPr>
            <sz val="9"/>
            <color indexed="81"/>
            <rFont val="Tahoma"/>
            <family val="2"/>
          </rPr>
          <t xml:space="preserve">
</t>
        </r>
        <r>
          <rPr>
            <strike/>
            <sz val="9"/>
            <color indexed="81"/>
            <rFont val="Tahoma"/>
            <family val="2"/>
          </rPr>
          <t>לימודים</t>
        </r>
        <r>
          <rPr>
            <sz val="9"/>
            <color indexed="81"/>
            <rFont val="Tahoma"/>
            <family val="2"/>
          </rPr>
          <t xml:space="preserve">
</t>
        </r>
        <r>
          <rPr>
            <b/>
            <sz val="9"/>
            <color indexed="81"/>
            <rFont val="Tahoma"/>
            <family val="2"/>
          </rPr>
          <t xml:space="preserve"> </t>
        </r>
        <r>
          <rPr>
            <sz val="9"/>
            <color indexed="81"/>
            <rFont val="Tahoma"/>
            <family val="2"/>
          </rPr>
          <t xml:space="preserve">
</t>
        </r>
      </text>
    </comment>
    <comment ref="BN8" authorId="1" guid="{DD9301AB-3B83-4F1F-AC42-2619B11CDB37}" shapeId="0" xr:uid="{00000000-0006-0000-0200-000004000000}">
      <text>
        <r>
          <rPr>
            <b/>
            <sz val="9"/>
            <color indexed="81"/>
            <rFont val="Tahoma"/>
            <family val="2"/>
          </rPr>
          <t>Merabi Kricheli:</t>
        </r>
        <r>
          <rPr>
            <sz val="9"/>
            <color indexed="81"/>
            <rFont val="Tahoma"/>
            <family val="2"/>
          </rPr>
          <t xml:space="preserve">
מגיע מאוחר
</t>
        </r>
      </text>
    </comment>
    <comment ref="BT9" authorId="1" guid="{396774C9-C123-4208-A48D-AA21EB64CBF0}" shapeId="0" xr:uid="{B9DC7599-7F39-41BD-8A3F-2836C2C54DCD}">
      <text>
        <r>
          <rPr>
            <b/>
            <sz val="9"/>
            <color indexed="81"/>
            <rFont val="Tahoma"/>
            <family val="2"/>
          </rPr>
          <t>Merabi Kricheli:</t>
        </r>
        <r>
          <rPr>
            <sz val="9"/>
            <color indexed="81"/>
            <rFont val="Tahoma"/>
            <family val="2"/>
          </rPr>
          <t xml:space="preserve">
באישור של רא"ג
</t>
        </r>
      </text>
    </comment>
    <comment ref="N12" authorId="0" guid="{14D460D0-B725-44D2-89CA-1AAF29E739D3}" shapeId="0" xr:uid="{00000000-0006-0000-0200-000007000000}">
      <text>
        <r>
          <rPr>
            <b/>
            <sz val="9"/>
            <color indexed="81"/>
            <rFont val="Tahoma"/>
            <family val="2"/>
          </rPr>
          <t>Avi Manorr:</t>
        </r>
        <r>
          <rPr>
            <sz val="9"/>
            <color indexed="81"/>
            <rFont val="Tahoma"/>
            <family val="2"/>
          </rPr>
          <t xml:space="preserve">
מסירת שרוולים
</t>
        </r>
      </text>
    </comment>
    <comment ref="CF12" authorId="1" guid="{EDEC4FE3-1894-49D1-B5A6-ECF37FEA2BA2}" shapeId="0" xr:uid="{2046E79D-A3E8-4A03-889E-E41683BF19CC}">
      <text>
        <r>
          <rPr>
            <b/>
            <sz val="9"/>
            <color indexed="81"/>
            <rFont val="Tahoma"/>
            <family val="2"/>
          </rPr>
          <t>Merabi Kricheli:</t>
        </r>
        <r>
          <rPr>
            <sz val="9"/>
            <color indexed="81"/>
            <rFont val="Tahoma"/>
            <family val="2"/>
          </rPr>
          <t xml:space="preserve">
תיגבור עובד יום
</t>
        </r>
      </text>
    </comment>
    <comment ref="AF13" authorId="0" guid="{643031CD-6956-40A6-8241-05A166E94ACF}" shapeId="0" xr:uid="{00000000-0006-0000-0200-00000D000000}">
      <text>
        <r>
          <rPr>
            <b/>
            <sz val="9"/>
            <color indexed="81"/>
            <rFont val="Tahoma"/>
            <family val="2"/>
          </rPr>
          <t>Avi Manorr:</t>
        </r>
        <r>
          <rPr>
            <sz val="9"/>
            <color indexed="81"/>
            <rFont val="Tahoma"/>
            <family val="2"/>
          </rPr>
          <t xml:space="preserve">
אחזקה מתוכננת
</t>
        </r>
      </text>
    </comment>
    <comment ref="AK13" authorId="2" guid="{CF329102-1F4D-4657-998F-C04332BA2863}" shapeId="0" xr:uid="{00000000-0006-0000-0200-00000E000000}">
      <text>
        <r>
          <rPr>
            <b/>
            <sz val="9"/>
            <color indexed="81"/>
            <rFont val="Tahoma"/>
            <family val="2"/>
          </rPr>
          <t xml:space="preserve">אבבה
</t>
        </r>
      </text>
    </comment>
    <comment ref="BJ13" authorId="1" guid="{5492FDDF-86D8-4341-940A-ED51F1D4C50B}" shapeId="0" xr:uid="{00000000-0006-0000-0200-00000F000000}">
      <text>
        <r>
          <rPr>
            <b/>
            <sz val="9"/>
            <color indexed="81"/>
            <rFont val="Tahoma"/>
            <family val="2"/>
          </rPr>
          <t>Merabi Kricheli:</t>
        </r>
        <r>
          <rPr>
            <sz val="9"/>
            <color indexed="81"/>
            <rFont val="Tahoma"/>
            <family val="2"/>
          </rPr>
          <t xml:space="preserve">
</t>
        </r>
        <r>
          <rPr>
            <strike/>
            <sz val="9"/>
            <color indexed="81"/>
            <rFont val="Tahoma"/>
            <family val="2"/>
          </rPr>
          <t>עבודה בגובה</t>
        </r>
        <r>
          <rPr>
            <sz val="9"/>
            <color indexed="81"/>
            <rFont val="Tahoma"/>
            <family val="2"/>
          </rPr>
          <t xml:space="preserve">
</t>
        </r>
      </text>
    </comment>
    <comment ref="AF14" authorId="0" guid="{1C2F5959-9A23-40FF-A693-FD3D195AA89E}" shapeId="0" xr:uid="{E8436ED4-FFF5-4345-9F99-0CD3ABBE2B14}">
      <text>
        <r>
          <rPr>
            <b/>
            <sz val="9"/>
            <color indexed="81"/>
            <rFont val="Tahoma"/>
            <family val="2"/>
          </rPr>
          <t>Avi Manorr:</t>
        </r>
        <r>
          <rPr>
            <sz val="9"/>
            <color indexed="81"/>
            <rFont val="Tahoma"/>
            <family val="2"/>
          </rPr>
          <t xml:space="preserve">
אחזקה חודשית
</t>
        </r>
      </text>
    </comment>
    <comment ref="AK14" authorId="2" guid="{B77A9205-028C-44F6-8B91-1948937274ED}" shapeId="0" xr:uid="{00000000-0006-0000-0200-000014000000}">
      <text>
        <r>
          <rPr>
            <b/>
            <sz val="9"/>
            <color indexed="81"/>
            <rFont val="Tahoma"/>
            <family val="2"/>
          </rPr>
          <t>אבבה</t>
        </r>
        <r>
          <rPr>
            <sz val="9"/>
            <color indexed="81"/>
            <rFont val="Tahoma"/>
            <family val="2"/>
          </rPr>
          <t xml:space="preserve">
</t>
        </r>
      </text>
    </comment>
    <comment ref="BF17" authorId="1" guid="{366B0DE1-AD85-452C-A641-414F861EBEED}" shapeId="0" xr:uid="{6C4AD457-8542-4EA9-8193-B023D50F748C}">
      <text>
        <r>
          <rPr>
            <b/>
            <sz val="9"/>
            <color indexed="81"/>
            <rFont val="Tahoma"/>
            <family val="2"/>
          </rPr>
          <t>Merabi Kricheli:</t>
        </r>
        <r>
          <rPr>
            <sz val="9"/>
            <color indexed="81"/>
            <rFont val="Tahoma"/>
            <family val="2"/>
          </rPr>
          <t xml:space="preserve">
יוצא מוקדם ב: 17:00
</t>
        </r>
      </text>
    </comment>
    <comment ref="BR18" authorId="1" guid="{BADC8C2F-2971-48F5-915F-50A5105D7FEB}" shapeId="0" xr:uid="{3B1D24AA-275B-444A-AB02-025AF3FAC1EA}">
      <text>
        <r>
          <rPr>
            <b/>
            <sz val="9"/>
            <color indexed="81"/>
            <rFont val="Tahoma"/>
            <family val="2"/>
          </rPr>
          <t>Merabi Kricheli:</t>
        </r>
        <r>
          <rPr>
            <sz val="9"/>
            <color indexed="81"/>
            <rFont val="Tahoma"/>
            <family val="2"/>
          </rPr>
          <t xml:space="preserve">
עובד עם אלי
</t>
        </r>
      </text>
    </comment>
    <comment ref="BT18" authorId="1" guid="{31DBC333-BC66-4638-B789-FFD64E29354B}" shapeId="0" xr:uid="{1FAD6259-6D84-4C99-8D03-2CE9B2E4AA07}">
      <text>
        <r>
          <rPr>
            <b/>
            <sz val="9"/>
            <color indexed="81"/>
            <rFont val="Tahoma"/>
            <family val="2"/>
          </rPr>
          <t>Merabi Kricheli:</t>
        </r>
        <r>
          <rPr>
            <sz val="9"/>
            <color indexed="81"/>
            <rFont val="Tahoma"/>
            <family val="2"/>
          </rPr>
          <t xml:space="preserve">
באשור של מוטי
</t>
        </r>
      </text>
    </comment>
    <comment ref="CF18" authorId="1" guid="{282826FA-09FD-4393-868E-9DF9717AA755}" shapeId="0" xr:uid="{C5CB71B7-9831-4CEE-B384-19B12D6128D8}">
      <text>
        <r>
          <rPr>
            <b/>
            <sz val="9"/>
            <color indexed="81"/>
            <rFont val="Tahoma"/>
            <family val="2"/>
          </rPr>
          <t>Merabi Kricheli:</t>
        </r>
        <r>
          <rPr>
            <sz val="9"/>
            <color indexed="81"/>
            <rFont val="Tahoma"/>
            <family val="2"/>
          </rPr>
          <t xml:space="preserve">
תיגבור עובד יום
</t>
        </r>
      </text>
    </comment>
    <comment ref="E20" authorId="2" guid="{5E1C296F-581A-4FB2-BF1E-9B9F3C2E0F99}" shapeId="0" xr:uid="{5A815F3E-B7C0-4824-AA38-FDE20896FAF0}">
      <text>
        <r>
          <rPr>
            <b/>
            <sz val="9"/>
            <color indexed="81"/>
            <rFont val="Tahoma"/>
            <family val="2"/>
          </rPr>
          <t xml:space="preserve">ראובן
</t>
        </r>
      </text>
    </comment>
    <comment ref="F23" authorId="0" guid="{97034227-B42A-4453-A583-4FE86F17C283}" shapeId="0" xr:uid="{FDDBEA50-3136-4A84-8DDD-387FAB2138E6}">
      <text>
        <r>
          <rPr>
            <b/>
            <sz val="9"/>
            <color indexed="81"/>
            <rFont val="Tahoma"/>
            <family val="2"/>
          </rPr>
          <t>Avi Manorr:</t>
        </r>
        <r>
          <rPr>
            <sz val="9"/>
            <color indexed="81"/>
            <rFont val="Tahoma"/>
            <family val="2"/>
          </rPr>
          <t xml:space="preserve">
כיול עמדות B2 B3
</t>
        </r>
      </text>
    </comment>
    <comment ref="J23" authorId="0" guid="{2A24E7B6-BA45-48AE-8607-B75ADA9D60D7}" shapeId="0" xr:uid="{263F0025-6326-45B6-A2DA-273A51057F03}">
      <text>
        <r>
          <rPr>
            <b/>
            <sz val="9"/>
            <color indexed="81"/>
            <rFont val="Tahoma"/>
            <family val="2"/>
          </rPr>
          <t>Avi Manorr:</t>
        </r>
        <r>
          <rPr>
            <sz val="9"/>
            <color indexed="81"/>
            <rFont val="Tahoma"/>
            <family val="2"/>
          </rPr>
          <t xml:space="preserve">
כיול עמדות B2 B3
</t>
        </r>
      </text>
    </comment>
    <comment ref="BN23" authorId="1" guid="{D8118889-31D2-48AF-9746-9D531C2D5ADE}" shapeId="0" xr:uid="{00000000-0006-0000-0200-000017000000}">
      <text>
        <r>
          <rPr>
            <b/>
            <sz val="9"/>
            <color indexed="81"/>
            <rFont val="Tahoma"/>
            <family val="2"/>
          </rPr>
          <t>Merabi Kricheli:</t>
        </r>
        <r>
          <rPr>
            <sz val="9"/>
            <color indexed="81"/>
            <rFont val="Tahoma"/>
            <family val="2"/>
          </rPr>
          <t xml:space="preserve">
מגיע מאוחר
</t>
        </r>
      </text>
    </comment>
    <comment ref="BX23" authorId="1" guid="{FC395444-E32F-4E9F-A542-1263DF3BD33E}" shapeId="0" xr:uid="{00000000-0006-0000-0200-000018000000}">
      <text>
        <r>
          <rPr>
            <b/>
            <sz val="9"/>
            <color indexed="81"/>
            <rFont val="Tahoma"/>
            <family val="2"/>
          </rPr>
          <t>Merabi Kricheli:</t>
        </r>
        <r>
          <rPr>
            <sz val="9"/>
            <color indexed="81"/>
            <rFont val="Tahoma"/>
            <family val="2"/>
          </rPr>
          <t xml:space="preserve">
יוצא מוקדם בשעה 15:00
</t>
        </r>
        <r>
          <rPr>
            <b/>
            <sz val="9"/>
            <color indexed="81"/>
            <rFont val="Tahoma"/>
            <family val="2"/>
          </rPr>
          <t>Merabi Kricheli:</t>
        </r>
        <r>
          <rPr>
            <sz val="9"/>
            <color indexed="81"/>
            <rFont val="Tahoma"/>
            <family val="2"/>
          </rPr>
          <t xml:space="preserve">
בטיחות כללית</t>
        </r>
      </text>
    </comment>
    <comment ref="CB23" authorId="1" guid="{D9626B90-1C95-4B29-B256-1A2FF085022E}" shapeId="0" xr:uid="{E4325FE5-6408-4DFF-BDAE-1F7405176853}">
      <text>
        <r>
          <rPr>
            <b/>
            <sz val="9"/>
            <color indexed="81"/>
            <rFont val="Tahoma"/>
            <family val="2"/>
          </rPr>
          <t>Merabi Kricheli:</t>
        </r>
        <r>
          <rPr>
            <sz val="9"/>
            <color indexed="81"/>
            <rFont val="Tahoma"/>
            <family val="2"/>
          </rPr>
          <t xml:space="preserve">
בטיחות כללית</t>
        </r>
      </text>
    </comment>
    <comment ref="AZ24" authorId="1" guid="{7CF79EF4-681B-4E3E-BED1-CA2DF26B4120}" shapeId="0" xr:uid="{00000000-0006-0000-0200-000019000000}">
      <text>
        <r>
          <rPr>
            <b/>
            <sz val="9"/>
            <color indexed="81"/>
            <rFont val="Tahoma"/>
            <family val="2"/>
          </rPr>
          <t>Merabi Kricheli:</t>
        </r>
        <r>
          <rPr>
            <sz val="9"/>
            <color indexed="81"/>
            <rFont val="Tahoma"/>
            <family val="2"/>
          </rPr>
          <t xml:space="preserve">
לימודים
</t>
        </r>
      </text>
    </comment>
    <comment ref="BF25" authorId="1" guid="{377D2BBD-0C1F-48B5-A850-D4FC75D6EC05}" shapeId="0" xr:uid="{5C37F710-B32A-4363-9357-FBCF02506457}">
      <text>
        <r>
          <rPr>
            <b/>
            <sz val="9"/>
            <color indexed="81"/>
            <rFont val="Tahoma"/>
            <family val="2"/>
          </rPr>
          <t>Merabi Kricheli:</t>
        </r>
        <r>
          <rPr>
            <sz val="9"/>
            <color indexed="81"/>
            <rFont val="Tahoma"/>
            <family val="2"/>
          </rPr>
          <t xml:space="preserve">
מגיע מאוחר ב: 11:00
</t>
        </r>
      </text>
    </comment>
    <comment ref="BX27" authorId="1" guid="{FEC08BBF-EAAC-49FB-A82F-D2DC6277C6FC}" shapeId="0" xr:uid="{00000000-0006-0000-0200-00001C000000}">
      <text>
        <r>
          <rPr>
            <b/>
            <sz val="9"/>
            <color indexed="81"/>
            <rFont val="Tahoma"/>
            <family val="2"/>
          </rPr>
          <t>Merabi Kricheli:</t>
        </r>
        <r>
          <rPr>
            <sz val="9"/>
            <color indexed="81"/>
            <rFont val="Tahoma"/>
            <family val="2"/>
          </rPr>
          <t xml:space="preserve">
יוצא מוקדם בשעה 15:00
</t>
        </r>
      </text>
    </comment>
    <comment ref="AX28" authorId="1" guid="{6C30CFE2-1BA8-43A6-8B6E-126D697D1DA4}" shapeId="0" xr:uid="{0668253E-85E4-4D19-92F3-91E3AE70D686}">
      <text>
        <r>
          <rPr>
            <b/>
            <sz val="9"/>
            <color indexed="81"/>
            <rFont val="Tahoma"/>
            <family val="2"/>
          </rPr>
          <t>Merabi Kricheli:</t>
        </r>
        <r>
          <rPr>
            <sz val="9"/>
            <color indexed="81"/>
            <rFont val="Tahoma"/>
            <family val="2"/>
          </rPr>
          <t xml:space="preserve">
עזרה ראשונה
</t>
        </r>
      </text>
    </comment>
    <comment ref="BB28" authorId="1" guid="{42D59F3F-B688-43E3-AF13-38555A682A39}" shapeId="0" xr:uid="{B7C39758-9728-400A-8748-B2DA0F312777}">
      <text>
        <r>
          <rPr>
            <b/>
            <sz val="9"/>
            <color indexed="81"/>
            <rFont val="Tahoma"/>
            <family val="2"/>
          </rPr>
          <t>Merabi Kricheli:</t>
        </r>
        <r>
          <rPr>
            <sz val="9"/>
            <color indexed="81"/>
            <rFont val="Tahoma"/>
            <family val="2"/>
          </rPr>
          <t xml:space="preserve">
יוצא מוקדם ב: 18:00
</t>
        </r>
      </text>
    </comment>
    <comment ref="BD28" authorId="1" guid="{426D50BB-E029-4A93-AD94-290CD4951D5C}" shapeId="0" xr:uid="{5FFE732E-0F83-4600-AE00-65A175D1B5C1}">
      <text>
        <r>
          <rPr>
            <b/>
            <sz val="9"/>
            <color indexed="81"/>
            <rFont val="Tahoma"/>
            <family val="2"/>
          </rPr>
          <t>Merabi Kricheli:</t>
        </r>
        <r>
          <rPr>
            <sz val="9"/>
            <color indexed="81"/>
            <rFont val="Tahoma"/>
            <family val="2"/>
          </rPr>
          <t xml:space="preserve">
עזרה ראשונה
</t>
        </r>
      </text>
    </comment>
    <comment ref="BT28" authorId="1" guid="{06182A9E-4BFB-4A2D-887D-9D679DD5BA4A}" shapeId="0" xr:uid="{87686F57-E1C6-4D9A-8AAD-1A18EF4ECB34}">
      <text>
        <r>
          <rPr>
            <b/>
            <sz val="9"/>
            <color indexed="81"/>
            <rFont val="Tahoma"/>
            <family val="2"/>
          </rPr>
          <t>Merabi Kricheli:</t>
        </r>
        <r>
          <rPr>
            <sz val="9"/>
            <color indexed="81"/>
            <rFont val="Tahoma"/>
            <family val="2"/>
          </rPr>
          <t xml:space="preserve">
באישור של רא"ג
</t>
        </r>
      </text>
    </comment>
    <comment ref="BB29" authorId="1" guid="{0D6A7669-5726-49DB-89B3-0A51635EF6E9}" shapeId="0" xr:uid="{5970433D-9AA0-4CAA-B727-07095EA74D81}">
      <text>
        <r>
          <rPr>
            <b/>
            <sz val="9"/>
            <color indexed="81"/>
            <rFont val="Tahoma"/>
            <family val="2"/>
          </rPr>
          <t>Merabi Kricheli:</t>
        </r>
        <r>
          <rPr>
            <sz val="9"/>
            <color indexed="81"/>
            <rFont val="Tahoma"/>
            <family val="2"/>
          </rPr>
          <t xml:space="preserve">
יוצא מוקדם ב: 18:00
</t>
        </r>
      </text>
    </comment>
    <comment ref="BJ29" authorId="1" guid="{F2CA47B8-5874-4963-B013-9BC1B9D7CC9D}" shapeId="0" xr:uid="{F9FB6D76-E57D-4181-9216-EE70FB92CE73}">
      <text>
        <r>
          <rPr>
            <b/>
            <sz val="9"/>
            <color indexed="81"/>
            <rFont val="Tahoma"/>
            <family val="2"/>
          </rPr>
          <t>Merabi Kricheli:</t>
        </r>
        <r>
          <rPr>
            <sz val="9"/>
            <color indexed="81"/>
            <rFont val="Tahoma"/>
            <family val="2"/>
          </rPr>
          <t xml:space="preserve">
ח
</t>
        </r>
      </text>
    </comment>
    <comment ref="AI30" authorId="1" guid="{1C013AAE-1DBA-4DD9-8F16-D16DDC259703}" shapeId="0" xr:uid="{ECFB681E-8A8B-4DA3-B806-58AA54A71271}">
      <text>
        <r>
          <rPr>
            <b/>
            <sz val="9"/>
            <color indexed="81"/>
            <rFont val="Tahoma"/>
            <family val="2"/>
          </rPr>
          <t>Merabi Kricheli:</t>
        </r>
        <r>
          <rPr>
            <sz val="9"/>
            <color indexed="81"/>
            <rFont val="Tahoma"/>
            <family val="2"/>
          </rPr>
          <t xml:space="preserve">
מגבה את המשמרת עד 20:00
</t>
        </r>
      </text>
    </comment>
    <comment ref="BJ30" authorId="1" guid="{584E3BEA-4789-41CC-A2A5-8C5B15BC95A4}" shapeId="0" xr:uid="{99AE5F57-AEA3-43E2-A76E-E5E95DC38ED9}">
      <text>
        <r>
          <rPr>
            <b/>
            <sz val="9"/>
            <color indexed="81"/>
            <rFont val="Tahoma"/>
            <family val="2"/>
          </rPr>
          <t>Merabi Kricheli:</t>
        </r>
        <r>
          <rPr>
            <sz val="9"/>
            <color indexed="81"/>
            <rFont val="Tahoma"/>
            <family val="2"/>
          </rPr>
          <t xml:space="preserve">
ח
</t>
        </r>
      </text>
    </comment>
    <comment ref="BN30" authorId="1" guid="{27BF779C-D99C-49A2-9C7D-B8BB7C18E5B6}" shapeId="0" xr:uid="{00000000-0006-0000-0200-00001E000000}">
      <text>
        <r>
          <rPr>
            <b/>
            <sz val="9"/>
            <color indexed="81"/>
            <rFont val="Tahoma"/>
            <family val="2"/>
          </rPr>
          <t>Merabi Kricheli:</t>
        </r>
        <r>
          <rPr>
            <sz val="9"/>
            <color indexed="81"/>
            <rFont val="Tahoma"/>
            <family val="2"/>
          </rPr>
          <t xml:space="preserve">
סדנת ניהול רשת
08:00-10:00
</t>
        </r>
      </text>
    </comment>
    <comment ref="BR30" authorId="1" guid="{8D8F8CAC-0518-45A9-93F7-80045E8559AB}" shapeId="0" xr:uid="{0A6F08C8-A55D-406C-A648-2711A3C54086}">
      <text>
        <r>
          <rPr>
            <b/>
            <sz val="9"/>
            <color indexed="81"/>
            <rFont val="Tahoma"/>
            <family val="2"/>
          </rPr>
          <t>Merabi Kricheli:</t>
        </r>
        <r>
          <rPr>
            <sz val="9"/>
            <color indexed="81"/>
            <rFont val="Tahoma"/>
            <family val="2"/>
          </rPr>
          <t xml:space="preserve">
ריענון מלגזה
</t>
        </r>
      </text>
    </comment>
    <comment ref="BT30" authorId="1" guid="{C2076AA6-FFEE-4EFF-A3F4-CB07965BE395}" shapeId="0" xr:uid="{FD6F7555-ECDF-4126-B386-673A7ABEF6FE}">
      <text>
        <r>
          <rPr>
            <b/>
            <sz val="9"/>
            <color indexed="81"/>
            <rFont val="Tahoma"/>
            <family val="2"/>
          </rPr>
          <t>Merabi Kricheli:</t>
        </r>
        <r>
          <rPr>
            <sz val="9"/>
            <color indexed="81"/>
            <rFont val="Tahoma"/>
            <family val="2"/>
          </rPr>
          <t xml:space="preserve">
באישור של רא"ג
</t>
        </r>
      </text>
    </comment>
    <comment ref="CF30" authorId="1" guid="{16958344-08CF-4FAA-BB64-51121C054CCC}" shapeId="0" xr:uid="{9A6EB139-7E81-419D-BDF5-19BACA323EA4}">
      <text>
        <r>
          <rPr>
            <b/>
            <sz val="9"/>
            <color indexed="81"/>
            <rFont val="Tahoma"/>
            <family val="2"/>
          </rPr>
          <t>Merabi Kricheli:</t>
        </r>
        <r>
          <rPr>
            <sz val="9"/>
            <color indexed="81"/>
            <rFont val="Tahoma"/>
            <family val="2"/>
          </rPr>
          <t xml:space="preserve">
תיגבור עובד יום
</t>
        </r>
      </text>
    </comment>
    <comment ref="BT32" authorId="1" guid="{E0D24FA1-0B11-4A56-8802-9B0079D6426E}" shapeId="0" xr:uid="{AF56848F-6D6E-4650-A06B-CB59ED7D1570}">
      <text>
        <r>
          <rPr>
            <b/>
            <sz val="9"/>
            <color indexed="81"/>
            <rFont val="Tahoma"/>
            <family val="2"/>
          </rPr>
          <t>Merabi Kricheli:</t>
        </r>
        <r>
          <rPr>
            <sz val="9"/>
            <color indexed="81"/>
            <rFont val="Tahoma"/>
            <family val="2"/>
          </rPr>
          <t xml:space="preserve">
באישור של רא"ג
</t>
        </r>
      </text>
    </comment>
    <comment ref="I33" authorId="0" guid="{3F6B1BC2-8919-4BF9-84BD-318CB10A0989}" shapeId="0" xr:uid="{62DA8BEB-4CF0-4751-BCA1-19ED0170E5DD}">
      <text>
        <r>
          <rPr>
            <b/>
            <sz val="9"/>
            <color indexed="81"/>
            <rFont val="Tahoma"/>
            <family val="2"/>
          </rPr>
          <t>Avi Manorr:</t>
        </r>
        <r>
          <rPr>
            <sz val="9"/>
            <color indexed="81"/>
            <rFont val="Tahoma"/>
            <family val="2"/>
          </rPr>
          <t xml:space="preserve">
סוויסה
</t>
        </r>
      </text>
    </comment>
    <comment ref="AZ33" authorId="1" guid="{81E3D65B-FF33-4CE8-867A-6C9390D0ACFB}" shapeId="0" xr:uid="{00000000-0006-0000-0200-000020000000}">
      <text>
        <r>
          <rPr>
            <b/>
            <sz val="9"/>
            <color indexed="81"/>
            <rFont val="Tahoma"/>
            <family val="2"/>
          </rPr>
          <t>Merabi Kricheli:</t>
        </r>
        <r>
          <rPr>
            <sz val="9"/>
            <color indexed="81"/>
            <rFont val="Tahoma"/>
            <family val="2"/>
          </rPr>
          <t xml:space="preserve">
לימודים, מגיע ב: 22:30
</t>
        </r>
      </text>
    </comment>
    <comment ref="BB33" authorId="1" guid="{94B0E667-3A75-4B72-A71F-02FD61C5AEF9}" shapeId="0" xr:uid="{C44600C1-2555-4D3E-BC20-54A73728F3A6}">
      <text>
        <r>
          <rPr>
            <b/>
            <sz val="9"/>
            <color indexed="81"/>
            <rFont val="Tahoma"/>
            <family val="2"/>
          </rPr>
          <t>Merabi Kricheli:</t>
        </r>
        <r>
          <rPr>
            <sz val="9"/>
            <color indexed="81"/>
            <rFont val="Tahoma"/>
            <family val="2"/>
          </rPr>
          <t xml:space="preserve">
יוצא מוקדם ב: 18:00
</t>
        </r>
      </text>
    </comment>
    <comment ref="BJ33" authorId="1" guid="{3D89A4CA-0A87-4DEA-B5A4-6ED06DECB38E}" shapeId="0" xr:uid="{C8365BD3-507E-459C-9485-415090148E79}">
      <text>
        <r>
          <rPr>
            <b/>
            <sz val="9"/>
            <color indexed="81"/>
            <rFont val="Tahoma"/>
            <family val="2"/>
          </rPr>
          <t>Merabi Kricheli:</t>
        </r>
        <r>
          <rPr>
            <sz val="9"/>
            <color indexed="81"/>
            <rFont val="Tahoma"/>
            <family val="2"/>
          </rPr>
          <t xml:space="preserve">
ח
</t>
        </r>
      </text>
    </comment>
    <comment ref="W34" authorId="0" guid="{9C85E3E6-7F2A-43F5-B23E-A0A6D55EA366}" shapeId="0" xr:uid="{236815C6-BDC7-4702-821B-A11648D56CE2}">
      <text>
        <r>
          <rPr>
            <b/>
            <sz val="9"/>
            <color indexed="81"/>
            <rFont val="Tahoma"/>
            <family val="2"/>
          </rPr>
          <t>Avi Manorr:</t>
        </r>
        <r>
          <rPr>
            <sz val="9"/>
            <color indexed="81"/>
            <rFont val="Tahoma"/>
            <family val="2"/>
          </rPr>
          <t xml:space="preserve">
סויסה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Merabi Kricheli</author>
    <author>Avi Manorr</author>
    <author>Shmuel Fogel</author>
  </authors>
  <commentList>
    <comment ref="BB5" authorId="0" guid="{F0573F9C-91F9-4D37-B28F-827761BA236E}" shapeId="0" xr:uid="{60414B56-067D-43B9-888B-3F6FBDA46188}">
      <text>
        <r>
          <rPr>
            <b/>
            <sz val="9"/>
            <color indexed="81"/>
            <rFont val="Tahoma"/>
            <family val="2"/>
          </rPr>
          <t>Merabi Kricheli:</t>
        </r>
        <r>
          <rPr>
            <sz val="9"/>
            <color indexed="81"/>
            <rFont val="Tahoma"/>
            <family val="2"/>
          </rPr>
          <t xml:space="preserve">
יוצא מוקדם ב: 18:00
</t>
        </r>
      </text>
    </comment>
    <comment ref="BB6" authorId="0" guid="{3D3DD27B-27E3-4556-91F6-FE6B413220C1}" shapeId="0" xr:uid="{1DA2878C-9178-4E3C-AB75-9B6A6E49D93C}">
      <text>
        <r>
          <rPr>
            <b/>
            <sz val="9"/>
            <color indexed="81"/>
            <rFont val="Tahoma"/>
            <family val="2"/>
          </rPr>
          <t>Merabi Kricheli:</t>
        </r>
        <r>
          <rPr>
            <sz val="9"/>
            <color indexed="81"/>
            <rFont val="Tahoma"/>
            <family val="2"/>
          </rPr>
          <t xml:space="preserve">
חופשת לידה
</t>
        </r>
      </text>
    </comment>
    <comment ref="BT7" authorId="0" guid="{30D51EC0-47B5-4A5B-8DBF-4EC2787B2475}" shapeId="0" xr:uid="{216AD6DD-4333-47D4-B3E1-0C61A8D7ECE5}">
      <text>
        <r>
          <rPr>
            <b/>
            <sz val="9"/>
            <color indexed="81"/>
            <rFont val="Tahoma"/>
            <family val="2"/>
          </rPr>
          <t>Merabi Kricheli:</t>
        </r>
        <r>
          <rPr>
            <sz val="9"/>
            <color indexed="81"/>
            <rFont val="Tahoma"/>
            <family val="2"/>
          </rPr>
          <t xml:space="preserve">
יוצא מוקדם
</t>
        </r>
      </text>
    </comment>
    <comment ref="BT8" authorId="0" guid="{3ED04E3D-F4B5-43E0-BF7D-97E184FF3E7A}" shapeId="0" xr:uid="{3C3122BF-44E1-479B-9BE0-337BFFB114C6}">
      <text>
        <r>
          <rPr>
            <b/>
            <sz val="9"/>
            <color indexed="81"/>
            <rFont val="Tahoma"/>
            <family val="2"/>
          </rPr>
          <t>Merabi Kricheli:</t>
        </r>
        <r>
          <rPr>
            <sz val="9"/>
            <color indexed="81"/>
            <rFont val="Tahoma"/>
            <family val="2"/>
          </rPr>
          <t xml:space="preserve">
מגעי מאוחר
</t>
        </r>
      </text>
    </comment>
    <comment ref="BB9" authorId="0" guid="{37902482-CB78-4A84-9B0A-A0D6AEEB4FBA}" shapeId="0" xr:uid="{C95F2FE0-838E-4641-BBEB-FFB196367D64}">
      <text>
        <r>
          <rPr>
            <b/>
            <sz val="9"/>
            <color indexed="81"/>
            <rFont val="Tahoma"/>
            <family val="2"/>
          </rPr>
          <t>Merabi Kricheli:</t>
        </r>
        <r>
          <rPr>
            <sz val="9"/>
            <color indexed="81"/>
            <rFont val="Tahoma"/>
            <family val="2"/>
          </rPr>
          <t xml:space="preserve">
חופשת לידה
</t>
        </r>
      </text>
    </comment>
    <comment ref="BB10" authorId="0" guid="{F030EE02-DD4F-495D-A7B4-72066B4D98AC}" shapeId="0" xr:uid="{2F1D8FB6-4AB7-4939-BCAA-83B87D70871A}">
      <text>
        <r>
          <rPr>
            <b/>
            <sz val="9"/>
            <color indexed="81"/>
            <rFont val="Tahoma"/>
            <family val="2"/>
          </rPr>
          <t>Merabi Kricheli:</t>
        </r>
        <r>
          <rPr>
            <sz val="9"/>
            <color indexed="81"/>
            <rFont val="Tahoma"/>
            <family val="2"/>
          </rPr>
          <t xml:space="preserve">
חופשת לידה
</t>
        </r>
      </text>
    </comment>
    <comment ref="BL10" authorId="0" guid="{5B33947F-C817-491E-A6EA-AF995004571D}" shapeId="0" xr:uid="{0CA2F8B0-DD81-44D8-804D-6FE7ACBC75D4}">
      <text>
        <r>
          <rPr>
            <b/>
            <sz val="9"/>
            <color indexed="81"/>
            <rFont val="Tahoma"/>
            <family val="2"/>
          </rPr>
          <t>Merabi Kricheli:</t>
        </r>
        <r>
          <rPr>
            <sz val="9"/>
            <color indexed="81"/>
            <rFont val="Tahoma"/>
            <family val="2"/>
          </rPr>
          <t xml:space="preserve">
מגיע באיחור 12:00
</t>
        </r>
      </text>
    </comment>
    <comment ref="BB11" authorId="0" guid="{A72EB318-28F6-498F-B8B1-4CB42C74ECB3}" shapeId="0" xr:uid="{0A94C193-F92C-4A91-BBA2-7A7F8EC37459}">
      <text>
        <r>
          <rPr>
            <b/>
            <sz val="9"/>
            <color indexed="81"/>
            <rFont val="Tahoma"/>
            <family val="2"/>
          </rPr>
          <t>Merabi Kricheli:</t>
        </r>
        <r>
          <rPr>
            <sz val="9"/>
            <color indexed="81"/>
            <rFont val="Tahoma"/>
            <family val="2"/>
          </rPr>
          <t xml:space="preserve">
חופשת לידה
</t>
        </r>
      </text>
    </comment>
    <comment ref="BB12" authorId="0" guid="{D6BF4004-7DAD-4616-85B9-0976E74F7532}" shapeId="0" xr:uid="{C227A25C-29E5-4DF0-A345-CFC5C8E5CB57}">
      <text>
        <r>
          <rPr>
            <b/>
            <sz val="9"/>
            <color indexed="81"/>
            <rFont val="Tahoma"/>
            <family val="2"/>
          </rPr>
          <t>Merabi Kricheli:</t>
        </r>
        <r>
          <rPr>
            <sz val="9"/>
            <color indexed="81"/>
            <rFont val="Tahoma"/>
            <family val="2"/>
          </rPr>
          <t xml:space="preserve">
חופשת לידה
</t>
        </r>
      </text>
    </comment>
    <comment ref="BB13" authorId="0" guid="{D8A0C998-8B90-47FE-9AA9-3897F6388523}" shapeId="0" xr:uid="{C03BD177-8A4D-4A1A-BB7F-C47E9DB9EF59}">
      <text>
        <r>
          <rPr>
            <b/>
            <sz val="9"/>
            <color indexed="81"/>
            <rFont val="Tahoma"/>
            <family val="2"/>
          </rPr>
          <t>Merabi Kricheli:</t>
        </r>
        <r>
          <rPr>
            <sz val="9"/>
            <color indexed="81"/>
            <rFont val="Tahoma"/>
            <family val="2"/>
          </rPr>
          <t xml:space="preserve">
חופשת לידה
</t>
        </r>
      </text>
    </comment>
    <comment ref="W16" authorId="1" guid="{57B45BAA-BF47-4285-AD5B-7432C7715A35}" shapeId="0" xr:uid="{9328FD49-9B53-4409-AAA3-347857AE7018}">
      <text>
        <r>
          <rPr>
            <b/>
            <sz val="9"/>
            <color indexed="81"/>
            <rFont val="Tahoma"/>
            <charset val="177"/>
          </rPr>
          <t>Avi Manorr:</t>
        </r>
        <r>
          <rPr>
            <sz val="9"/>
            <color indexed="81"/>
            <rFont val="Tahoma"/>
            <charset val="177"/>
          </rPr>
          <t xml:space="preserve">
ליבוביץ
</t>
        </r>
      </text>
    </comment>
    <comment ref="AO16" authorId="1" guid="{E05C828A-A87B-4493-BCC2-9523D69EE39B}" shapeId="0" xr:uid="{643D3CA0-7FD4-407B-A0E4-16D42ED7EFCA}">
      <text>
        <r>
          <rPr>
            <b/>
            <sz val="9"/>
            <color indexed="81"/>
            <rFont val="Tahoma"/>
            <charset val="177"/>
          </rPr>
          <t>Avi Manorr:</t>
        </r>
        <r>
          <rPr>
            <sz val="9"/>
            <color indexed="81"/>
            <rFont val="Tahoma"/>
            <charset val="177"/>
          </rPr>
          <t xml:space="preserve">
סער
</t>
        </r>
      </text>
    </comment>
    <comment ref="BB16" authorId="0" guid="{C06559AE-2000-47BC-A352-9183C1B2359B}" shapeId="0" xr:uid="{25EAC385-AECD-4183-8CD2-67EBF000EE45}">
      <text>
        <r>
          <rPr>
            <b/>
            <sz val="9"/>
            <color indexed="81"/>
            <rFont val="Tahoma"/>
            <family val="2"/>
          </rPr>
          <t>Merabi Kricheli:</t>
        </r>
        <r>
          <rPr>
            <sz val="9"/>
            <color indexed="81"/>
            <rFont val="Tahoma"/>
            <family val="2"/>
          </rPr>
          <t xml:space="preserve">
חופשת לידה
</t>
        </r>
      </text>
    </comment>
    <comment ref="BB17" authorId="0" guid="{F514627E-2E77-4789-A6D4-43ECEF9777DC}" shapeId="0" xr:uid="{7E937338-4FA9-40A1-BDE1-66D66B6DCF62}">
      <text>
        <r>
          <rPr>
            <b/>
            <sz val="9"/>
            <color indexed="81"/>
            <rFont val="Tahoma"/>
            <family val="2"/>
          </rPr>
          <t>Merabi Kricheli:</t>
        </r>
        <r>
          <rPr>
            <sz val="9"/>
            <color indexed="81"/>
            <rFont val="Tahoma"/>
            <family val="2"/>
          </rPr>
          <t xml:space="preserve">
חופשת לידה
</t>
        </r>
      </text>
    </comment>
    <comment ref="BB18" authorId="0" guid="{C84FD0A5-21BC-4737-AB4C-8973EE0C0528}" shapeId="0" xr:uid="{BEB1DFA8-4D4E-4F0E-967B-2D918B1E27FE}">
      <text>
        <r>
          <rPr>
            <b/>
            <sz val="9"/>
            <color indexed="81"/>
            <rFont val="Tahoma"/>
            <family val="2"/>
          </rPr>
          <t>Merabi Kricheli:</t>
        </r>
        <r>
          <rPr>
            <sz val="9"/>
            <color indexed="81"/>
            <rFont val="Tahoma"/>
            <family val="2"/>
          </rPr>
          <t xml:space="preserve">
חופשת לידה
</t>
        </r>
      </text>
    </comment>
    <comment ref="S19" authorId="1" guid="{1A853F2B-8483-45BB-AA40-091C2D6A9B5A}" shapeId="0" xr:uid="{D2A12941-3E4F-400D-86C1-B93559E75CFC}">
      <text>
        <r>
          <rPr>
            <b/>
            <sz val="9"/>
            <color indexed="81"/>
            <rFont val="Tahoma"/>
            <charset val="177"/>
          </rPr>
          <t>Avi Manorr:</t>
        </r>
        <r>
          <rPr>
            <sz val="9"/>
            <color indexed="81"/>
            <rFont val="Tahoma"/>
            <charset val="177"/>
          </rPr>
          <t xml:space="preserve">
ליבוביץ
</t>
        </r>
      </text>
    </comment>
    <comment ref="AO19" authorId="1" guid="{59CC681F-9C57-426D-8527-6072C60ABFBD}" shapeId="0" xr:uid="{5F10CE98-172D-4EA7-8286-D9C3DC131744}">
      <text>
        <r>
          <rPr>
            <b/>
            <sz val="9"/>
            <color indexed="81"/>
            <rFont val="Tahoma"/>
            <charset val="177"/>
          </rPr>
          <t>Avi Manorr:</t>
        </r>
        <r>
          <rPr>
            <sz val="9"/>
            <color indexed="81"/>
            <rFont val="Tahoma"/>
            <charset val="177"/>
          </rPr>
          <t xml:space="preserve">
אלון
</t>
        </r>
      </text>
    </comment>
    <comment ref="BB19" authorId="0" guid="{BDD21956-18EC-4A5C-9352-F1BAF92312E4}" shapeId="0" xr:uid="{73F69E14-DB00-4C39-8FEE-3057D67447B8}">
      <text>
        <r>
          <rPr>
            <b/>
            <sz val="9"/>
            <color indexed="81"/>
            <rFont val="Tahoma"/>
            <family val="2"/>
          </rPr>
          <t>Merabi Kricheli:</t>
        </r>
        <r>
          <rPr>
            <sz val="9"/>
            <color indexed="81"/>
            <rFont val="Tahoma"/>
            <family val="2"/>
          </rPr>
          <t xml:space="preserve">
חופשת לידה
</t>
        </r>
      </text>
    </comment>
    <comment ref="AM20" authorId="2" guid="{CA417EC9-7EEA-4006-AD90-D545FB55059A}" shapeId="0" xr:uid="{AA5D6F8B-0050-44E3-AF65-AF3C5D70B873}">
      <text>
        <r>
          <rPr>
            <b/>
            <sz val="9"/>
            <color indexed="81"/>
            <rFont val="Tahoma"/>
            <charset val="177"/>
          </rPr>
          <t>בניטה</t>
        </r>
        <r>
          <rPr>
            <sz val="9"/>
            <color indexed="81"/>
            <rFont val="Tahoma"/>
            <charset val="177"/>
          </rPr>
          <t xml:space="preserve">
</t>
        </r>
      </text>
    </comment>
    <comment ref="BB20" authorId="0" guid="{D851BCF3-4C4A-4E9C-AE01-2631753DEBAA}" shapeId="0" xr:uid="{54FEF294-076E-4BAF-8373-CDBE8C9D34BC}">
      <text>
        <r>
          <rPr>
            <b/>
            <sz val="9"/>
            <color indexed="81"/>
            <rFont val="Tahoma"/>
            <family val="2"/>
          </rPr>
          <t>Merabi Kricheli:</t>
        </r>
        <r>
          <rPr>
            <sz val="9"/>
            <color indexed="81"/>
            <rFont val="Tahoma"/>
            <family val="2"/>
          </rPr>
          <t xml:space="preserve">
חופשת לידה
</t>
        </r>
      </text>
    </comment>
    <comment ref="BX20" authorId="0" guid="{00FAE8E3-7CF5-4305-8485-21B2E38F41E0}" shapeId="0" xr:uid="{00000000-0006-0000-0300-000001000000}">
      <text>
        <r>
          <rPr>
            <b/>
            <sz val="9"/>
            <color indexed="81"/>
            <rFont val="Tahoma"/>
            <family val="2"/>
          </rPr>
          <t>Merabi Kricheli:</t>
        </r>
        <r>
          <rPr>
            <sz val="9"/>
            <color indexed="81"/>
            <rFont val="Tahoma"/>
            <family val="2"/>
          </rPr>
          <t xml:space="preserve">
יוצא מוקדם בשעה 15:00
</t>
        </r>
      </text>
    </comment>
    <comment ref="AI21" authorId="2" guid="{53FA1DA8-1071-4FA3-8BD2-430D54831A92}" shapeId="0" xr:uid="{0AE4EDD4-C053-4466-8CF3-BC3F1BFC2A30}">
      <text>
        <r>
          <rPr>
            <b/>
            <sz val="9"/>
            <color indexed="81"/>
            <rFont val="Tahoma"/>
            <family val="2"/>
          </rPr>
          <t xml:space="preserve">שמוליק
</t>
        </r>
      </text>
    </comment>
    <comment ref="AZ21" authorId="0" guid="{7CD8BE6D-ACFD-4395-8C0F-EA08A81D13C8}" shapeId="0" xr:uid="{00000000-0006-0000-0300-000002000000}">
      <text>
        <r>
          <rPr>
            <b/>
            <sz val="9"/>
            <color indexed="81"/>
            <rFont val="Tahoma"/>
            <family val="2"/>
          </rPr>
          <t>Merabi Kricheli:</t>
        </r>
        <r>
          <rPr>
            <sz val="9"/>
            <color indexed="81"/>
            <rFont val="Tahoma"/>
            <family val="2"/>
          </rPr>
          <t xml:space="preserve">
לימודים
</t>
        </r>
      </text>
    </comment>
    <comment ref="AG22" authorId="2" guid="{BB4132AA-98B3-4144-9240-D952A42C068C}" shapeId="0" xr:uid="{83BEC527-0CD9-4C33-8C10-885548E37EB4}">
      <text>
        <r>
          <rPr>
            <b/>
            <sz val="9"/>
            <color indexed="81"/>
            <rFont val="Tahoma"/>
            <family val="2"/>
          </rPr>
          <t>אלי</t>
        </r>
        <r>
          <rPr>
            <sz val="9"/>
            <color indexed="81"/>
            <rFont val="Tahoma"/>
            <family val="2"/>
          </rPr>
          <t xml:space="preserve">
</t>
        </r>
      </text>
    </comment>
    <comment ref="BF22" authorId="0" guid="{7F601C5A-B4A6-4BA1-B60D-5D84E1C9CCBF}" shapeId="0" xr:uid="{0C88E34B-1039-457D-B1B2-39AA76A8BF2D}">
      <text>
        <r>
          <rPr>
            <b/>
            <sz val="9"/>
            <color indexed="81"/>
            <rFont val="Tahoma"/>
            <family val="2"/>
          </rPr>
          <t>Merabi Kricheli:</t>
        </r>
        <r>
          <rPr>
            <sz val="9"/>
            <color indexed="81"/>
            <rFont val="Tahoma"/>
            <family val="2"/>
          </rPr>
          <t xml:space="preserve">
מגיע מאוחר ב: 11:00
</t>
        </r>
      </text>
    </comment>
    <comment ref="AL23" authorId="2" guid="{E322BD9B-FF2C-4368-8F12-4958C3EC83BB}" shapeId="0" xr:uid="{8029D08E-5A7E-4F16-887D-33BC5E44A5E8}">
      <text>
        <r>
          <rPr>
            <b/>
            <sz val="9"/>
            <color indexed="81"/>
            <rFont val="Tahoma"/>
            <charset val="177"/>
          </rPr>
          <t xml:space="preserve">רובוטיקה
</t>
        </r>
      </text>
    </comment>
    <comment ref="BB23" authorId="0" guid="{678D49CC-591F-4CA0-BD5F-8C7F5046CEFD}" shapeId="0" xr:uid="{A3F148ED-9FA5-4960-BE42-4962AE9050AA}">
      <text>
        <r>
          <rPr>
            <b/>
            <sz val="9"/>
            <color indexed="81"/>
            <rFont val="Tahoma"/>
            <family val="2"/>
          </rPr>
          <t>Merabi Kricheli:</t>
        </r>
        <r>
          <rPr>
            <sz val="9"/>
            <color indexed="81"/>
            <rFont val="Tahoma"/>
            <family val="2"/>
          </rPr>
          <t xml:space="preserve">
חופשת לידה
</t>
        </r>
      </text>
    </comment>
    <comment ref="K24" authorId="2" guid="{86C7B008-8F5A-43F6-8D48-A4E630A2CAF1}" shapeId="0" xr:uid="{78892CB0-28E0-4C0A-824D-5DAADDDF5CD6}">
      <text>
        <r>
          <rPr>
            <b/>
            <sz val="9"/>
            <color indexed="81"/>
            <rFont val="Tahoma"/>
            <charset val="177"/>
          </rPr>
          <t xml:space="preserve">אבבה
</t>
        </r>
      </text>
    </comment>
    <comment ref="BB24" authorId="0" guid="{B270828C-FAB5-4C59-BA5B-10764E0D4E8D}" shapeId="0" xr:uid="{E0331017-20A2-4A75-ADC9-68806DBBE045}">
      <text>
        <r>
          <rPr>
            <b/>
            <sz val="9"/>
            <color indexed="81"/>
            <rFont val="Tahoma"/>
            <family val="2"/>
          </rPr>
          <t>Merabi Kricheli:</t>
        </r>
        <r>
          <rPr>
            <sz val="9"/>
            <color indexed="81"/>
            <rFont val="Tahoma"/>
            <family val="2"/>
          </rPr>
          <t xml:space="preserve">
חופשת לידה
</t>
        </r>
      </text>
    </comment>
    <comment ref="E25" authorId="1" guid="{0F6FAF9A-18DB-40C3-8B98-075A966A8BD2}" shapeId="0" xr:uid="{E9BAFAAD-3FBB-445D-AFDF-AFFE90AB71AE}">
      <text>
        <r>
          <rPr>
            <b/>
            <sz val="9"/>
            <color indexed="81"/>
            <rFont val="Tahoma"/>
            <charset val="177"/>
          </rPr>
          <t>Avi Manorr:</t>
        </r>
        <r>
          <rPr>
            <sz val="9"/>
            <color indexed="81"/>
            <rFont val="Tahoma"/>
            <charset val="177"/>
          </rPr>
          <t xml:space="preserve">
ליבוביץ
</t>
        </r>
      </text>
    </comment>
    <comment ref="AO25" authorId="1" guid="{65C17C52-0CCA-442A-97FA-A5F2BE1A16DE}" shapeId="0" xr:uid="{7A6EAB43-53C3-46C3-9E21-6CF90EDD3D2C}">
      <text>
        <r>
          <rPr>
            <b/>
            <sz val="9"/>
            <color indexed="81"/>
            <rFont val="Tahoma"/>
            <charset val="177"/>
          </rPr>
          <t>Avi Manorr:</t>
        </r>
        <r>
          <rPr>
            <sz val="9"/>
            <color indexed="81"/>
            <rFont val="Tahoma"/>
            <charset val="177"/>
          </rPr>
          <t xml:space="preserve">
דניאלי
</t>
        </r>
      </text>
    </comment>
    <comment ref="BB25" authorId="0" guid="{CDE54186-799E-4F90-849D-7367D975D047}" shapeId="0" xr:uid="{03CEFD21-ECF6-47DA-8ADE-22BBAAD8D19D}">
      <text>
        <r>
          <rPr>
            <b/>
            <sz val="9"/>
            <color indexed="81"/>
            <rFont val="Tahoma"/>
            <family val="2"/>
          </rPr>
          <t>Merabi Kricheli:</t>
        </r>
        <r>
          <rPr>
            <sz val="9"/>
            <color indexed="81"/>
            <rFont val="Tahoma"/>
            <family val="2"/>
          </rPr>
          <t xml:space="preserve">
חופשת לידה
</t>
        </r>
      </text>
    </comment>
    <comment ref="AZ26" authorId="0" guid="{01AD074B-B1B6-448A-AFB0-D91C6A85A17F}" shapeId="0" xr:uid="{00000000-0006-0000-0300-000004000000}">
      <text>
        <r>
          <rPr>
            <b/>
            <sz val="9"/>
            <color indexed="81"/>
            <rFont val="Tahoma"/>
            <family val="2"/>
          </rPr>
          <t>Merabi Kricheli:</t>
        </r>
        <r>
          <rPr>
            <sz val="9"/>
            <color indexed="81"/>
            <rFont val="Tahoma"/>
            <family val="2"/>
          </rPr>
          <t xml:space="preserve">
לימודים, מגיע ב: 22:30
</t>
        </r>
      </text>
    </comment>
    <comment ref="BB26" authorId="0" guid="{31D93B57-BDF1-4520-AEA5-3B3E43A12379}" shapeId="0" xr:uid="{0EADA2F6-837D-4C1D-831D-4FB39EF91A2A}">
      <text>
        <r>
          <rPr>
            <b/>
            <sz val="9"/>
            <color indexed="81"/>
            <rFont val="Tahoma"/>
            <family val="2"/>
          </rPr>
          <t>Merabi Kricheli:</t>
        </r>
        <r>
          <rPr>
            <sz val="9"/>
            <color indexed="81"/>
            <rFont val="Tahoma"/>
            <family val="2"/>
          </rPr>
          <t xml:space="preserve">
חופשת לידה
</t>
        </r>
      </text>
    </comment>
    <comment ref="U27" authorId="1" guid="{914D07C2-BAE8-459C-B44B-C793CE5C7C53}" shapeId="0" xr:uid="{FCBF0517-6C05-4E37-A7BD-E320AE5F657E}">
      <text>
        <r>
          <rPr>
            <b/>
            <sz val="9"/>
            <color indexed="81"/>
            <rFont val="Tahoma"/>
            <charset val="177"/>
          </rPr>
          <t>Avi Manorr:</t>
        </r>
        <r>
          <rPr>
            <sz val="9"/>
            <color indexed="81"/>
            <rFont val="Tahoma"/>
            <charset val="177"/>
          </rPr>
          <t xml:space="preserve">
סויסה
</t>
        </r>
      </text>
    </comment>
    <comment ref="BB27" authorId="0" guid="{3D9185B7-CD8F-43A4-8D4B-B253B2531443}" shapeId="0" xr:uid="{3C53C3F6-01FB-4927-B416-82C30DDBB994}">
      <text>
        <r>
          <rPr>
            <b/>
            <sz val="9"/>
            <color indexed="81"/>
            <rFont val="Tahoma"/>
            <family val="2"/>
          </rPr>
          <t>Merabi Kricheli:</t>
        </r>
        <r>
          <rPr>
            <sz val="9"/>
            <color indexed="81"/>
            <rFont val="Tahoma"/>
            <family val="2"/>
          </rPr>
          <t xml:space="preserve">
חופשת לידה
</t>
        </r>
      </text>
    </comment>
    <comment ref="BN27" authorId="0" guid="{115FC52D-2E93-4FDF-BB8E-7BD311FD0EA1}" shapeId="0" xr:uid="{00000000-0006-0000-0300-000005000000}">
      <text>
        <r>
          <rPr>
            <b/>
            <sz val="9"/>
            <color indexed="81"/>
            <rFont val="Tahoma"/>
            <family val="2"/>
          </rPr>
          <t>Merabi Kricheli:</t>
        </r>
        <r>
          <rPr>
            <sz val="9"/>
            <color indexed="81"/>
            <rFont val="Tahoma"/>
            <family val="2"/>
          </rPr>
          <t xml:space="preserve">
סדנת ניהול רשת
08:00-10:00
</t>
        </r>
      </text>
    </comment>
    <comment ref="BT28" authorId="0" guid="{781ADA74-268B-4485-BF07-5FA7A7F997B3}" shapeId="0" xr:uid="{2B9477F0-46D7-40B8-9602-50A367D071BD}">
      <text>
        <r>
          <rPr>
            <b/>
            <sz val="9"/>
            <color indexed="81"/>
            <rFont val="Tahoma"/>
            <family val="2"/>
          </rPr>
          <t xml:space="preserve">Merabi Kricheli:
</t>
        </r>
        <r>
          <rPr>
            <sz val="9"/>
            <color indexed="81"/>
            <rFont val="Tahoma"/>
            <family val="2"/>
          </rPr>
          <t xml:space="preserve">  יוצא מוקדם ב:17:00
</t>
        </r>
      </text>
    </comment>
    <comment ref="BX28" authorId="0" guid="{607F6A94-3979-4CFE-B14F-58A27541A407}" shapeId="0" xr:uid="{F53CFF6B-6D42-4598-9322-760E33F073F6}">
      <text>
        <r>
          <rPr>
            <b/>
            <sz val="9"/>
            <color indexed="81"/>
            <rFont val="Tahoma"/>
            <charset val="177"/>
          </rPr>
          <t>Merabi Kricheli:</t>
        </r>
        <r>
          <rPr>
            <sz val="9"/>
            <color indexed="81"/>
            <rFont val="Tahoma"/>
            <charset val="177"/>
          </rPr>
          <t xml:space="preserve">
יוצא מוקדםב: 14:30
</t>
        </r>
      </text>
    </comment>
    <comment ref="AZ30" authorId="0" guid="{7D34A3AC-680C-45B8-B933-9EA5B212FFF9}" shapeId="0" xr:uid="{00000000-0006-0000-0300-000006000000}">
      <text>
        <r>
          <rPr>
            <b/>
            <sz val="9"/>
            <color indexed="81"/>
            <rFont val="Tahoma"/>
            <family val="2"/>
          </rPr>
          <t>Merabi Kricheli:</t>
        </r>
        <r>
          <rPr>
            <sz val="9"/>
            <color indexed="81"/>
            <rFont val="Tahoma"/>
            <family val="2"/>
          </rPr>
          <t xml:space="preserve">
לימודים, מגיע ב: 22:30
</t>
        </r>
      </text>
    </comment>
    <comment ref="BB30" authorId="0" guid="{BB65280B-422A-48B0-9CB5-5CF69251064D}" shapeId="0" xr:uid="{48DC8DAD-F604-4F7A-93C6-BA877ABA68D4}">
      <text>
        <r>
          <rPr>
            <b/>
            <sz val="9"/>
            <color indexed="81"/>
            <rFont val="Tahoma"/>
            <family val="2"/>
          </rPr>
          <t>Merabi Kricheli:</t>
        </r>
        <r>
          <rPr>
            <sz val="9"/>
            <color indexed="81"/>
            <rFont val="Tahoma"/>
            <family val="2"/>
          </rPr>
          <t xml:space="preserve">
חופשת לידה
</t>
        </r>
      </text>
    </comment>
    <comment ref="BB31" authorId="0" guid="{3519F520-FFAA-4AA4-A33E-69DD42C9D744}" shapeId="0" xr:uid="{85925FFF-D77A-4D67-8057-13BC655F063F}">
      <text>
        <r>
          <rPr>
            <b/>
            <sz val="9"/>
            <color indexed="81"/>
            <rFont val="Tahoma"/>
            <family val="2"/>
          </rPr>
          <t>Merabi Kricheli:</t>
        </r>
        <r>
          <rPr>
            <sz val="9"/>
            <color indexed="81"/>
            <rFont val="Tahoma"/>
            <family val="2"/>
          </rPr>
          <t xml:space="preserve">
חופשת לידה
</t>
        </r>
      </text>
    </comment>
    <comment ref="BB32" authorId="0" guid="{AC2BA074-EC5A-40D0-893D-02AC220A86BD}" shapeId="0" xr:uid="{44D94A74-F489-40E2-A23D-30238EB2119F}">
      <text>
        <r>
          <rPr>
            <b/>
            <sz val="9"/>
            <color indexed="81"/>
            <rFont val="Tahoma"/>
            <family val="2"/>
          </rPr>
          <t>Merabi Kricheli:</t>
        </r>
        <r>
          <rPr>
            <sz val="9"/>
            <color indexed="81"/>
            <rFont val="Tahoma"/>
            <family val="2"/>
          </rPr>
          <t xml:space="preserve">
חופשת לידה
</t>
        </r>
      </text>
    </comment>
    <comment ref="BD32" authorId="0" guid="{16CEC3B2-B6CA-47B1-A25C-CC8CEE15727F}" shapeId="0" xr:uid="{F08D1E4A-6A76-4F26-92F9-3EBEC9D3391F}">
      <text>
        <r>
          <rPr>
            <b/>
            <sz val="9"/>
            <color indexed="81"/>
            <rFont val="Tahoma"/>
            <charset val="177"/>
          </rPr>
          <t>Merabi Kricheli:</t>
        </r>
        <r>
          <rPr>
            <sz val="9"/>
            <color indexed="81"/>
            <rFont val="Tahoma"/>
            <charset val="177"/>
          </rPr>
          <t xml:space="preserve">
יוצא מוקדם ב: 17:00
</t>
        </r>
      </text>
    </comment>
    <comment ref="F33" authorId="1" guid="{0B5C5C11-C9E7-4264-B2FE-24838DEC95E8}" shapeId="0" xr:uid="{480F913C-7C05-45BA-8B1C-7006386DA65C}">
      <text>
        <r>
          <rPr>
            <b/>
            <sz val="9"/>
            <color indexed="81"/>
            <rFont val="Tahoma"/>
            <charset val="177"/>
          </rPr>
          <t>Avi Manorr:</t>
        </r>
        <r>
          <rPr>
            <sz val="9"/>
            <color indexed="81"/>
            <rFont val="Tahoma"/>
            <charset val="177"/>
          </rPr>
          <t xml:space="preserve">
יוצאים ללימודים אחרי 11:00
</t>
        </r>
      </text>
    </comment>
    <comment ref="J33" authorId="1" guid="{8FABAECF-134C-459C-AD90-B371785C9854}" shapeId="0" xr:uid="{706D385B-8105-4DB4-939A-C08E5B9DBA8F}">
      <text>
        <r>
          <rPr>
            <b/>
            <sz val="9"/>
            <color indexed="81"/>
            <rFont val="Tahoma"/>
            <charset val="177"/>
          </rPr>
          <t>Avi Manorr:</t>
        </r>
        <r>
          <rPr>
            <sz val="9"/>
            <color indexed="81"/>
            <rFont val="Tahoma"/>
            <charset val="177"/>
          </rPr>
          <t xml:space="preserve">
יוצאים ללימודים אחרי 11:00
</t>
        </r>
      </text>
    </comment>
    <comment ref="L33" authorId="1" guid="{62485907-51BF-4EA2-9168-F590DB70CE03}" shapeId="0" xr:uid="{EBE39C3D-5FF7-4E54-8C81-68C6D52210A6}">
      <text>
        <r>
          <rPr>
            <b/>
            <sz val="9"/>
            <color indexed="81"/>
            <rFont val="Tahoma"/>
            <charset val="177"/>
          </rPr>
          <t>Avi Manorr:</t>
        </r>
        <r>
          <rPr>
            <sz val="9"/>
            <color indexed="81"/>
            <rFont val="Tahoma"/>
            <charset val="177"/>
          </rPr>
          <t xml:space="preserve">
יוצאים ללימודים אחרי 11:00
</t>
        </r>
      </text>
    </comment>
    <comment ref="AZ33" authorId="0" guid="{D3EBD555-17D1-49ED-9900-DB2294530D46}" shapeId="0" xr:uid="{00000000-0006-0000-0300-000009000000}">
      <text>
        <r>
          <rPr>
            <b/>
            <sz val="9"/>
            <color indexed="81"/>
            <rFont val="Tahoma"/>
            <family val="2"/>
          </rPr>
          <t>Merabi Kricheli:</t>
        </r>
        <r>
          <rPr>
            <sz val="9"/>
            <color indexed="81"/>
            <rFont val="Tahoma"/>
            <family val="2"/>
          </rPr>
          <t xml:space="preserve">
לימודים
</t>
        </r>
      </text>
    </comment>
    <comment ref="BB33" authorId="0" guid="{74516878-9B09-4C80-9426-D562054040C2}" shapeId="0" xr:uid="{527F320B-25E5-4F85-8520-F5374217D5D7}">
      <text>
        <r>
          <rPr>
            <b/>
            <sz val="9"/>
            <color indexed="81"/>
            <rFont val="Tahoma"/>
            <family val="2"/>
          </rPr>
          <t>Merabi Kricheli:</t>
        </r>
        <r>
          <rPr>
            <sz val="9"/>
            <color indexed="81"/>
            <rFont val="Tahoma"/>
            <family val="2"/>
          </rPr>
          <t xml:space="preserve">
חופשת לידה
</t>
        </r>
      </text>
    </comment>
    <comment ref="K34" authorId="1" guid="{DE2A2F56-114C-4502-83CB-EAA3C95E97C8}" shapeId="0" xr:uid="{500AAE06-2C6D-44C2-B7D4-712764FC3A67}">
      <text>
        <r>
          <rPr>
            <b/>
            <sz val="9"/>
            <color indexed="81"/>
            <rFont val="Tahoma"/>
            <charset val="177"/>
          </rPr>
          <t>Avi Manorr:</t>
        </r>
        <r>
          <rPr>
            <sz val="9"/>
            <color indexed="81"/>
            <rFont val="Tahoma"/>
            <charset val="177"/>
          </rPr>
          <t xml:space="preserve">
קובה
</t>
        </r>
      </text>
    </comment>
    <comment ref="AL34" authorId="2" guid="{BDD5844A-A8CD-4389-A560-A9B311C08417}" shapeId="0" xr:uid="{2E341379-8EB7-4759-8B9E-98E2F69F2066}">
      <text>
        <r>
          <rPr>
            <b/>
            <sz val="9"/>
            <color indexed="81"/>
            <rFont val="Tahoma"/>
            <charset val="177"/>
          </rPr>
          <t xml:space="preserve">רובוטיקה
</t>
        </r>
      </text>
    </comment>
    <comment ref="BB34" authorId="0" guid="{E1EECEDD-8C71-4D94-960D-06EF9000383C}" shapeId="0" xr:uid="{C51CDC2A-F388-420C-A7F6-757968DF2FD8}">
      <text>
        <r>
          <rPr>
            <b/>
            <sz val="9"/>
            <color indexed="81"/>
            <rFont val="Tahoma"/>
            <family val="2"/>
          </rPr>
          <t>Merabi Kricheli:</t>
        </r>
        <r>
          <rPr>
            <sz val="9"/>
            <color indexed="81"/>
            <rFont val="Tahoma"/>
            <family val="2"/>
          </rPr>
          <t xml:space="preserve">
חופשת לידה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Merabi Kricheli</author>
    <author>Shmuel Fogel</author>
    <author>Avi Manorr</author>
    <author>Avi Shmueli</author>
  </authors>
  <commentList>
    <comment ref="BT6" authorId="0" guid="{F8468363-48A5-4263-AE7E-F8F05078AE3A}" shapeId="0" xr:uid="{7C938ED7-4B3D-4B47-A254-911887B6A476}">
      <text>
        <r>
          <rPr>
            <b/>
            <sz val="9"/>
            <color indexed="81"/>
            <rFont val="Tahoma"/>
            <family val="2"/>
          </rPr>
          <t>Merabi Kricheli:</t>
        </r>
        <r>
          <rPr>
            <sz val="9"/>
            <color indexed="81"/>
            <rFont val="Tahoma"/>
            <family val="2"/>
          </rPr>
          <t xml:space="preserve">
מגעי מאוחר
</t>
        </r>
      </text>
    </comment>
    <comment ref="AZ7" authorId="0" guid="{E22A1FA9-E0A2-41F1-B641-6FFE15BF05AC}" shapeId="0" xr:uid="{00000000-0006-0000-0400-000001000000}">
      <text>
        <r>
          <rPr>
            <b/>
            <sz val="9"/>
            <color indexed="81"/>
            <rFont val="Tahoma"/>
            <family val="2"/>
          </rPr>
          <t>Merabi Kricheli:</t>
        </r>
        <r>
          <rPr>
            <sz val="9"/>
            <color indexed="81"/>
            <rFont val="Tahoma"/>
            <family val="2"/>
          </rPr>
          <t xml:space="preserve">
לימודים
</t>
        </r>
      </text>
    </comment>
    <comment ref="BB7" authorId="0" guid="{45291AEB-9E2B-4572-8439-742645DDE09D}" shapeId="0" xr:uid="{E08BE90A-2620-4AC1-93B8-12605E620137}">
      <text>
        <r>
          <rPr>
            <b/>
            <sz val="9"/>
            <color indexed="81"/>
            <rFont val="Tahoma"/>
            <family val="2"/>
          </rPr>
          <t>Merabi Kricheli:</t>
        </r>
        <r>
          <rPr>
            <sz val="9"/>
            <color indexed="81"/>
            <rFont val="Tahoma"/>
            <family val="2"/>
          </rPr>
          <t xml:space="preserve">
חופשת לידה
</t>
        </r>
      </text>
    </comment>
    <comment ref="AL8" authorId="1" guid="{391F1776-4B31-4E5B-974F-7C54827DEA98}" shapeId="0" xr:uid="{DD11166C-D340-4C68-AD36-7577D64BAC69}">
      <text>
        <r>
          <rPr>
            <b/>
            <sz val="9"/>
            <color indexed="81"/>
            <rFont val="Tahoma"/>
            <charset val="177"/>
          </rPr>
          <t xml:space="preserve">רובוטיקה
</t>
        </r>
      </text>
    </comment>
    <comment ref="BB8" authorId="0" guid="{55D56864-A8EF-4BEB-958C-891C3F3B4054}" shapeId="0" xr:uid="{6364514A-3A40-4287-983E-FE9D4F6DC63F}">
      <text>
        <r>
          <rPr>
            <b/>
            <sz val="9"/>
            <color indexed="81"/>
            <rFont val="Tahoma"/>
            <family val="2"/>
          </rPr>
          <t>Merabi Kricheli:</t>
        </r>
        <r>
          <rPr>
            <sz val="9"/>
            <color indexed="81"/>
            <rFont val="Tahoma"/>
            <family val="2"/>
          </rPr>
          <t xml:space="preserve">
חופשת לידה
</t>
        </r>
      </text>
    </comment>
    <comment ref="AO9" authorId="1" guid="{1FA96297-8AD7-4AC9-A1A3-72B51A1ADFF4}" shapeId="0" xr:uid="{7E3A8E52-AC23-4728-B4F9-FF353393F177}">
      <text>
        <r>
          <rPr>
            <b/>
            <sz val="9"/>
            <color indexed="81"/>
            <rFont val="Tahoma"/>
            <charset val="177"/>
          </rPr>
          <t>אבבה</t>
        </r>
        <r>
          <rPr>
            <sz val="9"/>
            <color indexed="81"/>
            <rFont val="Tahoma"/>
            <charset val="177"/>
          </rPr>
          <t xml:space="preserve">
</t>
        </r>
        <r>
          <rPr>
            <sz val="9"/>
            <color indexed="81"/>
            <rFont val="Tahoma"/>
            <charset val="177"/>
          </rPr>
          <t xml:space="preserve">ראובן
</t>
        </r>
      </text>
    </comment>
    <comment ref="BB9" authorId="0" guid="{08E20BB6-9E7C-4297-B1C2-CC0459DF61A0}" shapeId="0" xr:uid="{79FE6884-9A54-4C49-A66A-C3BD3D51218C}">
      <text>
        <r>
          <rPr>
            <b/>
            <sz val="9"/>
            <color indexed="81"/>
            <rFont val="Tahoma"/>
            <family val="2"/>
          </rPr>
          <t>Merabi Kricheli:</t>
        </r>
        <r>
          <rPr>
            <sz val="9"/>
            <color indexed="81"/>
            <rFont val="Tahoma"/>
            <family val="2"/>
          </rPr>
          <t xml:space="preserve">
חופשת לידה
</t>
        </r>
      </text>
    </comment>
    <comment ref="F10" authorId="2" guid="{D477E782-7016-4BC6-B3AA-0CDE4D58645C}" shapeId="0" xr:uid="{09AD84A1-B792-438F-AE4D-37411B4EE2D2}">
      <text>
        <r>
          <rPr>
            <b/>
            <sz val="9"/>
            <color indexed="81"/>
            <rFont val="Tahoma"/>
            <charset val="177"/>
          </rPr>
          <t>Avi Manorr:</t>
        </r>
        <r>
          <rPr>
            <sz val="9"/>
            <color indexed="81"/>
            <rFont val="Tahoma"/>
            <charset val="177"/>
          </rPr>
          <t xml:space="preserve">
יוצאים ללימודים אחרי 11:00
</t>
        </r>
      </text>
    </comment>
    <comment ref="J10" authorId="2" guid="{0CD51CD2-0DAB-4241-9DB0-487982680236}" shapeId="0" xr:uid="{E53F7FF1-9891-4C82-BD6E-EE92948E8562}">
      <text>
        <r>
          <rPr>
            <b/>
            <sz val="9"/>
            <color indexed="81"/>
            <rFont val="Tahoma"/>
            <charset val="177"/>
          </rPr>
          <t>Avi Manorr:</t>
        </r>
        <r>
          <rPr>
            <sz val="9"/>
            <color indexed="81"/>
            <rFont val="Tahoma"/>
            <charset val="177"/>
          </rPr>
          <t xml:space="preserve">
יוצאים ללימודים אחרי 11:00
</t>
        </r>
      </text>
    </comment>
    <comment ref="L10" authorId="2" guid="{5EDBBF18-5DDE-448B-BB9F-46530E7A6178}" shapeId="0" xr:uid="{BCEA5FF0-EEAC-431C-974F-6B3B13EF9682}">
      <text>
        <r>
          <rPr>
            <b/>
            <sz val="9"/>
            <color indexed="81"/>
            <rFont val="Tahoma"/>
            <charset val="177"/>
          </rPr>
          <t>Avi Manorr:</t>
        </r>
        <r>
          <rPr>
            <sz val="9"/>
            <color indexed="81"/>
            <rFont val="Tahoma"/>
            <charset val="177"/>
          </rPr>
          <t xml:space="preserve">
יוצאים ללימודים אחרי 11:00
</t>
        </r>
      </text>
    </comment>
    <comment ref="BB10" authorId="0" guid="{96E1F453-C2F2-4CBB-A015-17EFC6245768}" shapeId="0" xr:uid="{F6F7D8ED-7821-47BF-91CE-BF9BBB168AA5}">
      <text>
        <r>
          <rPr>
            <b/>
            <sz val="9"/>
            <color indexed="81"/>
            <rFont val="Tahoma"/>
            <family val="2"/>
          </rPr>
          <t>Merabi Kricheli:</t>
        </r>
        <r>
          <rPr>
            <sz val="9"/>
            <color indexed="81"/>
            <rFont val="Tahoma"/>
            <family val="2"/>
          </rPr>
          <t xml:space="preserve">
חופשת לידה
</t>
        </r>
      </text>
    </comment>
    <comment ref="BB11" authorId="0" guid="{72099F98-4F87-4BEF-A8BF-91A341F49064}" shapeId="0" xr:uid="{F849BB53-6601-41B7-BFBF-8C1B5C90DCA6}">
      <text>
        <r>
          <rPr>
            <b/>
            <sz val="9"/>
            <color indexed="81"/>
            <rFont val="Tahoma"/>
            <family val="2"/>
          </rPr>
          <t>Merabi Kricheli:</t>
        </r>
        <r>
          <rPr>
            <sz val="9"/>
            <color indexed="81"/>
            <rFont val="Tahoma"/>
            <family val="2"/>
          </rPr>
          <t xml:space="preserve">
חופשת לידה
</t>
        </r>
      </text>
    </comment>
    <comment ref="BF12" authorId="0" guid="{0647E204-372A-44BE-9D20-0B27ECE5E191}" shapeId="0" xr:uid="{0E0D2158-CB9C-4806-BAB5-7BDEE1B3C303}">
      <text>
        <r>
          <rPr>
            <b/>
            <sz val="9"/>
            <color indexed="81"/>
            <rFont val="Tahoma"/>
            <family val="2"/>
          </rPr>
          <t>Merabi Kricheli:</t>
        </r>
        <r>
          <rPr>
            <sz val="9"/>
            <color indexed="81"/>
            <rFont val="Tahoma"/>
            <family val="2"/>
          </rPr>
          <t xml:space="preserve">
יוצא מוקדם ב: 18:30
</t>
        </r>
      </text>
    </comment>
    <comment ref="BB14" authorId="0" guid="{E00AE9EF-FB27-4F74-9D82-8AAD372E384A}" shapeId="0" xr:uid="{1FB43AC2-A4CB-420A-9F39-1A3A7100CADB}">
      <text>
        <r>
          <rPr>
            <b/>
            <sz val="9"/>
            <color indexed="81"/>
            <rFont val="Tahoma"/>
            <family val="2"/>
          </rPr>
          <t>Merabi Kricheli:</t>
        </r>
        <r>
          <rPr>
            <sz val="9"/>
            <color indexed="81"/>
            <rFont val="Tahoma"/>
            <family val="2"/>
          </rPr>
          <t xml:space="preserve">
חופשת לידה
</t>
        </r>
      </text>
    </comment>
    <comment ref="AD15" authorId="3" guid="{7337486A-2727-499B-8174-DF2DFD586D77}" shapeId="0" xr:uid="{67A19F86-5425-45B1-BEB2-14ECD3B5C59B}">
      <text>
        <r>
          <rPr>
            <b/>
            <sz val="9"/>
            <color indexed="81"/>
            <rFont val="Tahoma"/>
            <charset val="177"/>
          </rPr>
          <t>Avi Shmueli:</t>
        </r>
        <r>
          <rPr>
            <sz val="9"/>
            <color indexed="81"/>
            <rFont val="Tahoma"/>
            <charset val="177"/>
          </rPr>
          <t xml:space="preserve">
ריענון למדריך נהיגה
09:00-10:30
</t>
        </r>
      </text>
    </comment>
    <comment ref="AO15" authorId="1" guid="{B8A94B6D-6DDF-4A15-B611-1B44B050325B}" shapeId="0" xr:uid="{74120E9C-3445-4307-83C5-2A9A0BA0C330}">
      <text>
        <r>
          <rPr>
            <b/>
            <sz val="9"/>
            <color indexed="81"/>
            <rFont val="Tahoma"/>
            <charset val="177"/>
          </rPr>
          <t xml:space="preserve">ראובן
אבבה
</t>
        </r>
      </text>
    </comment>
    <comment ref="BB15" authorId="0" guid="{3228D96B-E212-4A1A-9E6A-CB65988DC169}" shapeId="0" xr:uid="{26204A3C-F08B-4E90-9EB9-E243229C2B63}">
      <text>
        <r>
          <rPr>
            <b/>
            <sz val="9"/>
            <color indexed="81"/>
            <rFont val="Tahoma"/>
            <family val="2"/>
          </rPr>
          <t>Merabi Kricheli:</t>
        </r>
        <r>
          <rPr>
            <sz val="9"/>
            <color indexed="81"/>
            <rFont val="Tahoma"/>
            <family val="2"/>
          </rPr>
          <t xml:space="preserve">
חופשת לידה
</t>
        </r>
      </text>
    </comment>
    <comment ref="BB16" authorId="0" guid="{BCE9C0A9-7F49-44B7-A144-2808EA268AEB}" shapeId="0" xr:uid="{E77B210A-9309-4FA2-B324-D9E42E6B88A0}">
      <text>
        <r>
          <rPr>
            <b/>
            <sz val="9"/>
            <color indexed="81"/>
            <rFont val="Tahoma"/>
            <family val="2"/>
          </rPr>
          <t>Merabi Kricheli:</t>
        </r>
        <r>
          <rPr>
            <sz val="9"/>
            <color indexed="81"/>
            <rFont val="Tahoma"/>
            <family val="2"/>
          </rPr>
          <t xml:space="preserve">
חופשת לידה
</t>
        </r>
      </text>
    </comment>
    <comment ref="F17" authorId="2" guid="{A012B1C8-A545-4B57-AE92-31643298BA3F}" shapeId="0" xr:uid="{E1196320-843D-4008-87F8-B239B93569B7}">
      <text>
        <r>
          <rPr>
            <b/>
            <sz val="9"/>
            <color indexed="81"/>
            <rFont val="Tahoma"/>
            <charset val="177"/>
          </rPr>
          <t>Avi Manorr:</t>
        </r>
        <r>
          <rPr>
            <sz val="9"/>
            <color indexed="81"/>
            <rFont val="Tahoma"/>
            <charset val="177"/>
          </rPr>
          <t xml:space="preserve">
יוצאים ללימודים אחרי 11:00
</t>
        </r>
      </text>
    </comment>
    <comment ref="L17" authorId="2" guid="{A42DA285-61B3-4F7E-B8DB-30F9153F4B33}" shapeId="0" xr:uid="{592B52C6-8AE0-4592-B737-453D722A4322}">
      <text>
        <r>
          <rPr>
            <b/>
            <sz val="9"/>
            <color indexed="81"/>
            <rFont val="Tahoma"/>
            <charset val="177"/>
          </rPr>
          <t>Avi Manorr:</t>
        </r>
        <r>
          <rPr>
            <sz val="9"/>
            <color indexed="81"/>
            <rFont val="Tahoma"/>
            <charset val="177"/>
          </rPr>
          <t xml:space="preserve">
יוצאים ללימודים אחרי 11:00
</t>
        </r>
      </text>
    </comment>
    <comment ref="BB17" authorId="0" guid="{F37BF0C3-F163-4F8F-9A2B-02B5BDD12745}" shapeId="0" xr:uid="{0D48B1A7-70EA-477C-A527-98C66C255326}">
      <text>
        <r>
          <rPr>
            <b/>
            <sz val="9"/>
            <color indexed="81"/>
            <rFont val="Tahoma"/>
            <family val="2"/>
          </rPr>
          <t>Merabi Kricheli:</t>
        </r>
        <r>
          <rPr>
            <sz val="9"/>
            <color indexed="81"/>
            <rFont val="Tahoma"/>
            <family val="2"/>
          </rPr>
          <t xml:space="preserve">
חופשת לידה
</t>
        </r>
      </text>
    </comment>
    <comment ref="AK18" authorId="1" guid="{F797CB1F-6B1C-4753-9ED4-63BD30790F49}" shapeId="0" xr:uid="{16666FC2-4DD8-43B7-8E0A-76C6780488CC}">
      <text>
        <r>
          <rPr>
            <b/>
            <sz val="9"/>
            <color indexed="81"/>
            <rFont val="Tahoma"/>
            <charset val="177"/>
          </rPr>
          <t>תומר</t>
        </r>
        <r>
          <rPr>
            <sz val="9"/>
            <color indexed="81"/>
            <rFont val="Tahoma"/>
            <charset val="177"/>
          </rPr>
          <t xml:space="preserve">
</t>
        </r>
      </text>
    </comment>
    <comment ref="BB18" authorId="0" guid="{7986666D-88E3-4B9E-9719-1118F7D8C26F}" shapeId="0" xr:uid="{10D51D5D-1C31-4AE5-83E8-43B5A0FCCFE7}">
      <text>
        <r>
          <rPr>
            <b/>
            <sz val="9"/>
            <color indexed="81"/>
            <rFont val="Tahoma"/>
            <family val="2"/>
          </rPr>
          <t>Merabi Kricheli:</t>
        </r>
        <r>
          <rPr>
            <sz val="9"/>
            <color indexed="81"/>
            <rFont val="Tahoma"/>
            <family val="2"/>
          </rPr>
          <t xml:space="preserve">
חופשת לידה
</t>
        </r>
      </text>
    </comment>
    <comment ref="AZ19" authorId="0" guid="{970896E3-D010-4016-82F7-FE67AE61814B}" shapeId="0" xr:uid="{00000000-0006-0000-0400-000003000000}">
      <text>
        <r>
          <rPr>
            <b/>
            <sz val="9"/>
            <color indexed="81"/>
            <rFont val="Tahoma"/>
            <family val="2"/>
          </rPr>
          <t>Merabi Kricheli:</t>
        </r>
        <r>
          <rPr>
            <sz val="9"/>
            <color indexed="81"/>
            <rFont val="Tahoma"/>
            <family val="2"/>
          </rPr>
          <t xml:space="preserve">
לימודים
</t>
        </r>
      </text>
    </comment>
    <comment ref="BF20" authorId="0" guid="{73E7F3B6-EE61-4149-A40E-1605BAB70CB5}" shapeId="0" xr:uid="{1733B256-E1B6-4608-B777-659A0A4D03F4}">
      <text>
        <r>
          <rPr>
            <b/>
            <sz val="9"/>
            <color indexed="81"/>
            <rFont val="Tahoma"/>
            <family val="2"/>
          </rPr>
          <t>Merabi Kricheli:</t>
        </r>
        <r>
          <rPr>
            <sz val="9"/>
            <color indexed="81"/>
            <rFont val="Tahoma"/>
            <family val="2"/>
          </rPr>
          <t xml:space="preserve">
מגיע מאוחר ב: 11:00
</t>
        </r>
      </text>
    </comment>
    <comment ref="BB21" authorId="0" guid="{B54A6C71-772C-4F3D-BC5E-155A1A55A8D8}" shapeId="0" xr:uid="{CB326093-BA3C-4675-9D1B-2C8627E42D76}">
      <text>
        <r>
          <rPr>
            <b/>
            <sz val="9"/>
            <color indexed="81"/>
            <rFont val="Tahoma"/>
            <family val="2"/>
          </rPr>
          <t>Merabi Kricheli:</t>
        </r>
        <r>
          <rPr>
            <sz val="9"/>
            <color indexed="81"/>
            <rFont val="Tahoma"/>
            <family val="2"/>
          </rPr>
          <t xml:space="preserve">
חופשת לידה
</t>
        </r>
      </text>
    </comment>
    <comment ref="AD22" authorId="3" guid="{B548622E-4CE3-435B-BE23-8E4AA25511FD}" shapeId="0" xr:uid="{D0CC2125-3FBA-4F20-AF46-BDCAAB44762A}">
      <text>
        <r>
          <rPr>
            <b/>
            <sz val="9"/>
            <color indexed="81"/>
            <rFont val="Tahoma"/>
            <charset val="177"/>
          </rPr>
          <t>Avi Shmueli:</t>
        </r>
        <r>
          <rPr>
            <sz val="9"/>
            <color indexed="81"/>
            <rFont val="Tahoma"/>
            <charset val="177"/>
          </rPr>
          <t xml:space="preserve">
מגדלחדש  waterfall
09:00
</t>
        </r>
      </text>
    </comment>
    <comment ref="AM22" authorId="1" guid="{0D83878C-3F5D-41E9-8138-ADCC982C071D}" shapeId="0" xr:uid="{39F3B0A6-3202-45C5-BCB2-41296459DE02}">
      <text>
        <r>
          <rPr>
            <b/>
            <sz val="9"/>
            <color indexed="81"/>
            <rFont val="Tahoma"/>
            <charset val="177"/>
          </rPr>
          <t xml:space="preserve">תומר
</t>
        </r>
      </text>
    </comment>
    <comment ref="BB22" authorId="0" guid="{B526F8FA-3DDE-48EC-BF0F-9265737BFE56}" shapeId="0" xr:uid="{CBF531F1-1E44-4906-8464-E3643119EABC}">
      <text>
        <r>
          <rPr>
            <b/>
            <sz val="9"/>
            <color indexed="81"/>
            <rFont val="Tahoma"/>
            <family val="2"/>
          </rPr>
          <t>Merabi Kricheli:</t>
        </r>
        <r>
          <rPr>
            <sz val="9"/>
            <color indexed="81"/>
            <rFont val="Tahoma"/>
            <family val="2"/>
          </rPr>
          <t xml:space="preserve">
חופשת לידה
</t>
        </r>
      </text>
    </comment>
    <comment ref="BX22" authorId="0" guid="{98F9EF6C-C942-48C7-A83A-F53FF7BD1D43}" shapeId="0" xr:uid="{00000000-0006-0000-0400-000004000000}">
      <text>
        <r>
          <rPr>
            <b/>
            <sz val="9"/>
            <color indexed="81"/>
            <rFont val="Tahoma"/>
            <family val="2"/>
          </rPr>
          <t>Merabi Kricheli:</t>
        </r>
        <r>
          <rPr>
            <sz val="9"/>
            <color indexed="81"/>
            <rFont val="Tahoma"/>
            <family val="2"/>
          </rPr>
          <t xml:space="preserve">
יוצא מוקדם בשעה 15:00
</t>
        </r>
      </text>
    </comment>
    <comment ref="BB23" authorId="0" guid="{FF61B1CD-7414-497C-BC29-3F9DA0ECCCE4}" shapeId="0" xr:uid="{69E82214-8DB1-4308-BFD1-3A807E568B82}">
      <text>
        <r>
          <rPr>
            <b/>
            <sz val="9"/>
            <color indexed="81"/>
            <rFont val="Tahoma"/>
            <family val="2"/>
          </rPr>
          <t>Merabi Kricheli:</t>
        </r>
        <r>
          <rPr>
            <sz val="9"/>
            <color indexed="81"/>
            <rFont val="Tahoma"/>
            <family val="2"/>
          </rPr>
          <t xml:space="preserve">
חופשת לידה
</t>
        </r>
      </text>
    </comment>
    <comment ref="F24" authorId="2" guid="{11F86CBB-045D-422C-BAFA-1EF2D9D6E400}" shapeId="0" xr:uid="{1CA8ACE5-8B7F-4BF6-8649-579C23907D08}">
      <text>
        <r>
          <rPr>
            <b/>
            <sz val="9"/>
            <color indexed="81"/>
            <rFont val="Tahoma"/>
            <charset val="177"/>
          </rPr>
          <t>Avi Manorr:</t>
        </r>
        <r>
          <rPr>
            <sz val="9"/>
            <color indexed="81"/>
            <rFont val="Tahoma"/>
            <charset val="177"/>
          </rPr>
          <t xml:space="preserve">
יוצאים ללימודים אחרי 11:00
</t>
        </r>
      </text>
    </comment>
    <comment ref="J24" authorId="2" guid="{FA92ADCE-38D9-49AE-9C8C-F6A86C9FF829}" shapeId="0" xr:uid="{BFE4D512-F5CE-4A2B-A74E-34BD95915F5F}">
      <text>
        <r>
          <rPr>
            <b/>
            <sz val="9"/>
            <color indexed="81"/>
            <rFont val="Tahoma"/>
            <charset val="177"/>
          </rPr>
          <t>Avi Manorr:</t>
        </r>
        <r>
          <rPr>
            <sz val="9"/>
            <color indexed="81"/>
            <rFont val="Tahoma"/>
            <charset val="177"/>
          </rPr>
          <t xml:space="preserve">
יוצאים ללימודים אחרי 11:00
</t>
        </r>
      </text>
    </comment>
    <comment ref="L24" authorId="2" guid="{06157BB5-30E5-4AD4-900D-96A189EC7B28}" shapeId="0" xr:uid="{C7D82436-4381-4C5F-99AC-69B007B63EB6}">
      <text>
        <r>
          <rPr>
            <b/>
            <sz val="9"/>
            <color indexed="81"/>
            <rFont val="Tahoma"/>
            <charset val="177"/>
          </rPr>
          <t>Avi Manorr:</t>
        </r>
        <r>
          <rPr>
            <sz val="9"/>
            <color indexed="81"/>
            <rFont val="Tahoma"/>
            <charset val="177"/>
          </rPr>
          <t xml:space="preserve">
יוצאים ללימודים אחרי 11:00
</t>
        </r>
      </text>
    </comment>
    <comment ref="AZ24" authorId="0" guid="{F85513CD-E4AB-464F-A7B1-ADB6B6FA22D5}" shapeId="0" xr:uid="{00000000-0006-0000-0400-000005000000}">
      <text>
        <r>
          <rPr>
            <b/>
            <sz val="9"/>
            <color indexed="81"/>
            <rFont val="Tahoma"/>
            <family val="2"/>
          </rPr>
          <t>Merabi Kricheli:</t>
        </r>
        <r>
          <rPr>
            <sz val="9"/>
            <color indexed="81"/>
            <rFont val="Tahoma"/>
            <family val="2"/>
          </rPr>
          <t xml:space="preserve">
לימודים, מגיע ב: 22:30
</t>
        </r>
      </text>
    </comment>
    <comment ref="BB24" authorId="0" guid="{E775D35C-E711-4182-B789-980D1D12A1A0}" shapeId="0" xr:uid="{D0D9E85F-6809-4626-AD53-5852A602F8D0}">
      <text>
        <r>
          <rPr>
            <b/>
            <sz val="9"/>
            <color indexed="81"/>
            <rFont val="Tahoma"/>
            <family val="2"/>
          </rPr>
          <t>Merabi Kricheli:</t>
        </r>
        <r>
          <rPr>
            <sz val="9"/>
            <color indexed="81"/>
            <rFont val="Tahoma"/>
            <family val="2"/>
          </rPr>
          <t xml:space="preserve">
חופשת לידה
</t>
        </r>
      </text>
    </comment>
    <comment ref="BB25" authorId="0" guid="{723A17CF-2E71-4FD3-BA54-804929B97125}" shapeId="0" xr:uid="{617097E1-3DA1-439F-A2EF-4695B40A51B3}">
      <text>
        <r>
          <rPr>
            <b/>
            <sz val="9"/>
            <color indexed="81"/>
            <rFont val="Tahoma"/>
            <family val="2"/>
          </rPr>
          <t>Merabi Kricheli:</t>
        </r>
        <r>
          <rPr>
            <sz val="9"/>
            <color indexed="81"/>
            <rFont val="Tahoma"/>
            <family val="2"/>
          </rPr>
          <t xml:space="preserve">
חופשת לידה
</t>
        </r>
      </text>
    </comment>
    <comment ref="BF25" authorId="0" guid="{5D30DF0D-EA41-45C5-A068-119BECAD1265}" shapeId="0" xr:uid="{B6C7203F-39DA-45AA-B0AC-97D4F8BE4955}">
      <text>
        <r>
          <rPr>
            <b/>
            <sz val="9"/>
            <color indexed="81"/>
            <rFont val="Tahoma"/>
            <family val="2"/>
          </rPr>
          <t>Merabi Kricheli:</t>
        </r>
        <r>
          <rPr>
            <sz val="9"/>
            <color indexed="81"/>
            <rFont val="Tahoma"/>
            <family val="2"/>
          </rPr>
          <t xml:space="preserve">
מגיע באיחור ב: 21:30
</t>
        </r>
      </text>
    </comment>
    <comment ref="BX26" authorId="0" guid="{EB5FC11F-7C36-4670-B76C-713DAC7DD5EC}" shapeId="0" xr:uid="{00000000-0006-0000-0400-000006000000}">
      <text>
        <r>
          <rPr>
            <b/>
            <sz val="9"/>
            <color indexed="81"/>
            <rFont val="Tahoma"/>
            <family val="2"/>
          </rPr>
          <t>Merabi Kricheli:</t>
        </r>
        <r>
          <rPr>
            <sz val="9"/>
            <color indexed="81"/>
            <rFont val="Tahoma"/>
            <family val="2"/>
          </rPr>
          <t xml:space="preserve">
יוצא מוקדם בשעה 15:00
</t>
        </r>
      </text>
    </comment>
    <comment ref="AZ28" authorId="0" guid="{75C8C242-D347-491C-B568-738029D06405}" shapeId="0" xr:uid="{00000000-0006-0000-0400-000007000000}">
      <text>
        <r>
          <rPr>
            <b/>
            <sz val="9"/>
            <color indexed="81"/>
            <rFont val="Tahoma"/>
            <family val="2"/>
          </rPr>
          <t>Merabi Kricheli:</t>
        </r>
        <r>
          <rPr>
            <sz val="9"/>
            <color indexed="81"/>
            <rFont val="Tahoma"/>
            <family val="2"/>
          </rPr>
          <t xml:space="preserve">
לימודים, מגיע ב: 22:30
</t>
        </r>
      </text>
    </comment>
    <comment ref="BB28" authorId="0" guid="{992E9C74-9746-4F2F-B50F-FEF201A19569}" shapeId="0" xr:uid="{D63B3D18-F736-49F3-BA82-244343DB5D15}">
      <text>
        <r>
          <rPr>
            <b/>
            <sz val="9"/>
            <color indexed="81"/>
            <rFont val="Tahoma"/>
            <family val="2"/>
          </rPr>
          <t>Merabi Kricheli:</t>
        </r>
        <r>
          <rPr>
            <sz val="9"/>
            <color indexed="81"/>
            <rFont val="Tahoma"/>
            <family val="2"/>
          </rPr>
          <t xml:space="preserve">
חופשת לידה
</t>
        </r>
      </text>
    </comment>
    <comment ref="BB29" authorId="0" guid="{BCAEFBD5-44F1-42DF-B1A3-A55131F2C7DF}" shapeId="0" xr:uid="{BB436CB4-B1BE-404C-AD96-6C3C9CBE06D8}">
      <text>
        <r>
          <rPr>
            <b/>
            <sz val="9"/>
            <color indexed="81"/>
            <rFont val="Tahoma"/>
            <family val="2"/>
          </rPr>
          <t>Merabi Kricheli:</t>
        </r>
        <r>
          <rPr>
            <sz val="9"/>
            <color indexed="81"/>
            <rFont val="Tahoma"/>
            <family val="2"/>
          </rPr>
          <t xml:space="preserve">
חופשת לידה
</t>
        </r>
      </text>
    </comment>
    <comment ref="BB30" authorId="0" guid="{A25780CC-2BE1-48D1-AE2E-19DFB43A0769}" shapeId="0" xr:uid="{13B2F0B6-3614-42D2-8F9F-257CE13974FC}">
      <text>
        <r>
          <rPr>
            <b/>
            <sz val="9"/>
            <color indexed="81"/>
            <rFont val="Tahoma"/>
            <family val="2"/>
          </rPr>
          <t>Merabi Kricheli:</t>
        </r>
        <r>
          <rPr>
            <sz val="9"/>
            <color indexed="81"/>
            <rFont val="Tahoma"/>
            <family val="2"/>
          </rPr>
          <t xml:space="preserve">
חופשת לידה
</t>
        </r>
      </text>
    </comment>
    <comment ref="F31" authorId="2" guid="{3116F681-4499-42EF-99A2-1A2272C147AD}" shapeId="0" xr:uid="{67F2B52B-FED6-4C51-A09B-6FAA4BCC3917}">
      <text>
        <r>
          <rPr>
            <b/>
            <sz val="9"/>
            <color indexed="81"/>
            <rFont val="Tahoma"/>
            <charset val="177"/>
          </rPr>
          <t>Avi Manorr:</t>
        </r>
        <r>
          <rPr>
            <sz val="9"/>
            <color indexed="81"/>
            <rFont val="Tahoma"/>
            <charset val="177"/>
          </rPr>
          <t xml:space="preserve">
יוצאים ללימודים אחרי 11:00
</t>
        </r>
      </text>
    </comment>
    <comment ref="L31" authorId="2" guid="{8E4C1DC2-8717-4FF3-A8E4-93CD7F930FB6}" shapeId="0" xr:uid="{CE834E2E-C1AA-4EF5-B43A-4E0BFFA94137}">
      <text>
        <r>
          <rPr>
            <b/>
            <sz val="9"/>
            <color indexed="81"/>
            <rFont val="Tahoma"/>
            <charset val="177"/>
          </rPr>
          <t>Avi Manorr:</t>
        </r>
        <r>
          <rPr>
            <sz val="9"/>
            <color indexed="81"/>
            <rFont val="Tahoma"/>
            <charset val="177"/>
          </rPr>
          <t xml:space="preserve">
יוצאים ללימודים אחרי 11:00
</t>
        </r>
      </text>
    </comment>
    <comment ref="AZ31" authorId="0" guid="{B82DD328-8963-4E18-911E-23228A3A9253}" shapeId="0" xr:uid="{00000000-0006-0000-0400-000008000000}">
      <text>
        <r>
          <rPr>
            <b/>
            <sz val="9"/>
            <color indexed="81"/>
            <rFont val="Tahoma"/>
            <family val="2"/>
          </rPr>
          <t>Merabi Kricheli:</t>
        </r>
        <r>
          <rPr>
            <sz val="9"/>
            <color indexed="81"/>
            <rFont val="Tahoma"/>
            <family val="2"/>
          </rPr>
          <t xml:space="preserve">
לימודים
</t>
        </r>
      </text>
    </comment>
    <comment ref="BB31" authorId="0" guid="{0DB725EF-F115-4801-B384-DF1E541E73CC}" shapeId="0" xr:uid="{02B123D3-588B-437D-B68C-E7BC966C0BC9}">
      <text>
        <r>
          <rPr>
            <b/>
            <sz val="9"/>
            <color indexed="81"/>
            <rFont val="Tahoma"/>
            <family val="2"/>
          </rPr>
          <t>Merabi Kricheli:</t>
        </r>
        <r>
          <rPr>
            <sz val="9"/>
            <color indexed="81"/>
            <rFont val="Tahoma"/>
            <family val="2"/>
          </rPr>
          <t xml:space="preserve">
חופשת לידה
</t>
        </r>
      </text>
    </comment>
    <comment ref="BB32" authorId="0" guid="{00E4EF7A-DF69-4212-9620-418291548B74}" shapeId="0" xr:uid="{38907AE1-82D0-40FF-823F-C7B2D51988B8}">
      <text>
        <r>
          <rPr>
            <b/>
            <sz val="9"/>
            <color indexed="81"/>
            <rFont val="Tahoma"/>
            <family val="2"/>
          </rPr>
          <t>Merabi Kricheli:</t>
        </r>
        <r>
          <rPr>
            <sz val="9"/>
            <color indexed="81"/>
            <rFont val="Tahoma"/>
            <family val="2"/>
          </rPr>
          <t xml:space="preserve">
חופשת לידה
</t>
        </r>
      </text>
    </comment>
    <comment ref="BF33" authorId="0" guid="{C19080A8-6E81-4B36-9E55-E91D82CD5E15}" shapeId="0" xr:uid="{0C96BEDA-1DCB-472F-8EA3-B07CB273EF36}">
      <text>
        <r>
          <rPr>
            <b/>
            <sz val="9"/>
            <color indexed="81"/>
            <rFont val="Tahoma"/>
            <family val="2"/>
          </rPr>
          <t>Merabi Kricheli:</t>
        </r>
        <r>
          <rPr>
            <sz val="9"/>
            <color indexed="81"/>
            <rFont val="Tahoma"/>
            <family val="2"/>
          </rPr>
          <t xml:space="preserve">
מגיע באיחור ב: 21:30
</t>
        </r>
      </text>
    </comment>
    <comment ref="BT33" authorId="0" guid="{E0B1FB7E-B518-402C-AC59-F00086E99AE4}" shapeId="0" xr:uid="{C4A259EC-BEB8-449F-9409-42A39D7EFC73}">
      <text>
        <r>
          <rPr>
            <b/>
            <sz val="9"/>
            <color indexed="81"/>
            <rFont val="Tahoma"/>
            <family val="2"/>
          </rPr>
          <t>Merabi Kricheli:</t>
        </r>
        <r>
          <rPr>
            <sz val="9"/>
            <color indexed="81"/>
            <rFont val="Tahoma"/>
            <family val="2"/>
          </rPr>
          <t xml:space="preserve">
יוצא מוקדם
</t>
        </r>
      </text>
    </comment>
    <comment ref="BT34" authorId="0" guid="{C8F1979D-ECC3-48A9-99C5-EBA2D8068698}" shapeId="0" xr:uid="{92188729-F348-4A48-9183-2B893B3CD53C}">
      <text>
        <r>
          <rPr>
            <b/>
            <sz val="9"/>
            <color indexed="81"/>
            <rFont val="Tahoma"/>
            <family val="2"/>
          </rPr>
          <t>Merabi Kricheli:</t>
        </r>
        <r>
          <rPr>
            <sz val="9"/>
            <color indexed="81"/>
            <rFont val="Tahoma"/>
            <family val="2"/>
          </rPr>
          <t xml:space="preserve">
מגעי מאוחר
</t>
        </r>
      </text>
    </comment>
    <comment ref="AZ35" authorId="0" guid="{9CAF60E1-FE7F-427E-99C8-58480918B3E2}" shapeId="0" xr:uid="{00000000-0006-0000-0400-000009000000}">
      <text>
        <r>
          <rPr>
            <b/>
            <sz val="9"/>
            <color indexed="81"/>
            <rFont val="Tahoma"/>
            <family val="2"/>
          </rPr>
          <t>Merabi Kricheli:</t>
        </r>
        <r>
          <rPr>
            <sz val="9"/>
            <color indexed="81"/>
            <rFont val="Tahoma"/>
            <family val="2"/>
          </rPr>
          <t xml:space="preserve">
לימודים
</t>
        </r>
      </text>
    </comment>
    <comment ref="BB35" authorId="0" guid="{4A588BF9-9032-43E4-902D-30F4B453C4C1}" shapeId="0" xr:uid="{64ED170B-76CF-4854-862B-AD3E6C33C7C1}">
      <text>
        <r>
          <rPr>
            <b/>
            <sz val="9"/>
            <color indexed="81"/>
            <rFont val="Tahoma"/>
            <family val="2"/>
          </rPr>
          <t>Merabi Kricheli:</t>
        </r>
        <r>
          <rPr>
            <sz val="9"/>
            <color indexed="81"/>
            <rFont val="Tahoma"/>
            <family val="2"/>
          </rPr>
          <t xml:space="preserve">
חופשת לידה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Merabi Kricheli</author>
    <author>Avi Manorr</author>
    <author>Shmuel Fogel</author>
  </authors>
  <commentList>
    <comment ref="BB5" authorId="0" guid="{352CCD01-C764-42AD-93D2-1578A32F35A4}" shapeId="0" xr:uid="{41D98BBF-037F-4DB5-A085-67656EF2C369}">
      <text>
        <r>
          <rPr>
            <b/>
            <sz val="9"/>
            <color indexed="81"/>
            <rFont val="Tahoma"/>
            <family val="2"/>
          </rPr>
          <t>Merabi Kricheli:</t>
        </r>
        <r>
          <rPr>
            <sz val="9"/>
            <color indexed="81"/>
            <rFont val="Tahoma"/>
            <family val="2"/>
          </rPr>
          <t xml:space="preserve">
חופשת לידה
</t>
        </r>
      </text>
    </comment>
    <comment ref="BN5" authorId="0" guid="{96E8F361-C3BF-4D08-9E3F-BFECF69FF60A}" shapeId="0" xr:uid="{00000000-0006-0000-0500-000001000000}">
      <text>
        <r>
          <rPr>
            <b/>
            <sz val="9"/>
            <color indexed="81"/>
            <rFont val="Tahoma"/>
            <family val="2"/>
          </rPr>
          <t>Merabi Kricheli:</t>
        </r>
        <r>
          <rPr>
            <sz val="9"/>
            <color indexed="81"/>
            <rFont val="Tahoma"/>
            <family val="2"/>
          </rPr>
          <t xml:space="preserve">
השתלמות רמשים
</t>
        </r>
      </text>
    </comment>
    <comment ref="X6" authorId="1" guid="{582FD4D2-C1CB-45DD-A4AB-5E6BCE3A6D80}" shapeId="0" xr:uid="{02F42F4D-16E1-4D58-A398-7B28F8D77915}">
      <text>
        <r>
          <rPr>
            <b/>
            <sz val="9"/>
            <color indexed="81"/>
            <rFont val="Tahoma"/>
            <family val="2"/>
          </rPr>
          <t>Avi Manorr:</t>
        </r>
        <r>
          <rPr>
            <sz val="9"/>
            <color indexed="81"/>
            <rFont val="Tahoma"/>
            <family val="2"/>
          </rPr>
          <t xml:space="preserve">
אחזקה
</t>
        </r>
      </text>
    </comment>
    <comment ref="BB6" authorId="0" guid="{3F59EC91-E146-4B04-B0D9-5C7C486CBCAE}" shapeId="0" xr:uid="{17DD9D4C-7C79-4AB3-B81B-7B769F52337D}">
      <text>
        <r>
          <rPr>
            <b/>
            <sz val="9"/>
            <color indexed="81"/>
            <rFont val="Tahoma"/>
            <family val="2"/>
          </rPr>
          <t>Merabi Kricheli:</t>
        </r>
        <r>
          <rPr>
            <sz val="9"/>
            <color indexed="81"/>
            <rFont val="Tahoma"/>
            <family val="2"/>
          </rPr>
          <t xml:space="preserve">
חופשת לידה
</t>
        </r>
      </text>
    </comment>
    <comment ref="BN6" authorId="0" guid="{157D3558-3B9D-401E-978A-5F7290B33442}" shapeId="0" xr:uid="{00000000-0006-0000-0500-000002000000}">
      <text>
        <r>
          <rPr>
            <b/>
            <sz val="9"/>
            <color indexed="81"/>
            <rFont val="Tahoma"/>
            <family val="2"/>
          </rPr>
          <t>Merabi Kricheli:</t>
        </r>
        <r>
          <rPr>
            <sz val="9"/>
            <color indexed="81"/>
            <rFont val="Tahoma"/>
            <family val="2"/>
          </rPr>
          <t xml:space="preserve">
השתלמות רמשים
</t>
        </r>
      </text>
    </comment>
    <comment ref="BB7" authorId="0" guid="{BF93A3C8-2E5F-441A-9E02-FD01D08F29C5}" shapeId="0" xr:uid="{82A8B09A-52DA-4467-9F69-2598A59B1846}">
      <text>
        <r>
          <rPr>
            <b/>
            <sz val="9"/>
            <color indexed="81"/>
            <rFont val="Tahoma"/>
            <family val="2"/>
          </rPr>
          <t>Merabi Kricheli:</t>
        </r>
        <r>
          <rPr>
            <sz val="9"/>
            <color indexed="81"/>
            <rFont val="Tahoma"/>
            <family val="2"/>
          </rPr>
          <t xml:space="preserve">
חופשת לידה
</t>
        </r>
      </text>
    </comment>
    <comment ref="BB8" authorId="0" guid="{537F6261-F4AA-4A2B-8F51-17301EA785F0}" shapeId="0" xr:uid="{08303CD3-30EA-471A-B1FB-FAC315FDCE00}">
      <text>
        <r>
          <rPr>
            <b/>
            <sz val="9"/>
            <color indexed="81"/>
            <rFont val="Tahoma"/>
            <family val="2"/>
          </rPr>
          <t>Merabi Kricheli:</t>
        </r>
        <r>
          <rPr>
            <sz val="9"/>
            <color indexed="81"/>
            <rFont val="Tahoma"/>
            <family val="2"/>
          </rPr>
          <t xml:space="preserve">
חופשת לידה
</t>
        </r>
      </text>
    </comment>
    <comment ref="BF9" authorId="0" guid="{4DF3CE5E-40B7-4CC1-B668-59C68137410E}" shapeId="0" xr:uid="{8D74AE20-9CB5-42ED-823B-466042083345}">
      <text>
        <r>
          <rPr>
            <b/>
            <sz val="9"/>
            <color indexed="81"/>
            <rFont val="Tahoma"/>
            <family val="2"/>
          </rPr>
          <t>Merabi Kricheli:</t>
        </r>
        <r>
          <rPr>
            <sz val="9"/>
            <color indexed="81"/>
            <rFont val="Tahoma"/>
            <family val="2"/>
          </rPr>
          <t xml:space="preserve">
יוצא מוקדם ב: 19:00
</t>
        </r>
      </text>
    </comment>
    <comment ref="BX15" authorId="0" guid="{44B10B45-18BF-4695-B570-8027205EEB12}" shapeId="0" xr:uid="{00000000-0006-0000-0500-000003000000}">
      <text>
        <r>
          <rPr>
            <b/>
            <sz val="9"/>
            <color indexed="81"/>
            <rFont val="Tahoma"/>
            <family val="2"/>
          </rPr>
          <t>Merabi Kricheli:</t>
        </r>
        <r>
          <rPr>
            <sz val="9"/>
            <color indexed="81"/>
            <rFont val="Tahoma"/>
            <family val="2"/>
          </rPr>
          <t xml:space="preserve">
יוצא מוקדם בשעה 15:00
</t>
        </r>
      </text>
    </comment>
    <comment ref="BF17" authorId="0" guid="{F32AB568-B762-4CEC-BEE3-1C1349918424}" shapeId="0" xr:uid="{B2B3FB6A-9AE0-44F9-BD84-1F6236745067}">
      <text>
        <r>
          <rPr>
            <b/>
            <sz val="9"/>
            <color indexed="81"/>
            <rFont val="Tahoma"/>
            <family val="2"/>
          </rPr>
          <t>Merabi Kricheli:</t>
        </r>
        <r>
          <rPr>
            <sz val="9"/>
            <color indexed="81"/>
            <rFont val="Tahoma"/>
            <family val="2"/>
          </rPr>
          <t xml:space="preserve">
מגיע מאוחר ב: 11:00
</t>
        </r>
      </text>
    </comment>
    <comment ref="AX19" authorId="0" guid="{E598B060-D422-4C39-9404-84FA6FE8B897}" shapeId="0" xr:uid="{C07531D2-0F73-4947-B3F2-DF7925DFEBC9}">
      <text>
        <r>
          <rPr>
            <b/>
            <sz val="9"/>
            <color indexed="81"/>
            <rFont val="Tahoma"/>
            <family val="2"/>
          </rPr>
          <t>Merabi Kricheli:</t>
        </r>
        <r>
          <rPr>
            <sz val="9"/>
            <color indexed="81"/>
            <rFont val="Tahoma"/>
            <family val="2"/>
          </rPr>
          <t xml:space="preserve">
השתלמות רמשים
</t>
        </r>
      </text>
    </comment>
    <comment ref="BX19" authorId="0" guid="{01BC40DD-F7FD-43D1-BFA0-D82E880A260B}" shapeId="0" xr:uid="{00000000-0006-0000-0500-000004000000}">
      <text>
        <r>
          <rPr>
            <b/>
            <sz val="9"/>
            <color indexed="81"/>
            <rFont val="Tahoma"/>
            <family val="2"/>
          </rPr>
          <t>Merabi Kricheli:</t>
        </r>
        <r>
          <rPr>
            <sz val="9"/>
            <color indexed="81"/>
            <rFont val="Tahoma"/>
            <family val="2"/>
          </rPr>
          <t xml:space="preserve">
יוצא מוקדם בשעה 15:00
</t>
        </r>
      </text>
    </comment>
    <comment ref="AX20" authorId="0" guid="{A151C90D-9969-439E-AD29-AF0C02F016B2}" shapeId="0" xr:uid="{624E0701-27F8-43B8-A6B1-3662172D0F62}">
      <text>
        <r>
          <rPr>
            <b/>
            <sz val="9"/>
            <color indexed="81"/>
            <rFont val="Tahoma"/>
            <family val="2"/>
          </rPr>
          <t>Merabi Kricheli:</t>
        </r>
        <r>
          <rPr>
            <sz val="9"/>
            <color indexed="81"/>
            <rFont val="Tahoma"/>
            <family val="2"/>
          </rPr>
          <t xml:space="preserve">
השתלמות רמשים
</t>
        </r>
      </text>
    </comment>
    <comment ref="BX23" authorId="0" guid="{4D16CA25-7393-4C19-AE78-B6838A7E5C59}" shapeId="0" xr:uid="{00000000-0006-0000-0500-000005000000}">
      <text>
        <r>
          <rPr>
            <b/>
            <sz val="9"/>
            <color indexed="81"/>
            <rFont val="Tahoma"/>
            <family val="2"/>
          </rPr>
          <t>Merabi Kricheli:</t>
        </r>
        <r>
          <rPr>
            <sz val="9"/>
            <color indexed="81"/>
            <rFont val="Tahoma"/>
            <family val="2"/>
          </rPr>
          <t xml:space="preserve">
יוצא מוקדם בשעה 15:00
</t>
        </r>
      </text>
    </comment>
    <comment ref="AJ27" authorId="2" guid="{629F27C9-CDF4-4208-A304-52CBB7A82D12}" shapeId="0" xr:uid="{A5B0E983-1913-4DBA-9B7B-F7A825717C8D}">
      <text>
        <r>
          <rPr>
            <sz val="9"/>
            <color indexed="81"/>
            <rFont val="Tahoma"/>
            <family val="2"/>
          </rPr>
          <t xml:space="preserve">סדנת פרישה
</t>
        </r>
      </text>
    </comment>
    <comment ref="AZ28" authorId="0" guid="{9E0CDA7C-B960-4F6E-9192-327427E86AE8}" shapeId="0" xr:uid="{00000000-0006-0000-0500-000006000000}">
      <text>
        <r>
          <rPr>
            <b/>
            <sz val="9"/>
            <color indexed="81"/>
            <rFont val="Tahoma"/>
            <family val="2"/>
          </rPr>
          <t>Merabi Kricheli:</t>
        </r>
        <r>
          <rPr>
            <sz val="9"/>
            <color indexed="81"/>
            <rFont val="Tahoma"/>
            <family val="2"/>
          </rPr>
          <t xml:space="preserve">
מבחן
</t>
        </r>
      </text>
    </comment>
    <comment ref="BF30" authorId="0" guid="{A39BF06E-94C1-41DE-B9C7-65941DDCF08A}" shapeId="0" xr:uid="{1D6D1862-DAF3-447A-90A3-B6327D3DDA58}">
      <text>
        <r>
          <rPr>
            <b/>
            <sz val="9"/>
            <color indexed="81"/>
            <rFont val="Tahoma"/>
            <family val="2"/>
          </rPr>
          <t>Merabi Kricheli:</t>
        </r>
        <r>
          <rPr>
            <sz val="9"/>
            <color indexed="81"/>
            <rFont val="Tahoma"/>
            <family val="2"/>
          </rPr>
          <t xml:space="preserve">
מגיע באיחור ב: 21:30
</t>
        </r>
      </text>
    </comment>
    <comment ref="BT30" authorId="0" guid="{EC7B2045-0D24-4413-8E8B-BC41E687F4AE}" shapeId="0" xr:uid="{BABEB344-D53F-41D7-9E5C-452277D0D0D1}">
      <text>
        <r>
          <rPr>
            <b/>
            <sz val="9"/>
            <color indexed="81"/>
            <rFont val="Tahoma"/>
            <family val="2"/>
          </rPr>
          <t>Merabi Kricheli:</t>
        </r>
        <r>
          <rPr>
            <sz val="9"/>
            <color indexed="81"/>
            <rFont val="Tahoma"/>
            <family val="2"/>
          </rPr>
          <t xml:space="preserve">
יוצא מוקדם
</t>
        </r>
      </text>
    </comment>
    <comment ref="BT31" authorId="0" guid="{AF92943C-3D86-4B09-93C9-C0BD66FC1B4B}" shapeId="0" xr:uid="{71C7965C-411A-4725-94AB-159BE697436B}">
      <text>
        <r>
          <rPr>
            <b/>
            <sz val="9"/>
            <color indexed="81"/>
            <rFont val="Tahoma"/>
            <family val="2"/>
          </rPr>
          <t>Merabi Kricheli:</t>
        </r>
        <r>
          <rPr>
            <sz val="9"/>
            <color indexed="81"/>
            <rFont val="Tahoma"/>
            <family val="2"/>
          </rPr>
          <t xml:space="preserve">
מגעי מאוחר
</t>
        </r>
      </text>
    </comment>
    <comment ref="AJ33" authorId="2" guid="{80AB756F-A31E-47EF-AE9E-674A1C946A72}" shapeId="0" xr:uid="{33D74ADE-C95B-4F45-B805-CBCA7CC0D7C1}">
      <text>
        <r>
          <rPr>
            <sz val="9"/>
            <color indexed="81"/>
            <rFont val="Tahoma"/>
            <family val="2"/>
          </rPr>
          <t xml:space="preserve">סדנת פרישה
</t>
        </r>
      </text>
    </comment>
    <comment ref="BF34" authorId="0" guid="{4B031345-BFEC-4188-8242-B7AA53946C1F}" shapeId="0" xr:uid="{29A905E8-F807-4982-9385-50A6058ED049}">
      <text>
        <r>
          <rPr>
            <b/>
            <sz val="9"/>
            <color indexed="81"/>
            <rFont val="Tahoma"/>
            <family val="2"/>
          </rPr>
          <t>Merabi Kricheli:</t>
        </r>
        <r>
          <rPr>
            <sz val="9"/>
            <color indexed="81"/>
            <rFont val="Tahoma"/>
            <family val="2"/>
          </rPr>
          <t xml:space="preserve">
השתלמות רמשים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Merabi Kricheli</author>
    <author>Avi Manorr</author>
    <author>Shmuel Fogel</author>
  </authors>
  <commentList>
    <comment ref="BF5" authorId="0" guid="{1C7CC024-C21E-4584-B887-6DC832DE2B6D}" shapeId="0" xr:uid="{3A94C35C-BA4C-4E7E-80A4-221631C98687}">
      <text>
        <r>
          <rPr>
            <b/>
            <sz val="9"/>
            <color indexed="81"/>
            <rFont val="Tahoma"/>
            <family val="2"/>
          </rPr>
          <t>Merabi Kricheli:</t>
        </r>
        <r>
          <rPr>
            <sz val="9"/>
            <color indexed="81"/>
            <rFont val="Tahoma"/>
            <family val="2"/>
          </rPr>
          <t xml:space="preserve">
השתלמות רמשים
</t>
        </r>
      </text>
    </comment>
    <comment ref="BF7" authorId="0" guid="{3AD024EB-6505-468D-87DA-697ADB409F43}" shapeId="0" xr:uid="{94952018-4EBD-4C96-9518-60E56C7AEC5E}">
      <text>
        <r>
          <rPr>
            <b/>
            <sz val="9"/>
            <color indexed="81"/>
            <rFont val="Tahoma"/>
            <family val="2"/>
          </rPr>
          <t>Merabi Kricheli:</t>
        </r>
        <r>
          <rPr>
            <sz val="9"/>
            <color indexed="81"/>
            <rFont val="Tahoma"/>
            <family val="2"/>
          </rPr>
          <t xml:space="preserve">
יוצא מוקדם ב: 19:00
</t>
        </r>
      </text>
    </comment>
    <comment ref="X11" authorId="1" guid="{B36A6F6D-ADD5-4524-BBDE-10DE6E0AA06B}" shapeId="0" xr:uid="{5C9EF187-95A2-4615-AF23-90A739B3E106}">
      <text>
        <r>
          <rPr>
            <b/>
            <sz val="9"/>
            <color indexed="81"/>
            <rFont val="Tahoma"/>
            <family val="2"/>
          </rPr>
          <t>Avi Manorr:</t>
        </r>
        <r>
          <rPr>
            <sz val="9"/>
            <color indexed="81"/>
            <rFont val="Tahoma"/>
            <family val="2"/>
          </rPr>
          <t xml:space="preserve">
אחזקה
</t>
        </r>
      </text>
    </comment>
    <comment ref="AJ11" authorId="2" guid="{5C4C9E6F-BBE1-4AD5-9036-624F1C97C0A7}" shapeId="0" xr:uid="{FF2F435D-8A7D-48E7-840D-50BBEA65CA9A}">
      <text>
        <r>
          <rPr>
            <sz val="9"/>
            <color indexed="81"/>
            <rFont val="Tahoma"/>
            <family val="2"/>
          </rPr>
          <t xml:space="preserve">סדנת פרישה
</t>
        </r>
      </text>
    </comment>
    <comment ref="BF15" authorId="0" guid="{F77EFF83-3180-4DC9-A6F8-1F57E3ED257C}" shapeId="0" xr:uid="{185BE382-A149-4923-BDE9-E81A78DA2E47}">
      <text>
        <r>
          <rPr>
            <b/>
            <sz val="9"/>
            <color indexed="81"/>
            <rFont val="Tahoma"/>
            <family val="2"/>
          </rPr>
          <t>Merabi Kricheli:</t>
        </r>
        <r>
          <rPr>
            <sz val="9"/>
            <color indexed="81"/>
            <rFont val="Tahoma"/>
            <family val="2"/>
          </rPr>
          <t xml:space="preserve">
מגיע מאוחר ב: 11:00
</t>
        </r>
      </text>
    </comment>
    <comment ref="AJ18" authorId="2" guid="{A8D250FB-D829-4531-8135-20EA5E719A3A}" shapeId="0" xr:uid="{62ECC12A-E9DD-41DF-B089-632E569C14AB}">
      <text>
        <r>
          <rPr>
            <sz val="9"/>
            <color indexed="81"/>
            <rFont val="Tahoma"/>
            <family val="2"/>
          </rPr>
          <t xml:space="preserve">סדנת פרישה
</t>
        </r>
      </text>
    </comment>
    <comment ref="AJ25" authorId="2" guid="{5B1362D0-E530-4165-94C1-FE74CF92D36F}" shapeId="0" xr:uid="{30B88D33-C7F3-4716-9D19-BE24595FEAF1}">
      <text>
        <r>
          <rPr>
            <sz val="9"/>
            <color indexed="81"/>
            <rFont val="Tahoma"/>
            <family val="2"/>
          </rPr>
          <t xml:space="preserve">סדנת פרישה
</t>
        </r>
      </text>
    </comment>
    <comment ref="BF28" authorId="0" guid="{0CD2477A-70AF-4AB6-9C7D-0DE0D5702691}" shapeId="0" xr:uid="{5B767BFC-553A-41A7-943F-EB14CBED8986}">
      <text>
        <r>
          <rPr>
            <b/>
            <sz val="9"/>
            <color indexed="81"/>
            <rFont val="Tahoma"/>
            <family val="2"/>
          </rPr>
          <t>Merabi Kricheli:</t>
        </r>
        <r>
          <rPr>
            <sz val="9"/>
            <color indexed="81"/>
            <rFont val="Tahoma"/>
            <family val="2"/>
          </rPr>
          <t xml:space="preserve">
אזכרה
</t>
        </r>
      </text>
    </comment>
    <comment ref="BT28" authorId="0" guid="{1E3B20AE-97B6-4DC8-9B77-6E6ACC50F5E2}" shapeId="0" xr:uid="{3E356BE5-FDF1-43B3-8F43-4561654F3536}">
      <text>
        <r>
          <rPr>
            <b/>
            <sz val="9"/>
            <color indexed="81"/>
            <rFont val="Tahoma"/>
            <family val="2"/>
          </rPr>
          <t>Merabi Kricheli:</t>
        </r>
        <r>
          <rPr>
            <sz val="9"/>
            <color indexed="81"/>
            <rFont val="Tahoma"/>
            <family val="2"/>
          </rPr>
          <t xml:space="preserve">
יוצא מוקדם
</t>
        </r>
      </text>
    </comment>
    <comment ref="BT29" authorId="0" guid="{0299CB23-F869-4F27-897B-BA549FA3D90E}" shapeId="0" xr:uid="{A9C1CF0A-349C-4DED-9AA5-178A766340E0}">
      <text>
        <r>
          <rPr>
            <b/>
            <sz val="9"/>
            <color indexed="81"/>
            <rFont val="Tahoma"/>
            <family val="2"/>
          </rPr>
          <t>Merabi Kricheli:</t>
        </r>
        <r>
          <rPr>
            <sz val="9"/>
            <color indexed="81"/>
            <rFont val="Tahoma"/>
            <family val="2"/>
          </rPr>
          <t xml:space="preserve">
מגעי מאוחר
</t>
        </r>
      </text>
    </comment>
    <comment ref="AJ32" authorId="2" guid="{775F9A88-BF8E-4C43-A988-3CC4F12CE334}" shapeId="0" xr:uid="{C95FAB0B-E37B-4360-B2E6-ECF0572C3E6E}">
      <text>
        <r>
          <rPr>
            <sz val="9"/>
            <color indexed="81"/>
            <rFont val="Tahoma"/>
            <family val="2"/>
          </rPr>
          <t xml:space="preserve">סדנת פרישה
</t>
        </r>
      </text>
    </comment>
    <comment ref="BF35" authorId="0" guid="{ACE9E530-45E1-4296-80BD-A771B9A0A3A7}" shapeId="0" xr:uid="{6FB07F01-D435-48D8-B4C0-54104144D974}">
      <text>
        <r>
          <rPr>
            <b/>
            <sz val="9"/>
            <color indexed="81"/>
            <rFont val="Tahoma"/>
            <family val="2"/>
          </rPr>
          <t>Merabi Kricheli:</t>
        </r>
        <r>
          <rPr>
            <sz val="9"/>
            <color indexed="81"/>
            <rFont val="Tahoma"/>
            <family val="2"/>
          </rPr>
          <t xml:space="preserve">
אזכרה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Avi Manorr</author>
    <author>Merabi Kricheli</author>
  </authors>
  <commentList>
    <comment ref="X8" authorId="0" guid="{BC60FC73-AFBA-418E-970D-AA997691398C}" shapeId="0" xr:uid="{18AAC04D-6A86-45FD-8FC7-FA7F4CA0EBF7}">
      <text>
        <r>
          <rPr>
            <b/>
            <sz val="9"/>
            <color indexed="81"/>
            <rFont val="Tahoma"/>
            <family val="2"/>
          </rPr>
          <t>Avi Manorr:</t>
        </r>
        <r>
          <rPr>
            <sz val="9"/>
            <color indexed="81"/>
            <rFont val="Tahoma"/>
            <family val="2"/>
          </rPr>
          <t xml:space="preserve">
אחזקה
</t>
        </r>
      </text>
    </comment>
    <comment ref="BF12" authorId="1" guid="{73E95356-E0A0-41D0-9F0F-C36E2159275A}" shapeId="0" xr:uid="{B5A9EB50-6666-4A90-81BE-06D547B543C9}">
      <text>
        <r>
          <rPr>
            <b/>
            <sz val="9"/>
            <color indexed="81"/>
            <rFont val="Tahoma"/>
            <family val="2"/>
          </rPr>
          <t>Merabi Kricheli:</t>
        </r>
        <r>
          <rPr>
            <sz val="9"/>
            <color indexed="81"/>
            <rFont val="Tahoma"/>
            <family val="2"/>
          </rPr>
          <t xml:space="preserve">
מגיע מאוחר ב: 11:00
</t>
        </r>
      </text>
    </comment>
    <comment ref="BT25" authorId="1" guid="{4552F06C-2B89-45D4-89AA-6526CFB1CB34}" shapeId="0" xr:uid="{BF614E32-8466-4004-8595-1D581FD80809}">
      <text>
        <r>
          <rPr>
            <b/>
            <sz val="9"/>
            <color indexed="81"/>
            <rFont val="Tahoma"/>
            <family val="2"/>
          </rPr>
          <t>Merabi Kricheli:</t>
        </r>
        <r>
          <rPr>
            <sz val="9"/>
            <color indexed="81"/>
            <rFont val="Tahoma"/>
            <family val="2"/>
          </rPr>
          <t xml:space="preserve">
יוצא מוקדם
</t>
        </r>
      </text>
    </comment>
    <comment ref="BT26" authorId="1" guid="{68A1B8E1-5D00-400A-BD55-F7F568AE680C}" shapeId="0" xr:uid="{616018D8-1307-4705-B724-4E4DD2FD6E94}">
      <text>
        <r>
          <rPr>
            <b/>
            <sz val="9"/>
            <color indexed="81"/>
            <rFont val="Tahoma"/>
            <family val="2"/>
          </rPr>
          <t>Merabi Kricheli:</t>
        </r>
        <r>
          <rPr>
            <sz val="9"/>
            <color indexed="81"/>
            <rFont val="Tahoma"/>
            <family val="2"/>
          </rPr>
          <t xml:space="preserve">
מגעי מאוחר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Avi Manorr</author>
    <author>Merabi Kricheli</author>
  </authors>
  <commentList>
    <comment ref="X5" authorId="0" guid="{BB3FEC31-6CB9-472A-96D1-85EB5A2E6867}" shapeId="0" xr:uid="{3BCD5652-5678-4799-9D5A-6A28A0CE58A9}">
      <text>
        <r>
          <rPr>
            <b/>
            <sz val="9"/>
            <color indexed="81"/>
            <rFont val="Tahoma"/>
            <family val="2"/>
          </rPr>
          <t>Avi Manorr:</t>
        </r>
        <r>
          <rPr>
            <sz val="9"/>
            <color indexed="81"/>
            <rFont val="Tahoma"/>
            <family val="2"/>
          </rPr>
          <t xml:space="preserve">
אחזקה
</t>
        </r>
      </text>
    </comment>
    <comment ref="BF21" authorId="1" guid="{87696F45-B82B-4376-8DA7-9208C9EA1532}" shapeId="0" xr:uid="{51E4053E-92D4-4570-A2E5-DD18543D0443}">
      <text>
        <r>
          <rPr>
            <b/>
            <sz val="9"/>
            <color indexed="81"/>
            <rFont val="Tahoma"/>
            <family val="2"/>
          </rPr>
          <t>Merabi Kricheli:</t>
        </r>
        <r>
          <rPr>
            <sz val="9"/>
            <color indexed="81"/>
            <rFont val="Tahoma"/>
            <family val="2"/>
          </rPr>
          <t xml:space="preserve">
</t>
        </r>
      </text>
    </comment>
    <comment ref="BT22" authorId="1" guid="{16A15FC2-C852-4447-B4D0-9499D1388A90}" shapeId="0" xr:uid="{1BCA98DE-E5FF-4381-9B52-DA5B090E8689}">
      <text>
        <r>
          <rPr>
            <b/>
            <sz val="9"/>
            <color indexed="81"/>
            <rFont val="Tahoma"/>
            <family val="2"/>
          </rPr>
          <t>Merabi Kricheli:</t>
        </r>
        <r>
          <rPr>
            <sz val="9"/>
            <color indexed="81"/>
            <rFont val="Tahoma"/>
            <family val="2"/>
          </rPr>
          <t xml:space="preserve">
יוצא מוקדם
</t>
        </r>
      </text>
    </comment>
    <comment ref="BT23" authorId="1" guid="{A22BB75F-ACAF-400F-8E55-FA0AB2BA2E10}" shapeId="0" xr:uid="{B0B62128-4F45-4C6D-B490-8366659A8493}">
      <text>
        <r>
          <rPr>
            <b/>
            <sz val="9"/>
            <color indexed="81"/>
            <rFont val="Tahoma"/>
            <family val="2"/>
          </rPr>
          <t>Merabi Kricheli:</t>
        </r>
        <r>
          <rPr>
            <sz val="9"/>
            <color indexed="81"/>
            <rFont val="Tahoma"/>
            <family val="2"/>
          </rPr>
          <t xml:space="preserve">
מגעי מאוחר
</t>
        </r>
      </text>
    </comment>
    <comment ref="AX24" authorId="1" guid="{09AA732F-AD53-41E9-80AD-94FB4D91E2DB}" shapeId="0" xr:uid="{4D309046-B687-4215-9E66-EAB95AE6B5E0}">
      <text>
        <r>
          <rPr>
            <b/>
            <sz val="9"/>
            <color indexed="81"/>
            <rFont val="Tahoma"/>
            <family val="2"/>
          </rPr>
          <t>Merabi Kricheli:</t>
        </r>
        <r>
          <rPr>
            <sz val="9"/>
            <color indexed="81"/>
            <rFont val="Tahoma"/>
            <family val="2"/>
          </rPr>
          <t xml:space="preserve">
ערב יום כיפר עובדים עד שעה: 00:00
</t>
        </r>
      </text>
    </comment>
    <comment ref="AZ24" authorId="1" guid="{8071C271-ED91-4585-8553-5DF9735F1CCD}" shapeId="0" xr:uid="{59FBAA4A-AD6D-4DCD-BF4F-D83D20A37F7B}">
      <text>
        <r>
          <rPr>
            <b/>
            <sz val="9"/>
            <color indexed="81"/>
            <rFont val="Tahoma"/>
            <family val="2"/>
          </rPr>
          <t>Merabi Kricheli:</t>
        </r>
        <r>
          <rPr>
            <sz val="9"/>
            <color indexed="81"/>
            <rFont val="Tahoma"/>
            <family val="2"/>
          </rPr>
          <t xml:space="preserve">
ערב יום כיפר עובדים עד שעה: 00:00
</t>
        </r>
      </text>
    </comment>
    <comment ref="BB24" authorId="1" guid="{32B37CFD-3935-40B2-A857-96FA7A83608A}" shapeId="0" xr:uid="{1E4DCF43-523B-4624-A38F-416819523405}">
      <text>
        <r>
          <rPr>
            <b/>
            <sz val="9"/>
            <color indexed="81"/>
            <rFont val="Tahoma"/>
            <family val="2"/>
          </rPr>
          <t>Merabi Kricheli:</t>
        </r>
        <r>
          <rPr>
            <sz val="9"/>
            <color indexed="81"/>
            <rFont val="Tahoma"/>
            <family val="2"/>
          </rPr>
          <t xml:space="preserve">
ערב יום כיפר עובדים עד שעה: 00:00
</t>
        </r>
      </text>
    </comment>
    <comment ref="BD24" authorId="1" guid="{E5706054-2557-4816-8297-7F651656C87A}" shapeId="0" xr:uid="{88574D1F-F587-4A06-AE73-36EB1AD9C527}">
      <text>
        <r>
          <rPr>
            <b/>
            <sz val="9"/>
            <color indexed="81"/>
            <rFont val="Tahoma"/>
            <family val="2"/>
          </rPr>
          <t>Merabi Kricheli:</t>
        </r>
        <r>
          <rPr>
            <sz val="9"/>
            <color indexed="81"/>
            <rFont val="Tahoma"/>
            <family val="2"/>
          </rPr>
          <t xml:space="preserve">
ערב יום כיפר עובדים עד שעה: 00:00
</t>
        </r>
      </text>
    </comment>
    <comment ref="AX25" authorId="1" guid="{4BC910B4-6C96-4E5C-8C38-36EC09C6E68E}" shapeId="0" xr:uid="{C1159F8D-174C-40C3-8272-F27BC1CC8771}">
      <text>
        <r>
          <rPr>
            <b/>
            <sz val="9"/>
            <color indexed="81"/>
            <rFont val="Tahoma"/>
            <family val="2"/>
          </rPr>
          <t>Merabi Kricheli:</t>
        </r>
        <r>
          <rPr>
            <sz val="9"/>
            <color indexed="81"/>
            <rFont val="Tahoma"/>
            <family val="2"/>
          </rPr>
          <t xml:space="preserve">
מוצאי יום כיפור
</t>
        </r>
      </text>
    </comment>
    <comment ref="AZ25" authorId="1" guid="{9AE9D56A-3AC1-4886-A303-E7A91D5E31BC}" shapeId="0" xr:uid="{788D890F-7DBA-464C-B8F3-67183D0CBB50}">
      <text>
        <r>
          <rPr>
            <b/>
            <sz val="9"/>
            <color indexed="81"/>
            <rFont val="Tahoma"/>
            <family val="2"/>
          </rPr>
          <t>Merabi Kricheli:</t>
        </r>
        <r>
          <rPr>
            <sz val="9"/>
            <color indexed="81"/>
            <rFont val="Tahoma"/>
            <family val="2"/>
          </rPr>
          <t xml:space="preserve">
מוצאי יום כיפור
</t>
        </r>
      </text>
    </comment>
    <comment ref="BB25" authorId="1" guid="{DB37DA88-990F-416E-BD58-9F4C85685456}" shapeId="0" xr:uid="{488E246C-504A-4379-8EE2-B2E9FBFF1F02}">
      <text>
        <r>
          <rPr>
            <b/>
            <sz val="9"/>
            <color indexed="81"/>
            <rFont val="Tahoma"/>
            <family val="2"/>
          </rPr>
          <t>Merabi Kricheli:</t>
        </r>
        <r>
          <rPr>
            <sz val="9"/>
            <color indexed="81"/>
            <rFont val="Tahoma"/>
            <family val="2"/>
          </rPr>
          <t xml:space="preserve">
מוצאי יום כיפור
</t>
        </r>
      </text>
    </comment>
    <comment ref="BD25" authorId="1" guid="{C63F756C-211B-48BD-8005-EDB06D6F825E}" shapeId="0" xr:uid="{803015FE-F221-4F24-A201-3F0895D458B4}">
      <text>
        <r>
          <rPr>
            <b/>
            <sz val="9"/>
            <color indexed="81"/>
            <rFont val="Tahoma"/>
            <family val="2"/>
          </rPr>
          <t>Merabi Kricheli:</t>
        </r>
        <r>
          <rPr>
            <sz val="9"/>
            <color indexed="81"/>
            <rFont val="Tahoma"/>
            <family val="2"/>
          </rPr>
          <t xml:space="preserve">
מוצאי יום כיפור
</t>
        </r>
      </text>
    </comment>
    <comment ref="BF25" authorId="1" guid="{CAB43949-21D1-43F5-9B25-7F10A3AAC129}" shapeId="0" xr:uid="{3B5BF41E-B284-43E1-83A0-A5EB59D34D40}">
      <text>
        <r>
          <rPr>
            <b/>
            <sz val="9"/>
            <color indexed="81"/>
            <rFont val="Tahoma"/>
            <family val="2"/>
          </rPr>
          <t>Merabi Kricheli:</t>
        </r>
        <r>
          <rPr>
            <sz val="9"/>
            <color indexed="81"/>
            <rFont val="Tahoma"/>
            <family val="2"/>
          </rPr>
          <t xml:space="preserve">
יום כיפור
</t>
        </r>
      </text>
    </comment>
    <comment ref="BH25" authorId="1" guid="{7C26E447-97C3-4DD2-843D-22ADF8B7966E}" shapeId="0" xr:uid="{811F020E-2C5D-412D-A4C8-2182061631C4}">
      <text>
        <r>
          <rPr>
            <b/>
            <sz val="9"/>
            <color indexed="81"/>
            <rFont val="Tahoma"/>
            <family val="2"/>
          </rPr>
          <t>Merabi Kricheli:</t>
        </r>
        <r>
          <rPr>
            <sz val="9"/>
            <color indexed="81"/>
            <rFont val="Tahoma"/>
            <family val="2"/>
          </rPr>
          <t xml:space="preserve">
יום כיפור
</t>
        </r>
      </text>
    </comment>
    <comment ref="BJ25" authorId="1" guid="{8A455BF8-8BA6-43BF-A76D-84E5D01904A4}" shapeId="0" xr:uid="{AE2C5801-11F9-4BCD-815A-877D25596B10}">
      <text>
        <r>
          <rPr>
            <b/>
            <sz val="9"/>
            <color indexed="81"/>
            <rFont val="Tahoma"/>
            <family val="2"/>
          </rPr>
          <t>Merabi Kricheli:</t>
        </r>
        <r>
          <rPr>
            <sz val="9"/>
            <color indexed="81"/>
            <rFont val="Tahoma"/>
            <family val="2"/>
          </rPr>
          <t xml:space="preserve">
יום כיפור
</t>
        </r>
      </text>
    </comment>
    <comment ref="BL25" authorId="1" guid="{AC83D34A-1793-427A-8436-6911E011EFD0}" shapeId="0" xr:uid="{E7FEC8EF-1D96-433A-915B-FC69BD6D1FD4}">
      <text>
        <r>
          <rPr>
            <b/>
            <sz val="9"/>
            <color indexed="81"/>
            <rFont val="Tahoma"/>
            <family val="2"/>
          </rPr>
          <t>Merabi Kricheli:</t>
        </r>
        <r>
          <rPr>
            <sz val="9"/>
            <color indexed="81"/>
            <rFont val="Tahoma"/>
            <family val="2"/>
          </rPr>
          <t xml:space="preserve">
יום כיפור
</t>
        </r>
      </text>
    </comment>
    <comment ref="BF29" authorId="1" guid="{C7D57532-AA7A-41D8-84D7-08F45B8E461A}" shapeId="0" xr:uid="{37621530-EE22-4443-A462-EAB379B8D3E3}">
      <text>
        <r>
          <rPr>
            <b/>
            <sz val="9"/>
            <color indexed="81"/>
            <rFont val="Tahoma"/>
            <family val="2"/>
          </rPr>
          <t>Merabi Kricheli:</t>
        </r>
        <r>
          <rPr>
            <sz val="9"/>
            <color indexed="81"/>
            <rFont val="Tahoma"/>
            <family val="2"/>
          </rPr>
          <t xml:space="preserve">
יוצא מוקדם ב: 18:00</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Merabi Kricheli</author>
    <author>Avi Manorr</author>
  </authors>
  <commentList>
    <comment ref="BF7" authorId="0" guid="{A7EA331B-C293-4BBE-9059-C7ADD1125DA1}" shapeId="0" xr:uid="{CDC4EE05-4D26-4B7A-878C-B6CE7BAE57C6}">
      <text>
        <r>
          <rPr>
            <b/>
            <sz val="9"/>
            <color indexed="81"/>
            <rFont val="Tahoma"/>
            <family val="2"/>
          </rPr>
          <t>Merabi Kricheli:</t>
        </r>
        <r>
          <rPr>
            <sz val="9"/>
            <color indexed="81"/>
            <rFont val="Tahoma"/>
            <family val="2"/>
          </rPr>
          <t xml:space="preserve">
מגיע מאוחר ב: 11:00
</t>
        </r>
      </text>
    </comment>
    <comment ref="X10" authorId="1" guid="{FCE4EA1C-B3E6-416F-A410-078EA020E266}" shapeId="0" xr:uid="{3443006A-EA76-4650-A816-41705BE32F9C}">
      <text>
        <r>
          <rPr>
            <b/>
            <sz val="9"/>
            <color indexed="81"/>
            <rFont val="Tahoma"/>
            <family val="2"/>
          </rPr>
          <t>Avi Manorr:</t>
        </r>
        <r>
          <rPr>
            <sz val="9"/>
            <color indexed="81"/>
            <rFont val="Tahoma"/>
            <family val="2"/>
          </rPr>
          <t xml:space="preserve">
אחזקה
</t>
        </r>
      </text>
    </comment>
    <comment ref="BT20" authorId="0" guid="{A9A46268-B162-4A6E-A28D-C6713C872C76}" shapeId="0" xr:uid="{68883026-84B2-47E9-BF27-A60302601541}">
      <text>
        <r>
          <rPr>
            <b/>
            <sz val="9"/>
            <color indexed="81"/>
            <rFont val="Tahoma"/>
            <family val="2"/>
          </rPr>
          <t>Merabi Kricheli:</t>
        </r>
        <r>
          <rPr>
            <sz val="9"/>
            <color indexed="81"/>
            <rFont val="Tahoma"/>
            <family val="2"/>
          </rPr>
          <t xml:space="preserve">
יוצא מוקדם
</t>
        </r>
      </text>
    </comment>
    <comment ref="BT21" authorId="0" guid="{27F204F7-CE1E-4779-859D-1FE43D3003C7}" shapeId="0" xr:uid="{9312565F-BB2E-4075-8231-A9DC30697F61}">
      <text>
        <r>
          <rPr>
            <b/>
            <sz val="9"/>
            <color indexed="81"/>
            <rFont val="Tahoma"/>
            <family val="2"/>
          </rPr>
          <t>Merabi Kricheli:</t>
        </r>
        <r>
          <rPr>
            <sz val="9"/>
            <color indexed="81"/>
            <rFont val="Tahoma"/>
            <family val="2"/>
          </rPr>
          <t xml:space="preserve">
מגעי מאוחר
</t>
        </r>
      </text>
    </comment>
    <comment ref="BF27" authorId="0" guid="{C630B914-5D7A-42C3-9128-30291122007E}" shapeId="0" xr:uid="{6C5C0297-C3B4-4DC6-932D-E4ABC0BB9C5F}">
      <text>
        <r>
          <rPr>
            <b/>
            <sz val="9"/>
            <color indexed="81"/>
            <rFont val="Tahoma"/>
            <family val="2"/>
          </rPr>
          <t>Merabi Kricheli:</t>
        </r>
        <r>
          <rPr>
            <sz val="9"/>
            <color indexed="81"/>
            <rFont val="Tahoma"/>
            <family val="2"/>
          </rPr>
          <t xml:space="preserve">
יוצא מוקדם ב: 17:15</t>
        </r>
      </text>
    </comment>
    <comment ref="BF35" authorId="0" guid="{DDB29D26-7654-4472-A415-00378220185C}" shapeId="0" xr:uid="{73F6233C-A4DA-40BB-A7FB-E2B8A36785EC}">
      <text>
        <r>
          <rPr>
            <b/>
            <sz val="9"/>
            <color indexed="81"/>
            <rFont val="Tahoma"/>
            <family val="2"/>
          </rPr>
          <t>Merabi Kricheli:</t>
        </r>
        <r>
          <rPr>
            <sz val="9"/>
            <color indexed="81"/>
            <rFont val="Tahoma"/>
            <family val="2"/>
          </rPr>
          <t xml:space="preserve">
מגיע מאוחר ב: 11:00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Avi Manorr</author>
    <author>Merabi Kricheli</author>
  </authors>
  <commentList>
    <comment ref="X7" authorId="0" guid="{C9889134-A1D0-42C9-9F75-2B4A972FB889}" shapeId="0" xr:uid="{75472E08-788A-48C2-AE64-686C4B97B7A2}">
      <text>
        <r>
          <rPr>
            <b/>
            <sz val="9"/>
            <color indexed="81"/>
            <rFont val="Tahoma"/>
            <family val="2"/>
          </rPr>
          <t>Avi Manorr:</t>
        </r>
        <r>
          <rPr>
            <sz val="9"/>
            <color indexed="81"/>
            <rFont val="Tahoma"/>
            <family val="2"/>
          </rPr>
          <t xml:space="preserve">
אחזקה
</t>
        </r>
      </text>
    </comment>
    <comment ref="BT10" authorId="1" guid="{B64E0362-D9E8-46E4-BF67-13C19328AFB6}" shapeId="0" xr:uid="{517EF16D-FA65-42B6-A946-DAE73FB621EA}">
      <text>
        <r>
          <rPr>
            <b/>
            <sz val="9"/>
            <color indexed="81"/>
            <rFont val="Tahoma"/>
            <family val="2"/>
          </rPr>
          <t>Merabi Kricheli:</t>
        </r>
        <r>
          <rPr>
            <sz val="9"/>
            <color indexed="81"/>
            <rFont val="Tahoma"/>
            <family val="2"/>
          </rPr>
          <t xml:space="preserve">
יוצא מוקדם
</t>
        </r>
      </text>
    </comment>
    <comment ref="BT11" authorId="1" guid="{7E92F1F5-AFD0-4622-A3F4-D0412D70761C}" shapeId="0" xr:uid="{AD741D69-AB42-4D73-8C32-DF53D568284B}">
      <text>
        <r>
          <rPr>
            <b/>
            <sz val="9"/>
            <color indexed="81"/>
            <rFont val="Tahoma"/>
            <family val="2"/>
          </rPr>
          <t>Merabi Kricheli:</t>
        </r>
        <r>
          <rPr>
            <sz val="9"/>
            <color indexed="81"/>
            <rFont val="Tahoma"/>
            <family val="2"/>
          </rPr>
          <t xml:space="preserve">
מגעי מאוחר
</t>
        </r>
      </text>
    </comment>
    <comment ref="BF17" authorId="1" guid="{E3E94DB8-7745-4375-A13F-61DFB2837CBC}" shapeId="0" xr:uid="{211DDE9E-0FE7-451C-8575-7A8F3CC73056}">
      <text>
        <r>
          <rPr>
            <b/>
            <sz val="9"/>
            <color indexed="81"/>
            <rFont val="Tahoma"/>
            <family val="2"/>
          </rPr>
          <t>Merabi Kricheli:</t>
        </r>
        <r>
          <rPr>
            <sz val="9"/>
            <color indexed="81"/>
            <rFont val="Tahoma"/>
            <family val="2"/>
          </rPr>
          <t xml:space="preserve">
יוצא מוקדם ב: 16:00</t>
        </r>
      </text>
    </comment>
    <comment ref="BF25" authorId="1" guid="{E139B87F-F5DC-42CF-8A37-D78A703A9777}" shapeId="0" xr:uid="{DCD083F1-7F50-45BF-A27F-2559B5757445}">
      <text>
        <r>
          <rPr>
            <b/>
            <sz val="9"/>
            <color indexed="81"/>
            <rFont val="Tahoma"/>
            <family val="2"/>
          </rPr>
          <t>Merabi Kricheli:</t>
        </r>
        <r>
          <rPr>
            <sz val="9"/>
            <color indexed="81"/>
            <rFont val="Tahoma"/>
            <family val="2"/>
          </rPr>
          <t xml:space="preserve">
מגיע מאוחר ב: 11:00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Avi Manorr</author>
    <author>Merabi Kricheli</author>
  </authors>
  <commentList>
    <comment ref="X5" authorId="0" guid="{BBE3DDA7-897B-44C7-8E6B-CC81630A90EB}" shapeId="0" xr:uid="{76D22FC7-700A-4EEE-A9FA-5AFD799976A1}">
      <text>
        <r>
          <rPr>
            <b/>
            <sz val="9"/>
            <color indexed="81"/>
            <rFont val="Tahoma"/>
            <family val="2"/>
          </rPr>
          <t>Avi Manorr:</t>
        </r>
        <r>
          <rPr>
            <sz val="9"/>
            <color indexed="81"/>
            <rFont val="Tahoma"/>
            <family val="2"/>
          </rPr>
          <t xml:space="preserve">
אחזקה
</t>
        </r>
      </text>
    </comment>
    <comment ref="BT8" authorId="1" guid="{6C1665AB-21BF-4305-B850-EFB567455D78}" shapeId="0" xr:uid="{0E9FDFE4-5ECE-4610-8CB2-9B2D670A23EE}">
      <text>
        <r>
          <rPr>
            <b/>
            <sz val="9"/>
            <color indexed="81"/>
            <rFont val="Tahoma"/>
            <family val="2"/>
          </rPr>
          <t>Merabi Kricheli:</t>
        </r>
        <r>
          <rPr>
            <sz val="9"/>
            <color indexed="81"/>
            <rFont val="Tahoma"/>
            <family val="2"/>
          </rPr>
          <t xml:space="preserve">
יוצא מוקדם
</t>
        </r>
      </text>
    </comment>
    <comment ref="BT9" authorId="1" guid="{51A3C17A-1747-4B7E-AC61-FB678CEBA6C5}" shapeId="0" xr:uid="{F918B847-CC4A-448E-9C95-825FF1333C5E}">
      <text>
        <r>
          <rPr>
            <b/>
            <sz val="9"/>
            <color indexed="81"/>
            <rFont val="Tahoma"/>
            <family val="2"/>
          </rPr>
          <t>Merabi Kricheli:</t>
        </r>
        <r>
          <rPr>
            <sz val="9"/>
            <color indexed="81"/>
            <rFont val="Tahoma"/>
            <family val="2"/>
          </rPr>
          <t xml:space="preserve">
מגעי מאוחר
</t>
        </r>
      </text>
    </comment>
    <comment ref="BF15" authorId="1" guid="{345F5E84-EC04-4299-8639-7D3BB70AAE63}" shapeId="0" xr:uid="{1FA2EBC3-C564-43EA-8CAA-309112D47022}">
      <text>
        <r>
          <rPr>
            <b/>
            <sz val="9"/>
            <color indexed="81"/>
            <rFont val="Tahoma"/>
            <family val="2"/>
          </rPr>
          <t>Merabi Kricheli:</t>
        </r>
        <r>
          <rPr>
            <sz val="9"/>
            <color indexed="81"/>
            <rFont val="Tahoma"/>
            <family val="2"/>
          </rPr>
          <t xml:space="preserve">
יוצא מוקדם ב: 16:00</t>
        </r>
      </text>
    </comment>
    <comment ref="BF23" authorId="1" guid="{FC35ADBE-7901-412E-9D96-BAD8640F8D66}" shapeId="0" xr:uid="{FD86AB58-4EEB-48B7-A1B0-06B6BF191A8A}">
      <text>
        <r>
          <rPr>
            <b/>
            <sz val="9"/>
            <color indexed="81"/>
            <rFont val="Tahoma"/>
            <family val="2"/>
          </rPr>
          <t>Merabi Kricheli:</t>
        </r>
        <r>
          <rPr>
            <sz val="9"/>
            <color indexed="81"/>
            <rFont val="Tahoma"/>
            <family val="2"/>
          </rPr>
          <t xml:space="preserve">
מגיע מאוחר ב: 11:00
</t>
        </r>
      </text>
    </comment>
  </commentList>
</comments>
</file>

<file path=xl/sharedStrings.xml><?xml version="1.0" encoding="utf-8"?>
<sst xmlns="http://schemas.openxmlformats.org/spreadsheetml/2006/main" count="6532" uniqueCount="352">
  <si>
    <t>אהרון שוחמי</t>
  </si>
  <si>
    <t>שמוליק פוגל</t>
  </si>
  <si>
    <t>יואב ברדוגו</t>
  </si>
  <si>
    <t>אבי שמואלי</t>
  </si>
  <si>
    <t>קובי דניאלי</t>
  </si>
  <si>
    <t>תומר סער</t>
  </si>
  <si>
    <t>עמית נדל</t>
  </si>
  <si>
    <t>דניאל סויסה</t>
  </si>
  <si>
    <t>מיכאל דניאל</t>
  </si>
  <si>
    <t>דוד מהלו</t>
  </si>
  <si>
    <t>אלי פבלוב</t>
  </si>
  <si>
    <t>ראובן בוזנח</t>
  </si>
  <si>
    <t>הערות</t>
  </si>
  <si>
    <t>עובדי משמרת</t>
  </si>
  <si>
    <t>רכבים</t>
  </si>
  <si>
    <t>DMAX</t>
  </si>
  <si>
    <t>משמרת 1</t>
  </si>
  <si>
    <t>משמרת 2</t>
  </si>
  <si>
    <t>משמרת 3</t>
  </si>
  <si>
    <t>משמרת 4</t>
  </si>
  <si>
    <t>שתה בירו</t>
  </si>
  <si>
    <t>אור שלו</t>
  </si>
  <si>
    <t>ליאור אברהם</t>
  </si>
  <si>
    <t>עומר גבע</t>
  </si>
  <si>
    <t>ירון טייב</t>
  </si>
  <si>
    <t>עומרי סלמן</t>
  </si>
  <si>
    <t>גבריאל וכטרמן</t>
  </si>
  <si>
    <t>שלומי חן</t>
  </si>
  <si>
    <t>איציק חוחא</t>
  </si>
  <si>
    <t>מוטי חלפון</t>
  </si>
  <si>
    <t>שי סואד</t>
  </si>
  <si>
    <t>דור שרוני</t>
  </si>
  <si>
    <t>ברק מור</t>
  </si>
  <si>
    <t>י</t>
  </si>
  <si>
    <t>ל</t>
  </si>
  <si>
    <t>רמ"ח</t>
  </si>
  <si>
    <t>עבודות יום</t>
  </si>
  <si>
    <t>עבודות לילה</t>
  </si>
  <si>
    <t>יום</t>
  </si>
  <si>
    <t>לילה</t>
  </si>
  <si>
    <t>Y</t>
  </si>
  <si>
    <t>ח</t>
  </si>
  <si>
    <t>ק</t>
  </si>
  <si>
    <t>מקרא</t>
  </si>
  <si>
    <t xml:space="preserve">סימון </t>
  </si>
  <si>
    <t>יום נוסף</t>
  </si>
  <si>
    <t>מחליף לילה</t>
  </si>
  <si>
    <t>L</t>
  </si>
  <si>
    <t>מחליף יום</t>
  </si>
  <si>
    <t>חופש</t>
  </si>
  <si>
    <t xml:space="preserve">כונן </t>
  </si>
  <si>
    <t>כ</t>
  </si>
  <si>
    <t>כונן שבת</t>
  </si>
  <si>
    <t>כש</t>
  </si>
  <si>
    <t>לילה נוסף</t>
  </si>
  <si>
    <t>ל2</t>
  </si>
  <si>
    <t>מילואים</t>
  </si>
  <si>
    <t>מיל</t>
  </si>
  <si>
    <t>מנוחה</t>
  </si>
  <si>
    <t>מחלה</t>
  </si>
  <si>
    <t>יום פנוי</t>
  </si>
  <si>
    <t>פ</t>
  </si>
  <si>
    <t>קורס</t>
  </si>
  <si>
    <t>כונן מסלולים</t>
  </si>
  <si>
    <t>כונן מסלולים שבת</t>
  </si>
  <si>
    <t>מ</t>
  </si>
  <si>
    <t>פירוש</t>
  </si>
  <si>
    <t>שם עובד</t>
  </si>
  <si>
    <t>דואר אלקטרוני</t>
  </si>
  <si>
    <t>כותרת מייל</t>
  </si>
  <si>
    <t>תוכן מייל</t>
  </si>
  <si>
    <t>Davidma2@iaa.gov.il</t>
  </si>
  <si>
    <t>עדכון בתוכנית עבודה</t>
  </si>
  <si>
    <t>שלום רב, נא לשים לב לעדכונים בתוכנית עבודה</t>
  </si>
  <si>
    <t>AviSh3@iaa.gov.il</t>
  </si>
  <si>
    <t>אהרון</t>
  </si>
  <si>
    <t>אור</t>
  </si>
  <si>
    <t>יצחק</t>
  </si>
  <si>
    <t xml:space="preserve">ברק </t>
  </si>
  <si>
    <t xml:space="preserve">גבריאל </t>
  </si>
  <si>
    <t xml:space="preserve">דור </t>
  </si>
  <si>
    <t xml:space="preserve">דניאל </t>
  </si>
  <si>
    <t>יואב</t>
  </si>
  <si>
    <t xml:space="preserve">ירון </t>
  </si>
  <si>
    <t>ליאור</t>
  </si>
  <si>
    <t>מיכאל</t>
  </si>
  <si>
    <t>מירבי</t>
  </si>
  <si>
    <t xml:space="preserve">עומר </t>
  </si>
  <si>
    <t>עמית</t>
  </si>
  <si>
    <t>עמרי</t>
  </si>
  <si>
    <t>קובי</t>
  </si>
  <si>
    <t>ראובן</t>
  </si>
  <si>
    <t xml:space="preserve">שי </t>
  </si>
  <si>
    <t>שלומי</t>
  </si>
  <si>
    <t>שתה</t>
  </si>
  <si>
    <t xml:space="preserve">תומר </t>
  </si>
  <si>
    <t>ILYAPA@iaa.gov.il</t>
  </si>
  <si>
    <t>itzikho@iaa.gov.il</t>
  </si>
  <si>
    <t>איליה (אלי) פבלוב</t>
  </si>
  <si>
    <t>IzhakAf@iaa.gov.il</t>
  </si>
  <si>
    <t>BarakMo@iaa.gov.il</t>
  </si>
  <si>
    <t>GabrielVe@iaa.gov.il</t>
  </si>
  <si>
    <t>DorSh2@iaa.gov.il</t>
  </si>
  <si>
    <t>DanielSw@iaa.gov.il</t>
  </si>
  <si>
    <t>YoavBa@iaa.gov.il</t>
  </si>
  <si>
    <t>YaronTa@iaa.gov.il</t>
  </si>
  <si>
    <t>LiorAv@iaa.gov.il</t>
  </si>
  <si>
    <t>MichaelDa@iaa.gov.il</t>
  </si>
  <si>
    <t>MerabiKr@iaa.gov.il</t>
  </si>
  <si>
    <t>MotiHa@iaa.gov.il</t>
  </si>
  <si>
    <t>מוטי</t>
  </si>
  <si>
    <t>OmerGe@iaa.gov.il</t>
  </si>
  <si>
    <t>AmitNa@iaa.gov.il</t>
  </si>
  <si>
    <t>OmriSa@iaa.gov.il</t>
  </si>
  <si>
    <t>KobiDn@iaa.gov.il</t>
  </si>
  <si>
    <t>BUZNAHRE@iaa.gov.il</t>
  </si>
  <si>
    <t>ShaySu@iaa.gov.il</t>
  </si>
  <si>
    <t>ShlomiCh@iaa.gov.il</t>
  </si>
  <si>
    <t>shmuelf@iaa.gov.il</t>
  </si>
  <si>
    <t>SheteBi@iaa.gov.il</t>
  </si>
  <si>
    <t>TomerSa@iaa.gov.il</t>
  </si>
  <si>
    <t>שמוליק</t>
  </si>
  <si>
    <t>Aharonsh@iaa.gov.il</t>
  </si>
  <si>
    <t>OrSh@iaa.gov.il</t>
  </si>
  <si>
    <t>מדור פיקוד</t>
  </si>
  <si>
    <t>מדור תאורת מסלולים</t>
  </si>
  <si>
    <t>עבודות מסלולים</t>
  </si>
  <si>
    <t>יום ג</t>
  </si>
  <si>
    <t>יום ד</t>
  </si>
  <si>
    <t>יום ה</t>
  </si>
  <si>
    <t>יום ו</t>
  </si>
  <si>
    <t>שבת</t>
  </si>
  <si>
    <t>יום א</t>
  </si>
  <si>
    <t>יום ב</t>
  </si>
  <si>
    <t>אדם כהן</t>
  </si>
  <si>
    <t>אדם</t>
  </si>
  <si>
    <t>כמ</t>
  </si>
  <si>
    <t>כמש</t>
  </si>
  <si>
    <t>Adamco2@iaa.gov.il</t>
  </si>
  <si>
    <t>Staria</t>
  </si>
  <si>
    <t>שעות נומינלי</t>
  </si>
  <si>
    <t>רמ"ד פיקוד</t>
  </si>
  <si>
    <t>רמ"ד ת.מסלול</t>
  </si>
  <si>
    <t>מרבי קריכלי</t>
  </si>
  <si>
    <t>ללא</t>
  </si>
  <si>
    <t>ספטמבר</t>
  </si>
  <si>
    <t>הרצליה</t>
  </si>
  <si>
    <t>חיפה</t>
  </si>
  <si>
    <t>מחניים</t>
  </si>
  <si>
    <t>שרוולים</t>
  </si>
  <si>
    <t>PBB</t>
  </si>
  <si>
    <t>רמון</t>
  </si>
  <si>
    <t>שמואלי  16560</t>
  </si>
  <si>
    <t>מנור  23350</t>
  </si>
  <si>
    <t>שוחמי  15117</t>
  </si>
  <si>
    <t>שלו  23724</t>
  </si>
  <si>
    <t>פבלוב  20065</t>
  </si>
  <si>
    <t>אפרמשוילי  10141</t>
  </si>
  <si>
    <t>מהלו  24363</t>
  </si>
  <si>
    <t>ברדוגו  24808</t>
  </si>
  <si>
    <t>קריכלי  18437</t>
  </si>
  <si>
    <t>חלפון  18101</t>
  </si>
  <si>
    <t>דניאלי  15192</t>
  </si>
  <si>
    <t>בוזנאח  10113</t>
  </si>
  <si>
    <t>סואד  24838</t>
  </si>
  <si>
    <t>חן  16710</t>
  </si>
  <si>
    <t>פוגל  16420</t>
  </si>
  <si>
    <t>בירו  24527</t>
  </si>
  <si>
    <t>טייב  26331</t>
  </si>
  <si>
    <t>סער  24432</t>
  </si>
  <si>
    <t>גבע  27423</t>
  </si>
  <si>
    <t>שרוני  24601</t>
  </si>
  <si>
    <t>אברהם  23015</t>
  </si>
  <si>
    <t>סלמן  22749</t>
  </si>
  <si>
    <t>אבי מנור</t>
  </si>
  <si>
    <t>אלי פאבלוב</t>
  </si>
  <si>
    <t>איציק אפרמשוילי</t>
  </si>
  <si>
    <t>מריבי קריכלי</t>
  </si>
  <si>
    <t>ראובן בוזנאח</t>
  </si>
  <si>
    <t>שתה ברו</t>
  </si>
  <si>
    <t xml:space="preserve"> ליאור אברהם </t>
  </si>
  <si>
    <t>ריק</t>
  </si>
  <si>
    <t>שמות עובדים</t>
  </si>
  <si>
    <t>גברי וכטרמן</t>
  </si>
  <si>
    <t>ראש פינה</t>
  </si>
  <si>
    <t>בטיחות בחשמל</t>
  </si>
  <si>
    <t>ב. חשמל</t>
  </si>
  <si>
    <t>בטיחות כללית</t>
  </si>
  <si>
    <t>ב. כללית</t>
  </si>
  <si>
    <t>ריענון בגובה</t>
  </si>
  <si>
    <t>ר. גובה</t>
  </si>
  <si>
    <t>ריענון מלגזה</t>
  </si>
  <si>
    <t>ר. מלגזה</t>
  </si>
  <si>
    <t>ריענון נהיגה</t>
  </si>
  <si>
    <t>ר. נהיגה</t>
  </si>
  <si>
    <t>עזרא ראשונה</t>
  </si>
  <si>
    <t>ע. ראשונה</t>
  </si>
  <si>
    <t>בדיקת שמיעה</t>
  </si>
  <si>
    <t>ב. שמיעה</t>
  </si>
  <si>
    <t>סקר רפואי</t>
  </si>
  <si>
    <t>ס. רפואי</t>
  </si>
  <si>
    <t>לימודי בוקר</t>
  </si>
  <si>
    <t>לימודים ב.</t>
  </si>
  <si>
    <t>לימודי ערב</t>
  </si>
  <si>
    <t>לימודים ע.</t>
  </si>
  <si>
    <t>יציאה מוקדמת</t>
  </si>
  <si>
    <t>יציאה מ.</t>
  </si>
  <si>
    <t>כניסה מאוחרת</t>
  </si>
  <si>
    <t>כניסה מ.</t>
  </si>
  <si>
    <t>השתלמות מקצועית</t>
  </si>
  <si>
    <t>השתלמות</t>
  </si>
  <si>
    <t>כנס מקצועי</t>
  </si>
  <si>
    <t>כנס</t>
  </si>
  <si>
    <t>טיול רשות/ועד</t>
  </si>
  <si>
    <t>טיול</t>
  </si>
  <si>
    <t>עבודה בפיקוד</t>
  </si>
  <si>
    <t>ע. בפיקוד</t>
  </si>
  <si>
    <t>רכב שמור</t>
  </si>
  <si>
    <t>STARIA</t>
  </si>
  <si>
    <t>יונדאי STARIA</t>
  </si>
  <si>
    <t>דס"ל</t>
  </si>
  <si>
    <t>ה.חשמל\מ. מחסן</t>
  </si>
  <si>
    <t>חוסר לנומינלי</t>
  </si>
  <si>
    <t>כמות עובדים</t>
  </si>
  <si>
    <t>AVDGS</t>
  </si>
  <si>
    <t>תומר ליבוביץ</t>
  </si>
  <si>
    <t>AviMa@iaa.gov.il</t>
  </si>
  <si>
    <t>אורגד שניאור</t>
  </si>
  <si>
    <t>אורגד</t>
  </si>
  <si>
    <t>orgadsh@iaa.gov.il</t>
  </si>
  <si>
    <t>אורגד שניאור 18048</t>
  </si>
  <si>
    <t xml:space="preserve">גיטאו אבבה    </t>
  </si>
  <si>
    <t xml:space="preserve">שגיב בניתה   </t>
  </si>
  <si>
    <t xml:space="preserve">סהר קובה     </t>
  </si>
  <si>
    <t xml:space="preserve">אלון איברנדי            </t>
  </si>
  <si>
    <t>alonwi@iaa.gov.il</t>
  </si>
  <si>
    <t>אלון ואיברנדי</t>
  </si>
  <si>
    <t>שגיב בניתה</t>
  </si>
  <si>
    <t>סהר קובה</t>
  </si>
  <si>
    <t>saharku@iaa.gov.il</t>
  </si>
  <si>
    <t>גיטאו אבבה</t>
  </si>
  <si>
    <t>sagivbe@iaa.gov.il</t>
  </si>
  <si>
    <t>getawoAb@iaa.gov.il</t>
  </si>
  <si>
    <t>תומר ליבוביץ'</t>
  </si>
  <si>
    <t>tomerLe@iaa.gov.il</t>
  </si>
  <si>
    <t>יולי</t>
  </si>
  <si>
    <t>אוגוסט</t>
  </si>
  <si>
    <t>אוקטובר</t>
  </si>
  <si>
    <t>נובמבר</t>
  </si>
  <si>
    <t>דצמבר</t>
  </si>
  <si>
    <t>תענית אסתר</t>
  </si>
  <si>
    <t>שושן פורים</t>
  </si>
  <si>
    <t>ערב פסח</t>
  </si>
  <si>
    <t>פסח</t>
  </si>
  <si>
    <t>יום הזכרון לשואה</t>
  </si>
  <si>
    <t>יום הזכרון</t>
  </si>
  <si>
    <t>יום העצמאות</t>
  </si>
  <si>
    <t>ל"ג בעומר</t>
  </si>
  <si>
    <t>ערב ל"ג בעומר</t>
  </si>
  <si>
    <t>ט' באב</t>
  </si>
  <si>
    <t>ערב ראש השנה</t>
  </si>
  <si>
    <t>ראש השנה</t>
  </si>
  <si>
    <t>צום גדליה</t>
  </si>
  <si>
    <t>ערב סוכות</t>
  </si>
  <si>
    <t>סוכות</t>
  </si>
  <si>
    <t>שמחת תורה</t>
  </si>
  <si>
    <t>חנוכה נר 1</t>
  </si>
  <si>
    <t>חנוכה נר 2</t>
  </si>
  <si>
    <t>חנוכה נר 3</t>
  </si>
  <si>
    <t>חנוכה נר 4</t>
  </si>
  <si>
    <t>חנוכה נר 5</t>
  </si>
  <si>
    <t>חנוכה נר 6</t>
  </si>
  <si>
    <t>חנוכה נר 7</t>
  </si>
  <si>
    <t>חנוכה נר 8</t>
  </si>
  <si>
    <t>שעון קיץ</t>
  </si>
  <si>
    <t>ערב כיפור</t>
  </si>
  <si>
    <t>כיפור</t>
  </si>
  <si>
    <t>יום הזכרון לשבעה באוקטובר</t>
  </si>
  <si>
    <t>שעון חורף</t>
  </si>
  <si>
    <r>
      <t xml:space="preserve">ינואר
</t>
    </r>
    <r>
      <rPr>
        <b/>
        <sz val="10"/>
        <color theme="1"/>
        <rFont val="Arial"/>
        <family val="2"/>
        <scheme val="minor"/>
      </rPr>
      <t>טבת-שבט</t>
    </r>
  </si>
  <si>
    <r>
      <t xml:space="preserve">פברואר
</t>
    </r>
    <r>
      <rPr>
        <b/>
        <sz val="10"/>
        <color theme="1"/>
        <rFont val="Arial"/>
        <family val="2"/>
        <scheme val="minor"/>
      </rPr>
      <t>שבת-אדר</t>
    </r>
  </si>
  <si>
    <t>ראש השנה לאילנות</t>
  </si>
  <si>
    <r>
      <t xml:space="preserve">מרץ
</t>
    </r>
    <r>
      <rPr>
        <b/>
        <sz val="10"/>
        <color theme="1"/>
        <rFont val="Arial"/>
        <family val="2"/>
        <scheme val="minor"/>
      </rPr>
      <t>אדר-ניסן</t>
    </r>
  </si>
  <si>
    <r>
      <t xml:space="preserve">אפריל
</t>
    </r>
    <r>
      <rPr>
        <b/>
        <sz val="10"/>
        <color theme="1"/>
        <rFont val="Arial"/>
        <family val="2"/>
        <scheme val="minor"/>
      </rPr>
      <t>ניסן-אייר</t>
    </r>
  </si>
  <si>
    <r>
      <t xml:space="preserve">מאי
</t>
    </r>
    <r>
      <rPr>
        <b/>
        <sz val="10"/>
        <color theme="1"/>
        <rFont val="Arial"/>
        <family val="2"/>
        <scheme val="minor"/>
      </rPr>
      <t>אייר-סיוון</t>
    </r>
  </si>
  <si>
    <t>ערב שבועות</t>
  </si>
  <si>
    <t>שבועות</t>
  </si>
  <si>
    <t>אסרו חג</t>
  </si>
  <si>
    <r>
      <t xml:space="preserve">יוני
</t>
    </r>
    <r>
      <rPr>
        <b/>
        <sz val="10"/>
        <color theme="1"/>
        <rFont val="Arial"/>
        <family val="2"/>
        <scheme val="minor"/>
      </rPr>
      <t>סיוון-תמוז</t>
    </r>
  </si>
  <si>
    <r>
      <t xml:space="preserve">יולי
</t>
    </r>
    <r>
      <rPr>
        <b/>
        <sz val="10"/>
        <color theme="1"/>
        <rFont val="Arial"/>
        <family val="2"/>
        <scheme val="minor"/>
      </rPr>
      <t>תמוז-אב</t>
    </r>
  </si>
  <si>
    <t>צום י"ז</t>
  </si>
  <si>
    <t>צום ט' באב</t>
  </si>
  <si>
    <t>ט"ו באב</t>
  </si>
  <si>
    <r>
      <t xml:space="preserve">אוגוסט
</t>
    </r>
    <r>
      <rPr>
        <b/>
        <sz val="10"/>
        <color theme="1"/>
        <rFont val="Arial"/>
        <family val="2"/>
        <scheme val="minor"/>
      </rPr>
      <t>אב-אלול</t>
    </r>
  </si>
  <si>
    <r>
      <t xml:space="preserve">ספטמבר
</t>
    </r>
    <r>
      <rPr>
        <b/>
        <sz val="10"/>
        <color theme="1"/>
        <rFont val="Arial"/>
        <family val="2"/>
        <scheme val="minor"/>
      </rPr>
      <t>אלול-תשרי - תשפ"ז</t>
    </r>
  </si>
  <si>
    <r>
      <t xml:space="preserve">אוקטובר
</t>
    </r>
    <r>
      <rPr>
        <b/>
        <sz val="10"/>
        <color theme="1"/>
        <rFont val="Arial"/>
        <family val="2"/>
        <scheme val="minor"/>
      </rPr>
      <t>תשרי-חשוון</t>
    </r>
  </si>
  <si>
    <t>יום הזכרון ליצחק רבין</t>
  </si>
  <si>
    <r>
      <t xml:space="preserve">נובמבר
</t>
    </r>
    <r>
      <rPr>
        <b/>
        <sz val="10"/>
        <color theme="1"/>
        <rFont val="Arial"/>
        <family val="2"/>
        <scheme val="minor"/>
      </rPr>
      <t>חשוון-כסלו</t>
    </r>
  </si>
  <si>
    <r>
      <t xml:space="preserve">דצמבר
</t>
    </r>
    <r>
      <rPr>
        <b/>
        <sz val="10"/>
        <color theme="1"/>
        <rFont val="Arial"/>
        <family val="2"/>
        <scheme val="minor"/>
      </rPr>
      <t>כסלו-טבת</t>
    </r>
  </si>
  <si>
    <t>צום י' בטבת</t>
  </si>
  <si>
    <t>חג ערבי</t>
  </si>
  <si>
    <t>עיד אל-פיטר</t>
  </si>
  <si>
    <t>עיד אל-אדחא</t>
  </si>
  <si>
    <t>SAT</t>
  </si>
  <si>
    <t>עבודות שישי</t>
  </si>
  <si>
    <t>גיבוש</t>
  </si>
  <si>
    <t>מסלול</t>
  </si>
  <si>
    <t>ניקיון תחנות</t>
  </si>
  <si>
    <t>ה.ב</t>
  </si>
  <si>
    <t>אסיפת מחלקה 09:00</t>
  </si>
  <si>
    <t>בטיחות חשמל</t>
  </si>
  <si>
    <t>פיקוח רת"א</t>
  </si>
  <si>
    <t>יום וולנס</t>
  </si>
  <si>
    <t>רת"א</t>
  </si>
  <si>
    <t>שישי</t>
  </si>
  <si>
    <t>פורים -חופש הסכם</t>
  </si>
  <si>
    <t>חופשת הסכם</t>
  </si>
  <si>
    <t>DCCMS</t>
  </si>
  <si>
    <t>יוצא מוקדם</t>
  </si>
  <si>
    <t>פוגל</t>
  </si>
  <si>
    <t>DCRS</t>
  </si>
  <si>
    <t>מנוף תאורת גישה 21</t>
  </si>
  <si>
    <t>שנתי</t>
  </si>
  <si>
    <t>סיבים</t>
  </si>
  <si>
    <t>שלטי עמדה</t>
  </si>
  <si>
    <t>תחנות</t>
  </si>
  <si>
    <t>E8</t>
  </si>
  <si>
    <t>החלפת TD21</t>
  </si>
  <si>
    <t>אסיפת עובדים- ועד</t>
  </si>
  <si>
    <t>מדור פיקוד ובקרה</t>
  </si>
  <si>
    <t>EHDS</t>
  </si>
  <si>
    <t>D4</t>
  </si>
  <si>
    <t>D5</t>
  </si>
  <si>
    <t>CCR</t>
  </si>
  <si>
    <t xml:space="preserve"> שעון קיץ</t>
  </si>
  <si>
    <t>רענון מלגזה</t>
  </si>
  <si>
    <t>רענון</t>
  </si>
  <si>
    <t>חופשת הסכם-נדחה</t>
  </si>
  <si>
    <t>ה. רמש"ים 2</t>
  </si>
  <si>
    <t>ה. רמש"ים 1</t>
  </si>
  <si>
    <t>ה. רמש"ים 3</t>
  </si>
  <si>
    <t>ה. רמש"ים 4</t>
  </si>
  <si>
    <t>contel</t>
  </si>
  <si>
    <t>תיעוד</t>
  </si>
  <si>
    <t>CRM</t>
  </si>
  <si>
    <t>שילוט</t>
  </si>
  <si>
    <t>עמרי סלמן</t>
  </si>
  <si>
    <t>Contel</t>
  </si>
  <si>
    <t>E2E4</t>
  </si>
  <si>
    <t>E5E9</t>
  </si>
  <si>
    <t>UPS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</si>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</sst>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Arial"/>
      <family val="2"/>
      <scheme val="minor"/>
    </font>
    <font>
      <sz val="11"/>
      <color theme="1"/>
      <name val="Arial"/>
      <family val="2"/>
      <charset val="177"/>
      <scheme val="minor"/>
    </font>
    <font>
      <sz val="11"/>
      <color theme="1"/>
      <name val="Arial"/>
      <family val="2"/>
      <charset val="177"/>
      <scheme val="minor"/>
    </font>
    <font>
      <sz val="12"/>
      <color theme="1"/>
      <name val="Arial"/>
      <family val="2"/>
      <scheme val="minor"/>
    </font>
    <font>
      <b/>
      <sz val="22"/>
      <color theme="1"/>
      <name val="Arial"/>
      <family val="2"/>
      <scheme val="minor"/>
    </font>
    <font>
      <b/>
      <sz val="11"/>
      <color theme="1"/>
      <name val="Arial"/>
      <family val="2"/>
      <scheme val="minor"/>
    </font>
    <font>
      <b/>
      <sz val="16"/>
      <color theme="1"/>
      <name val="Arial"/>
      <family val="2"/>
      <scheme val="minor"/>
    </font>
    <font>
      <sz val="12"/>
      <name val="Arial"/>
      <family val="2"/>
      <scheme val="minor"/>
    </font>
    <font>
      <b/>
      <sz val="12"/>
      <name val="Arial"/>
      <family val="2"/>
      <scheme val="minor"/>
    </font>
    <font>
      <sz val="12"/>
      <name val="Arial"/>
      <family val="2"/>
    </font>
    <font>
      <sz val="10"/>
      <name val="Arial"/>
      <family val="2"/>
    </font>
    <font>
      <b/>
      <sz val="12"/>
      <color rgb="FFFF0000"/>
      <name val="Arial"/>
      <family val="2"/>
      <scheme val="minor"/>
    </font>
    <font>
      <sz val="12"/>
      <color rgb="FFFF0000"/>
      <name val="Arial"/>
      <family val="2"/>
      <scheme val="minor"/>
    </font>
    <font>
      <b/>
      <sz val="12"/>
      <name val="Arial"/>
      <family val="2"/>
    </font>
    <font>
      <b/>
      <sz val="11"/>
      <color rgb="FFFF0000"/>
      <name val="Arial"/>
      <family val="2"/>
      <scheme val="minor"/>
    </font>
    <font>
      <u/>
      <sz val="11"/>
      <color theme="10"/>
      <name val="Arial"/>
      <family val="2"/>
      <scheme val="minor"/>
    </font>
    <font>
      <sz val="12"/>
      <name val="Narkisim"/>
      <family val="2"/>
      <charset val="177"/>
    </font>
    <font>
      <b/>
      <sz val="11"/>
      <name val="Arial"/>
      <family val="2"/>
      <scheme val="minor"/>
    </font>
    <font>
      <u/>
      <sz val="11"/>
      <color theme="11"/>
      <name val="Arial"/>
      <family val="2"/>
      <scheme val="minor"/>
    </font>
    <font>
      <b/>
      <sz val="10"/>
      <color theme="1"/>
      <name val="Arial"/>
      <family val="2"/>
      <scheme val="minor"/>
    </font>
    <font>
      <sz val="11"/>
      <name val="Arial"/>
      <family val="2"/>
      <scheme val="minor"/>
    </font>
    <font>
      <b/>
      <sz val="20"/>
      <color theme="1"/>
      <name val="Arial"/>
      <family val="2"/>
      <scheme val="minor"/>
    </font>
    <font>
      <b/>
      <sz val="9"/>
      <color theme="1"/>
      <name val="Arial"/>
      <family val="2"/>
      <scheme val="minor"/>
    </font>
    <font>
      <sz val="5"/>
      <color theme="1"/>
      <name val="Arial"/>
      <family val="2"/>
      <scheme val="minor"/>
    </font>
    <font>
      <b/>
      <sz val="9"/>
      <name val="Arial"/>
      <family val="2"/>
      <scheme val="minor"/>
    </font>
    <font>
      <sz val="5"/>
      <name val="Arial"/>
      <family val="2"/>
      <scheme val="minor"/>
    </font>
    <font>
      <b/>
      <sz val="11"/>
      <color theme="0"/>
      <name val="Arial"/>
      <family val="2"/>
      <scheme val="minor"/>
    </font>
    <font>
      <sz val="8"/>
      <name val="Arial"/>
      <family val="2"/>
      <scheme val="minor"/>
    </font>
    <font>
      <sz val="12"/>
      <color theme="1"/>
      <name val="Times New Roman"/>
      <family val="1"/>
      <scheme val="major"/>
    </font>
    <font>
      <b/>
      <sz val="12"/>
      <color theme="1"/>
      <name val="Times New Roman"/>
      <family val="1"/>
      <scheme val="major"/>
    </font>
    <font>
      <b/>
      <sz val="12"/>
      <color theme="1"/>
      <name val="Arial"/>
      <family val="2"/>
      <scheme val="minor"/>
    </font>
    <font>
      <sz val="10"/>
      <color theme="1"/>
      <name val="Arial"/>
      <family val="2"/>
      <scheme val="minor"/>
    </font>
    <font>
      <sz val="10"/>
      <name val="Arial"/>
      <family val="2"/>
      <scheme val="minor"/>
    </font>
    <font>
      <sz val="9"/>
      <color indexed="81"/>
      <name val="Tahoma"/>
      <family val="2"/>
    </font>
    <font>
      <b/>
      <sz val="9"/>
      <color indexed="81"/>
      <name val="Tahoma"/>
      <family val="2"/>
    </font>
    <font>
      <b/>
      <sz val="5"/>
      <color theme="1"/>
      <name val="Arial"/>
      <family val="2"/>
      <scheme val="minor"/>
    </font>
    <font>
      <sz val="11"/>
      <color theme="9" tint="0.59999389629810485"/>
      <name val="Arial"/>
      <family val="2"/>
      <scheme val="minor"/>
    </font>
    <font>
      <b/>
      <sz val="8"/>
      <color theme="1"/>
      <name val="Arial"/>
      <family val="2"/>
      <scheme val="minor"/>
    </font>
    <font>
      <sz val="20"/>
      <color indexed="81"/>
      <name val="Tahoma"/>
      <family val="2"/>
    </font>
    <font>
      <sz val="22"/>
      <color indexed="81"/>
      <name val="Tahoma"/>
      <family val="2"/>
    </font>
    <font>
      <b/>
      <strike/>
      <sz val="11"/>
      <color theme="1"/>
      <name val="Arial"/>
      <family val="2"/>
      <scheme val="minor"/>
    </font>
    <font>
      <sz val="11"/>
      <color theme="0"/>
      <name val="Arial"/>
      <family val="2"/>
      <scheme val="minor"/>
    </font>
    <font>
      <sz val="11"/>
      <color theme="2" tint="-9.9978637043366805E-2"/>
      <name val="Arial"/>
      <family val="2"/>
      <scheme val="minor"/>
    </font>
    <font>
      <sz val="9"/>
      <color theme="1"/>
      <name val="Arial"/>
      <family val="2"/>
      <scheme val="minor"/>
    </font>
    <font>
      <strike/>
      <sz val="9"/>
      <color indexed="81"/>
      <name val="Tahoma"/>
      <family val="2"/>
    </font>
    <font>
      <strike/>
      <u val="double"/>
      <sz val="11"/>
      <color theme="1"/>
      <name val="Arial"/>
      <family val="2"/>
      <scheme val="minor"/>
    </font>
    <font>
      <sz val="8"/>
      <color theme="1"/>
      <name val="Arial"/>
      <family val="2"/>
      <scheme val="minor"/>
    </font>
    <font>
      <b/>
      <sz val="10"/>
      <color rgb="FFFF0000"/>
      <name val="Arial"/>
      <family val="2"/>
      <scheme val="minor"/>
    </font>
    <font>
      <sz val="9"/>
      <color indexed="81"/>
      <name val="Tahoma"/>
      <charset val="177"/>
    </font>
    <font>
      <b/>
      <sz val="9"/>
      <color indexed="81"/>
      <name val="Tahoma"/>
      <charset val="177"/>
    </font>
    <font>
      <sz val="9"/>
      <name val="Arial"/>
      <family val="2"/>
      <scheme val="minor"/>
    </font>
  </fonts>
  <fills count="32">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00B0F0"/>
        <bgColor indexed="64"/>
      </patternFill>
    </fill>
    <fill>
      <patternFill patternType="solid">
        <fgColor rgb="FFFFC000"/>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rgb="FF92D05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39997558519241921"/>
        <bgColor indexed="65"/>
      </patternFill>
    </fill>
    <fill>
      <patternFill patternType="solid">
        <fgColor theme="7" tint="0.39994506668294322"/>
        <bgColor rgb="FFFFFF00"/>
      </patternFill>
    </fill>
    <fill>
      <patternFill patternType="solid">
        <fgColor theme="3"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66CC"/>
        <bgColor indexed="64"/>
      </patternFill>
    </fill>
    <fill>
      <patternFill patternType="solid">
        <fgColor rgb="FFFFA357"/>
        <bgColor indexed="64"/>
      </patternFill>
    </fill>
    <fill>
      <gradientFill type="path" left="0.5" right="0.5" top="0.5" bottom="0.5">
        <stop position="0">
          <color rgb="FFFFFF00"/>
        </stop>
        <stop position="1">
          <color rgb="FFFF0000"/>
        </stop>
      </gradientFill>
    </fill>
    <fill>
      <patternFill patternType="solid">
        <fgColor theme="5" tint="-0.249977111117893"/>
        <bgColor indexed="64"/>
      </patternFill>
    </fill>
    <fill>
      <patternFill patternType="solid">
        <fgColor theme="6"/>
        <bgColor indexed="64"/>
      </patternFill>
    </fill>
    <fill>
      <patternFill patternType="solid">
        <fgColor theme="2" tint="-9.9978637043366805E-2"/>
        <bgColor indexed="64"/>
      </patternFill>
    </fill>
    <fill>
      <patternFill patternType="solid">
        <fgColor rgb="FFFFE733"/>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style="medium">
        <color indexed="64"/>
      </left>
      <right style="thin">
        <color indexed="64"/>
      </right>
      <top/>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thin">
        <color indexed="64"/>
      </left>
      <right/>
      <top/>
      <bottom/>
      <diagonal/>
    </border>
    <border>
      <left/>
      <right style="medium">
        <color indexed="64"/>
      </right>
      <top/>
      <bottom style="thin">
        <color indexed="64"/>
      </bottom>
      <diagonal/>
    </border>
  </borders>
  <cellStyleXfs count="7">
    <xf numFmtId="0" fontId="0" fillId="0" borderId="0"/>
    <xf numFmtId="0" fontId="10" fillId="0" borderId="0"/>
    <xf numFmtId="0" fontId="15" fillId="0" borderId="0" applyNumberFormat="0" applyFill="0" applyBorder="0" applyAlignment="0" applyProtection="0"/>
    <xf numFmtId="0" fontId="10" fillId="0" borderId="0"/>
    <xf numFmtId="0" fontId="2"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cellStyleXfs>
  <cellXfs count="610">
    <xf numFmtId="0" fontId="0" fillId="0" borderId="0" xfId="0"/>
    <xf numFmtId="0" fontId="0" fillId="0" borderId="0" xfId="0" applyAlignment="1">
      <alignment horizontal="center" vertical="center"/>
    </xf>
    <xf numFmtId="0" fontId="16" fillId="8" borderId="10" xfId="3" applyFont="1" applyFill="1" applyBorder="1" applyAlignment="1">
      <alignment horizontal="center" vertical="center"/>
    </xf>
    <xf numFmtId="0" fontId="15" fillId="0" borderId="11" xfId="2" applyBorder="1" applyAlignment="1">
      <alignment horizontal="center" vertical="center"/>
    </xf>
    <xf numFmtId="0" fontId="16" fillId="8" borderId="5" xfId="3" applyFont="1" applyFill="1" applyBorder="1" applyAlignment="1">
      <alignment horizontal="center" vertical="center"/>
    </xf>
    <xf numFmtId="0" fontId="15" fillId="0" borderId="6" xfId="2" applyBorder="1" applyAlignment="1">
      <alignment horizontal="center" vertical="center"/>
    </xf>
    <xf numFmtId="0" fontId="16" fillId="8" borderId="37" xfId="3" applyFont="1" applyFill="1" applyBorder="1" applyAlignment="1">
      <alignment horizontal="center" vertical="center"/>
    </xf>
    <xf numFmtId="0" fontId="15" fillId="0" borderId="15" xfId="2"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6" fillId="8" borderId="3" xfId="3" applyFont="1" applyFill="1" applyBorder="1" applyAlignment="1">
      <alignment horizontal="center" vertical="center"/>
    </xf>
    <xf numFmtId="0" fontId="15" fillId="0" borderId="4" xfId="2" applyBorder="1" applyAlignment="1">
      <alignment horizontal="center" vertical="center"/>
    </xf>
    <xf numFmtId="0" fontId="0" fillId="10" borderId="8" xfId="0" applyFill="1" applyBorder="1" applyAlignment="1">
      <alignment horizontal="center" vertical="center"/>
    </xf>
    <xf numFmtId="0" fontId="0" fillId="6" borderId="8" xfId="0" applyFill="1" applyBorder="1" applyAlignment="1">
      <alignment horizontal="center" vertical="center"/>
    </xf>
    <xf numFmtId="0" fontId="0" fillId="4" borderId="10" xfId="0" applyFill="1" applyBorder="1" applyAlignment="1">
      <alignment horizontal="center" vertical="center"/>
    </xf>
    <xf numFmtId="0" fontId="0" fillId="4" borderId="13" xfId="0" applyFill="1" applyBorder="1" applyAlignment="1">
      <alignment horizontal="center" vertical="center"/>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0" fillId="6" borderId="13" xfId="0" applyFill="1" applyBorder="1" applyAlignment="1">
      <alignment horizontal="center" vertical="center"/>
    </xf>
    <xf numFmtId="0" fontId="16" fillId="8" borderId="7" xfId="3" applyFont="1" applyFill="1" applyBorder="1" applyAlignment="1">
      <alignment horizontal="center" vertical="center"/>
    </xf>
    <xf numFmtId="0" fontId="15" fillId="0" borderId="9" xfId="2" applyBorder="1" applyAlignment="1">
      <alignment horizontal="center" vertical="center"/>
    </xf>
    <xf numFmtId="0" fontId="5" fillId="5" borderId="6" xfId="0" applyFont="1" applyFill="1" applyBorder="1" applyAlignment="1">
      <alignment horizontal="center" vertical="center"/>
    </xf>
    <xf numFmtId="0" fontId="0" fillId="6" borderId="7" xfId="0" applyFill="1" applyBorder="1" applyAlignment="1">
      <alignment horizontal="center" vertical="center"/>
    </xf>
    <xf numFmtId="0" fontId="5" fillId="3" borderId="2" xfId="0" applyFont="1" applyFill="1" applyBorder="1" applyAlignment="1">
      <alignment horizontal="center" vertical="center"/>
    </xf>
    <xf numFmtId="0" fontId="5" fillId="2" borderId="2" xfId="0" applyFont="1" applyFill="1" applyBorder="1" applyAlignment="1">
      <alignment horizontal="center" vertical="center"/>
    </xf>
    <xf numFmtId="0" fontId="7" fillId="2" borderId="23" xfId="0" applyFont="1" applyFill="1" applyBorder="1" applyAlignment="1" applyProtection="1">
      <alignment horizontal="center" vertical="center"/>
    </xf>
    <xf numFmtId="0" fontId="5" fillId="5" borderId="5"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13" fillId="8" borderId="3" xfId="0" applyFont="1" applyFill="1" applyBorder="1" applyAlignment="1" applyProtection="1">
      <alignment horizontal="center" vertical="center" wrapText="1"/>
    </xf>
    <xf numFmtId="0" fontId="13" fillId="8" borderId="4" xfId="1" applyFont="1" applyFill="1" applyBorder="1" applyAlignment="1" applyProtection="1">
      <alignment horizontal="center" vertical="center" wrapText="1"/>
    </xf>
    <xf numFmtId="0" fontId="0" fillId="17" borderId="7" xfId="0" applyFill="1" applyBorder="1" applyAlignment="1">
      <alignment horizontal="center" vertical="center"/>
    </xf>
    <xf numFmtId="0" fontId="5" fillId="4" borderId="27" xfId="0" applyFont="1" applyFill="1" applyBorder="1" applyAlignment="1">
      <alignment horizontal="center" vertical="center"/>
    </xf>
    <xf numFmtId="0" fontId="5" fillId="4" borderId="10"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0" fillId="4" borderId="46" xfId="0" applyFill="1" applyBorder="1" applyAlignment="1">
      <alignment horizontal="center" vertical="center"/>
    </xf>
    <xf numFmtId="0" fontId="0" fillId="6" borderId="46" xfId="0" applyFill="1" applyBorder="1" applyAlignment="1">
      <alignment horizontal="center" vertical="center"/>
    </xf>
    <xf numFmtId="0" fontId="9" fillId="8" borderId="1" xfId="0" applyFont="1" applyFill="1" applyBorder="1" applyAlignment="1" applyProtection="1"/>
    <xf numFmtId="0" fontId="9" fillId="8" borderId="1" xfId="0" applyFont="1" applyFill="1" applyBorder="1" applyAlignment="1" applyProtection="1">
      <alignment horizontal="center"/>
    </xf>
    <xf numFmtId="0" fontId="9" fillId="0" borderId="0" xfId="0" applyFont="1"/>
    <xf numFmtId="0" fontId="0" fillId="0" borderId="1" xfId="0" applyBorder="1" applyAlignment="1">
      <alignment horizontal="center" vertical="center"/>
    </xf>
    <xf numFmtId="0" fontId="13" fillId="8" borderId="1" xfId="0" applyFont="1" applyFill="1" applyBorder="1" applyAlignment="1" applyProtection="1">
      <alignment horizontal="center" vertical="center" wrapText="1"/>
    </xf>
    <xf numFmtId="0" fontId="13" fillId="8" borderId="1" xfId="1" applyFont="1" applyFill="1" applyBorder="1" applyAlignment="1" applyProtection="1">
      <alignment horizontal="center" vertical="center" wrapText="1"/>
    </xf>
    <xf numFmtId="0" fontId="9" fillId="8" borderId="1" xfId="0" applyFont="1" applyFill="1" applyBorder="1" applyAlignment="1" applyProtection="1">
      <alignment horizontal="center" vertical="center"/>
    </xf>
    <xf numFmtId="0" fontId="8" fillId="18" borderId="1" xfId="0" applyFont="1" applyFill="1" applyBorder="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3" fillId="12" borderId="1" xfId="0" applyFont="1" applyFill="1" applyBorder="1" applyAlignment="1" applyProtection="1">
      <alignment horizontal="center" vertical="center"/>
      <protection locked="0"/>
    </xf>
    <xf numFmtId="0" fontId="5" fillId="13" borderId="1" xfId="0" applyFont="1" applyFill="1" applyBorder="1" applyAlignment="1" applyProtection="1">
      <alignment horizontal="center" vertical="center"/>
      <protection locked="0"/>
    </xf>
    <xf numFmtId="0" fontId="12" fillId="11" borderId="1" xfId="0" applyFont="1" applyFill="1" applyBorder="1" applyAlignment="1" applyProtection="1">
      <alignment horizontal="center" vertical="center"/>
      <protection locked="0"/>
    </xf>
    <xf numFmtId="0" fontId="7" fillId="8" borderId="1" xfId="0" applyFont="1" applyFill="1" applyBorder="1" applyAlignment="1" applyProtection="1">
      <alignment horizontal="center" vertical="center"/>
      <protection locked="0"/>
    </xf>
    <xf numFmtId="0" fontId="7" fillId="9"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7" fillId="19" borderId="1" xfId="0" applyFont="1" applyFill="1" applyBorder="1" applyAlignment="1" applyProtection="1">
      <alignment horizontal="center" vertical="center"/>
      <protection locked="0"/>
    </xf>
    <xf numFmtId="0" fontId="0" fillId="0" borderId="1" xfId="0" applyBorder="1"/>
    <xf numFmtId="0" fontId="0" fillId="4" borderId="51" xfId="0" applyFill="1" applyBorder="1" applyAlignment="1">
      <alignment horizontal="center" vertical="center"/>
    </xf>
    <xf numFmtId="0" fontId="0" fillId="6" borderId="51" xfId="0" applyFill="1" applyBorder="1" applyAlignment="1">
      <alignment horizontal="center" vertical="center"/>
    </xf>
    <xf numFmtId="0" fontId="7" fillId="2" borderId="36" xfId="0" applyFont="1" applyFill="1" applyBorder="1" applyAlignment="1" applyProtection="1">
      <alignment horizontal="center" vertical="center"/>
    </xf>
    <xf numFmtId="0" fontId="0" fillId="19" borderId="1" xfId="0" applyFill="1" applyBorder="1"/>
    <xf numFmtId="0" fontId="8" fillId="21" borderId="1" xfId="0" applyFont="1" applyFill="1" applyBorder="1" applyAlignment="1" applyProtection="1">
      <alignment horizontal="center" vertical="center"/>
      <protection locked="0"/>
    </xf>
    <xf numFmtId="0" fontId="20" fillId="0" borderId="0" xfId="0" applyFont="1"/>
    <xf numFmtId="0" fontId="20" fillId="0" borderId="0" xfId="0" applyFont="1" applyAlignment="1">
      <alignment horizontal="center" vertical="center"/>
    </xf>
    <xf numFmtId="0" fontId="0" fillId="4" borderId="11" xfId="0" applyFill="1" applyBorder="1" applyAlignment="1">
      <alignment horizontal="center" vertical="center"/>
    </xf>
    <xf numFmtId="0" fontId="0" fillId="6" borderId="28" xfId="0" applyFill="1" applyBorder="1" applyAlignment="1">
      <alignment horizontal="center" vertical="center"/>
    </xf>
    <xf numFmtId="0" fontId="0" fillId="4" borderId="28" xfId="0" applyFill="1" applyBorder="1" applyAlignment="1">
      <alignment horizontal="center" vertical="center"/>
    </xf>
    <xf numFmtId="0" fontId="0" fillId="6" borderId="52" xfId="0" applyFill="1" applyBorder="1" applyAlignment="1">
      <alignment horizontal="center" vertical="center"/>
    </xf>
    <xf numFmtId="0" fontId="0" fillId="4" borderId="52" xfId="0" applyFill="1" applyBorder="1" applyAlignment="1">
      <alignment horizontal="center" vertical="center"/>
    </xf>
    <xf numFmtId="0" fontId="0" fillId="4" borderId="38" xfId="0" applyFill="1" applyBorder="1" applyAlignment="1">
      <alignment horizontal="center" vertical="center"/>
    </xf>
    <xf numFmtId="0" fontId="0" fillId="6" borderId="38" xfId="0" applyFill="1" applyBorder="1" applyAlignment="1">
      <alignment horizontal="center" vertical="center"/>
    </xf>
    <xf numFmtId="0" fontId="0" fillId="4" borderId="1" xfId="0" applyFill="1" applyBorder="1" applyAlignment="1">
      <alignment horizontal="center" vertical="center"/>
    </xf>
    <xf numFmtId="0" fontId="0" fillId="6" borderId="1" xfId="0" applyFill="1" applyBorder="1" applyAlignment="1">
      <alignment horizontal="center" vertical="center"/>
    </xf>
    <xf numFmtId="0" fontId="7" fillId="4" borderId="1" xfId="0" applyFont="1" applyFill="1" applyBorder="1" applyAlignment="1" applyProtection="1">
      <alignment horizontal="center" vertical="center"/>
      <protection locked="0"/>
    </xf>
    <xf numFmtId="0" fontId="7" fillId="6" borderId="1" xfId="0" applyFont="1" applyFill="1" applyBorder="1" applyAlignment="1" applyProtection="1">
      <alignment horizontal="center" vertical="center"/>
      <protection locked="0"/>
    </xf>
    <xf numFmtId="0" fontId="0" fillId="3" borderId="15" xfId="0" applyFont="1" applyFill="1" applyBorder="1" applyAlignment="1">
      <alignment horizontal="center" vertical="center"/>
    </xf>
    <xf numFmtId="0" fontId="0" fillId="3" borderId="43" xfId="0" applyFont="1" applyFill="1" applyBorder="1" applyAlignment="1">
      <alignment horizontal="center" vertical="center"/>
    </xf>
    <xf numFmtId="0" fontId="3" fillId="4" borderId="51" xfId="0" applyFont="1" applyFill="1" applyBorder="1" applyAlignment="1">
      <alignment horizontal="center" vertical="center"/>
    </xf>
    <xf numFmtId="0" fontId="3" fillId="6" borderId="51" xfId="0" applyFont="1" applyFill="1" applyBorder="1" applyAlignment="1">
      <alignment horizontal="center" vertical="center"/>
    </xf>
    <xf numFmtId="0" fontId="0" fillId="4" borderId="15" xfId="0" applyFill="1" applyBorder="1" applyAlignment="1">
      <alignment horizontal="center" vertical="center"/>
    </xf>
    <xf numFmtId="0" fontId="0" fillId="6" borderId="37" xfId="0" applyFill="1" applyBorder="1" applyAlignment="1">
      <alignment horizontal="center" vertical="center"/>
    </xf>
    <xf numFmtId="0" fontId="0" fillId="6" borderId="15" xfId="0" applyFill="1" applyBorder="1" applyAlignment="1">
      <alignment horizontal="center" vertical="center"/>
    </xf>
    <xf numFmtId="0" fontId="0" fillId="6" borderId="44" xfId="0" applyFill="1" applyBorder="1" applyAlignment="1">
      <alignment horizontal="center" vertical="center"/>
    </xf>
    <xf numFmtId="0" fontId="0" fillId="4" borderId="37" xfId="0" applyFill="1" applyBorder="1" applyAlignment="1">
      <alignment horizontal="center" vertical="center"/>
    </xf>
    <xf numFmtId="0" fontId="0" fillId="0" borderId="0" xfId="0" applyFont="1"/>
    <xf numFmtId="0" fontId="0" fillId="0" borderId="0" xfId="0" applyFont="1" applyAlignment="1">
      <alignment horizontal="right"/>
    </xf>
    <xf numFmtId="0" fontId="0" fillId="4" borderId="54" xfId="0" applyFill="1" applyBorder="1" applyAlignment="1">
      <alignment horizontal="center" vertical="center"/>
    </xf>
    <xf numFmtId="0" fontId="16" fillId="8" borderId="32" xfId="3" applyFont="1" applyFill="1" applyBorder="1" applyAlignment="1">
      <alignment horizontal="center" vertical="center"/>
    </xf>
    <xf numFmtId="0" fontId="15" fillId="0" borderId="33" xfId="2" applyBorder="1" applyAlignment="1">
      <alignment horizontal="center" vertical="center"/>
    </xf>
    <xf numFmtId="0" fontId="5" fillId="4" borderId="26" xfId="0" applyFont="1" applyFill="1" applyBorder="1" applyAlignment="1">
      <alignment horizontal="center" vertical="center"/>
    </xf>
    <xf numFmtId="0" fontId="6" fillId="0" borderId="22" xfId="0" applyFont="1" applyBorder="1" applyAlignment="1">
      <alignment vertical="center"/>
    </xf>
    <xf numFmtId="0" fontId="6" fillId="0" borderId="0" xfId="0" applyFont="1" applyBorder="1" applyAlignment="1">
      <alignment vertical="center"/>
    </xf>
    <xf numFmtId="0" fontId="5" fillId="5" borderId="37" xfId="0" applyFont="1" applyFill="1" applyBorder="1" applyAlignment="1">
      <alignment horizontal="center" vertical="center"/>
    </xf>
    <xf numFmtId="0" fontId="5" fillId="5" borderId="15" xfId="0" applyFont="1" applyFill="1" applyBorder="1" applyAlignment="1">
      <alignment horizontal="center" vertical="center"/>
    </xf>
    <xf numFmtId="0" fontId="5" fillId="5" borderId="2" xfId="0" applyFont="1" applyFill="1" applyBorder="1" applyAlignment="1">
      <alignment horizontal="center" vertical="center"/>
    </xf>
    <xf numFmtId="0" fontId="0" fillId="4" borderId="36" xfId="0" applyFill="1" applyBorder="1" applyAlignment="1">
      <alignment horizontal="center" vertical="center"/>
    </xf>
    <xf numFmtId="0" fontId="0" fillId="4" borderId="44" xfId="0" applyFill="1" applyBorder="1" applyAlignment="1">
      <alignment horizontal="center" vertical="center"/>
    </xf>
    <xf numFmtId="0" fontId="5" fillId="4" borderId="13" xfId="0" applyFont="1" applyFill="1" applyBorder="1" applyAlignment="1">
      <alignment horizontal="center" vertical="center"/>
    </xf>
    <xf numFmtId="0" fontId="0" fillId="8" borderId="28" xfId="0" applyFill="1" applyBorder="1" applyAlignment="1">
      <alignment horizontal="center" vertical="center"/>
    </xf>
    <xf numFmtId="0" fontId="5" fillId="4" borderId="7" xfId="0" applyFont="1" applyFill="1" applyBorder="1" applyAlignment="1">
      <alignment horizontal="center" vertical="center"/>
    </xf>
    <xf numFmtId="0" fontId="5" fillId="4" borderId="9"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9" xfId="0" applyFont="1" applyFill="1" applyBorder="1" applyAlignment="1">
      <alignment horizontal="center" vertical="center"/>
    </xf>
    <xf numFmtId="0" fontId="5" fillId="6" borderId="10"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3" xfId="0" applyFont="1" applyFill="1" applyBorder="1" applyAlignment="1">
      <alignment horizontal="center" vertical="center"/>
    </xf>
    <xf numFmtId="0" fontId="5" fillId="6" borderId="5" xfId="0" applyFont="1" applyFill="1" applyBorder="1" applyAlignment="1">
      <alignment horizontal="center" vertical="center"/>
    </xf>
    <xf numFmtId="0" fontId="0" fillId="6" borderId="36" xfId="0" applyFill="1" applyBorder="1" applyAlignment="1">
      <alignment horizontal="center" vertical="center"/>
    </xf>
    <xf numFmtId="0" fontId="22" fillId="6" borderId="1" xfId="0" applyFont="1" applyFill="1" applyBorder="1" applyAlignment="1">
      <alignment horizontal="center" vertical="center"/>
    </xf>
    <xf numFmtId="0" fontId="0" fillId="6" borderId="54" xfId="0" applyFill="1" applyBorder="1" applyAlignment="1">
      <alignment horizontal="center" vertical="center"/>
    </xf>
    <xf numFmtId="0" fontId="23" fillId="6" borderId="51" xfId="0" applyFont="1" applyFill="1" applyBorder="1" applyAlignment="1">
      <alignment horizontal="center" vertical="top"/>
    </xf>
    <xf numFmtId="0" fontId="22" fillId="4" borderId="1" xfId="0" applyFont="1" applyFill="1" applyBorder="1" applyAlignment="1">
      <alignment horizontal="center" vertical="center"/>
    </xf>
    <xf numFmtId="0" fontId="23" fillId="4" borderId="51" xfId="0" applyFont="1" applyFill="1" applyBorder="1" applyAlignment="1">
      <alignment horizontal="center" vertical="top"/>
    </xf>
    <xf numFmtId="0" fontId="0" fillId="0" borderId="25" xfId="0" applyBorder="1" applyAlignment="1">
      <alignment horizontal="center" vertical="center"/>
    </xf>
    <xf numFmtId="0" fontId="15" fillId="0" borderId="27" xfId="2" applyBorder="1"/>
    <xf numFmtId="0" fontId="0" fillId="0" borderId="23" xfId="0" applyBorder="1" applyAlignment="1">
      <alignment horizontal="center" vertical="center"/>
    </xf>
    <xf numFmtId="0" fontId="20" fillId="4" borderId="13" xfId="0" applyFont="1" applyFill="1" applyBorder="1" applyAlignment="1">
      <alignment horizontal="center" vertical="center"/>
    </xf>
    <xf numFmtId="0" fontId="20" fillId="4" borderId="11" xfId="0" applyFont="1" applyFill="1" applyBorder="1" applyAlignment="1">
      <alignment horizontal="center" vertical="center"/>
    </xf>
    <xf numFmtId="0" fontId="20" fillId="4" borderId="10" xfId="0" applyFont="1" applyFill="1" applyBorder="1" applyAlignment="1">
      <alignment horizontal="center" vertical="center"/>
    </xf>
    <xf numFmtId="0" fontId="24" fillId="4" borderId="1" xfId="0" applyFont="1" applyFill="1" applyBorder="1" applyAlignment="1">
      <alignment horizontal="center" vertical="center"/>
    </xf>
    <xf numFmtId="0" fontId="20" fillId="4" borderId="15" xfId="0" applyFont="1" applyFill="1" applyBorder="1" applyAlignment="1">
      <alignment horizontal="center" vertical="center"/>
    </xf>
    <xf numFmtId="0" fontId="25" fillId="4" borderId="51" xfId="0" applyFont="1" applyFill="1" applyBorder="1" applyAlignment="1">
      <alignment horizontal="center" vertical="top"/>
    </xf>
    <xf numFmtId="0" fontId="20" fillId="6" borderId="13" xfId="0" applyFont="1" applyFill="1" applyBorder="1" applyAlignment="1">
      <alignment horizontal="center" vertical="center"/>
    </xf>
    <xf numFmtId="0" fontId="20" fillId="6" borderId="11" xfId="0" applyFont="1" applyFill="1" applyBorder="1" applyAlignment="1">
      <alignment horizontal="center" vertical="center"/>
    </xf>
    <xf numFmtId="0" fontId="20" fillId="6" borderId="10" xfId="0" applyFont="1" applyFill="1" applyBorder="1" applyAlignment="1">
      <alignment horizontal="center" vertical="center"/>
    </xf>
    <xf numFmtId="0" fontId="24" fillId="6" borderId="1"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9" xfId="0" applyFont="1" applyFill="1" applyBorder="1" applyAlignment="1">
      <alignment horizontal="center" vertical="center"/>
    </xf>
    <xf numFmtId="0" fontId="19" fillId="7" borderId="21" xfId="0" applyFont="1" applyFill="1" applyBorder="1" applyAlignment="1">
      <alignment horizontal="right" vertical="center"/>
    </xf>
    <xf numFmtId="0" fontId="19" fillId="7" borderId="20" xfId="0" applyFont="1" applyFill="1" applyBorder="1" applyAlignment="1">
      <alignment horizontal="right" vertical="center"/>
    </xf>
    <xf numFmtId="0" fontId="22" fillId="6" borderId="52" xfId="0" applyFont="1" applyFill="1" applyBorder="1" applyAlignment="1">
      <alignment horizontal="center" vertical="center"/>
    </xf>
    <xf numFmtId="0" fontId="22" fillId="4" borderId="52" xfId="0" applyFont="1" applyFill="1" applyBorder="1" applyAlignment="1">
      <alignment horizontal="center" vertical="center"/>
    </xf>
    <xf numFmtId="0" fontId="0" fillId="8" borderId="48" xfId="0" applyFill="1" applyBorder="1" applyAlignment="1">
      <alignment horizontal="center" vertical="center"/>
    </xf>
    <xf numFmtId="0" fontId="5" fillId="5" borderId="55" xfId="0" applyFont="1" applyFill="1" applyBorder="1" applyAlignment="1">
      <alignment horizontal="center" vertical="center"/>
    </xf>
    <xf numFmtId="0" fontId="5" fillId="6" borderId="55" xfId="0" applyFont="1" applyFill="1" applyBorder="1" applyAlignment="1">
      <alignment horizontal="center" vertical="center"/>
    </xf>
    <xf numFmtId="0" fontId="0" fillId="6" borderId="39" xfId="0" applyFill="1" applyBorder="1" applyAlignment="1">
      <alignment horizontal="center" vertical="center"/>
    </xf>
    <xf numFmtId="0" fontId="0" fillId="10" borderId="1" xfId="0" applyFill="1" applyBorder="1" applyAlignment="1">
      <alignment horizontal="center" vertical="center"/>
    </xf>
    <xf numFmtId="0" fontId="0" fillId="4" borderId="48" xfId="0" applyFill="1" applyBorder="1" applyAlignment="1">
      <alignment horizontal="center" vertical="center"/>
    </xf>
    <xf numFmtId="0" fontId="0" fillId="6" borderId="48" xfId="0" applyFill="1" applyBorder="1" applyAlignment="1">
      <alignment horizontal="center" vertical="center"/>
    </xf>
    <xf numFmtId="0" fontId="0" fillId="6" borderId="57" xfId="0" applyFill="1" applyBorder="1" applyAlignment="1">
      <alignment horizontal="center" vertical="center"/>
    </xf>
    <xf numFmtId="0" fontId="0" fillId="10" borderId="7" xfId="0" applyFill="1" applyBorder="1" applyAlignment="1">
      <alignment horizontal="center" vertical="center"/>
    </xf>
    <xf numFmtId="0" fontId="0" fillId="10" borderId="8" xfId="0" applyFill="1" applyBorder="1" applyAlignment="1">
      <alignment horizontal="center" vertical="center"/>
    </xf>
    <xf numFmtId="0" fontId="0" fillId="17" borderId="8" xfId="0" applyFill="1" applyBorder="1" applyAlignment="1">
      <alignment horizontal="center" vertical="center"/>
    </xf>
    <xf numFmtId="0" fontId="0" fillId="10" borderId="8" xfId="0" applyFill="1" applyBorder="1" applyAlignment="1">
      <alignment horizontal="center" vertical="center"/>
    </xf>
    <xf numFmtId="0" fontId="20" fillId="6" borderId="15" xfId="0" applyFont="1" applyFill="1" applyBorder="1" applyAlignment="1">
      <alignment horizontal="center" vertical="center"/>
    </xf>
    <xf numFmtId="0" fontId="20" fillId="6" borderId="44" xfId="0" applyFont="1" applyFill="1" applyBorder="1" applyAlignment="1">
      <alignment horizontal="center" vertical="center"/>
    </xf>
    <xf numFmtId="0" fontId="20" fillId="6" borderId="37" xfId="0" applyFont="1" applyFill="1" applyBorder="1" applyAlignment="1">
      <alignment horizontal="center" vertical="center"/>
    </xf>
    <xf numFmtId="0" fontId="24" fillId="6" borderId="52" xfId="0" applyFont="1" applyFill="1" applyBorder="1" applyAlignment="1">
      <alignment horizontal="center" vertical="center"/>
    </xf>
    <xf numFmtId="0" fontId="0" fillId="10" borderId="1" xfId="0" applyFill="1" applyBorder="1" applyAlignment="1">
      <alignment horizontal="center" vertical="center"/>
    </xf>
    <xf numFmtId="0" fontId="0" fillId="10" borderId="8" xfId="0" applyFill="1" applyBorder="1" applyAlignment="1">
      <alignment horizontal="center" vertical="center"/>
    </xf>
    <xf numFmtId="0" fontId="0" fillId="10" borderId="56" xfId="0" applyFill="1" applyBorder="1" applyAlignment="1">
      <alignment horizontal="center" vertical="center"/>
    </xf>
    <xf numFmtId="0" fontId="14" fillId="4" borderId="46" xfId="0" applyFont="1" applyFill="1" applyBorder="1" applyAlignment="1">
      <alignment horizontal="center"/>
    </xf>
    <xf numFmtId="0" fontId="0" fillId="4" borderId="39" xfId="0" applyFill="1" applyBorder="1" applyAlignment="1">
      <alignment horizontal="center" vertical="center"/>
    </xf>
    <xf numFmtId="0" fontId="5" fillId="4" borderId="46" xfId="0" applyFont="1" applyFill="1" applyBorder="1" applyAlignment="1">
      <alignment horizontal="center"/>
    </xf>
    <xf numFmtId="0" fontId="5" fillId="4" borderId="17" xfId="0" applyFont="1" applyFill="1" applyBorder="1" applyAlignment="1">
      <alignment horizontal="center"/>
    </xf>
    <xf numFmtId="0" fontId="0" fillId="24" borderId="37" xfId="0" applyFill="1" applyBorder="1" applyAlignment="1">
      <alignment horizontal="center" vertical="center"/>
    </xf>
    <xf numFmtId="0" fontId="0" fillId="24" borderId="38" xfId="0" applyFill="1" applyBorder="1" applyAlignment="1">
      <alignment horizontal="center" vertical="center"/>
    </xf>
    <xf numFmtId="0" fontId="0" fillId="24" borderId="52" xfId="0" applyFill="1" applyBorder="1" applyAlignment="1">
      <alignment horizontal="center" vertical="center"/>
    </xf>
    <xf numFmtId="0" fontId="0" fillId="24" borderId="1" xfId="0" applyFill="1" applyBorder="1" applyAlignment="1">
      <alignment horizontal="center" vertical="center"/>
    </xf>
    <xf numFmtId="0" fontId="0" fillId="24" borderId="28" xfId="0" applyFill="1" applyBorder="1" applyAlignment="1">
      <alignment horizontal="center" vertical="center"/>
    </xf>
    <xf numFmtId="0" fontId="0" fillId="24" borderId="54" xfId="0" applyFill="1" applyBorder="1" applyAlignment="1">
      <alignment horizontal="center" vertical="center"/>
    </xf>
    <xf numFmtId="0" fontId="0" fillId="24" borderId="46" xfId="0" applyFill="1" applyBorder="1" applyAlignment="1">
      <alignment horizontal="center" vertical="center"/>
    </xf>
    <xf numFmtId="0" fontId="7" fillId="24" borderId="1" xfId="0" applyFont="1" applyFill="1" applyBorder="1" applyAlignment="1" applyProtection="1">
      <alignment horizontal="center" vertical="center"/>
      <protection locked="0"/>
    </xf>
    <xf numFmtId="0" fontId="3" fillId="24" borderId="51" xfId="0" applyFont="1" applyFill="1" applyBorder="1" applyAlignment="1">
      <alignment horizontal="center" vertical="center"/>
    </xf>
    <xf numFmtId="0" fontId="0" fillId="24" borderId="36" xfId="0" applyFill="1" applyBorder="1" applyAlignment="1">
      <alignment horizontal="center" vertical="center"/>
    </xf>
    <xf numFmtId="0" fontId="0" fillId="24" borderId="10" xfId="0" applyFill="1" applyBorder="1" applyAlignment="1">
      <alignment horizontal="center" vertical="center"/>
    </xf>
    <xf numFmtId="0" fontId="0" fillId="24" borderId="13" xfId="0" applyFill="1" applyBorder="1" applyAlignment="1">
      <alignment horizontal="center" vertical="center"/>
    </xf>
    <xf numFmtId="0" fontId="0" fillId="24" borderId="44" xfId="0" applyFill="1" applyBorder="1" applyAlignment="1">
      <alignment horizontal="center" vertical="center"/>
    </xf>
    <xf numFmtId="0" fontId="0" fillId="24" borderId="51" xfId="0" applyFill="1" applyBorder="1" applyAlignment="1">
      <alignment horizontal="center" vertical="center"/>
    </xf>
    <xf numFmtId="0" fontId="0" fillId="24" borderId="15" xfId="0" applyFill="1" applyBorder="1" applyAlignment="1">
      <alignment horizontal="center" vertical="center"/>
    </xf>
    <xf numFmtId="0" fontId="22" fillId="24" borderId="52" xfId="0" applyFont="1" applyFill="1" applyBorder="1" applyAlignment="1">
      <alignment horizontal="center" vertical="center"/>
    </xf>
    <xf numFmtId="0" fontId="5" fillId="24" borderId="10" xfId="0" applyFont="1" applyFill="1" applyBorder="1" applyAlignment="1">
      <alignment horizontal="center" vertical="center"/>
    </xf>
    <xf numFmtId="0" fontId="5" fillId="24" borderId="11" xfId="0" applyFont="1" applyFill="1" applyBorder="1" applyAlignment="1">
      <alignment horizontal="center" vertical="center"/>
    </xf>
    <xf numFmtId="0" fontId="0" fillId="24" borderId="11" xfId="0" applyFill="1" applyBorder="1" applyAlignment="1">
      <alignment horizontal="center" vertical="center"/>
    </xf>
    <xf numFmtId="0" fontId="22" fillId="24" borderId="1" xfId="0" applyFont="1" applyFill="1" applyBorder="1" applyAlignment="1">
      <alignment horizontal="center" vertical="center"/>
    </xf>
    <xf numFmtId="0" fontId="5" fillId="24" borderId="5" xfId="0" applyFont="1" applyFill="1" applyBorder="1" applyAlignment="1">
      <alignment horizontal="center" vertical="center"/>
    </xf>
    <xf numFmtId="0" fontId="5" fillId="24" borderId="6" xfId="0" applyFont="1" applyFill="1" applyBorder="1" applyAlignment="1">
      <alignment horizontal="center" vertical="center"/>
    </xf>
    <xf numFmtId="0" fontId="0" fillId="10" borderId="59" xfId="0" applyFill="1" applyBorder="1" applyAlignment="1">
      <alignment horizontal="center" vertical="center"/>
    </xf>
    <xf numFmtId="0" fontId="5" fillId="4" borderId="44"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16" xfId="0" applyFont="1" applyFill="1" applyBorder="1" applyAlignment="1">
      <alignment horizontal="center" vertical="center"/>
    </xf>
    <xf numFmtId="0" fontId="5" fillId="6" borderId="17" xfId="0" applyFont="1" applyFill="1" applyBorder="1" applyAlignment="1">
      <alignment horizontal="center" vertical="center"/>
    </xf>
    <xf numFmtId="0" fontId="5" fillId="4" borderId="17" xfId="0" applyFont="1" applyFill="1" applyBorder="1" applyAlignment="1">
      <alignment horizontal="center" vertical="center"/>
    </xf>
    <xf numFmtId="0" fontId="0" fillId="4" borderId="10" xfId="0" applyFont="1" applyFill="1" applyBorder="1" applyAlignment="1">
      <alignment horizontal="center" vertical="center"/>
    </xf>
    <xf numFmtId="0" fontId="0" fillId="2" borderId="1" xfId="0" applyFill="1" applyBorder="1" applyAlignment="1">
      <alignment horizontal="center" vertical="center"/>
    </xf>
    <xf numFmtId="0" fontId="0" fillId="3" borderId="52" xfId="0" applyFill="1" applyBorder="1" applyAlignment="1">
      <alignment horizontal="center" vertical="center"/>
    </xf>
    <xf numFmtId="0" fontId="0" fillId="3" borderId="38" xfId="0" applyFill="1" applyBorder="1" applyAlignment="1">
      <alignment horizontal="center" vertical="center"/>
    </xf>
    <xf numFmtId="0" fontId="0" fillId="2" borderId="13" xfId="0" applyFill="1" applyBorder="1" applyAlignment="1">
      <alignment horizontal="center" vertical="center"/>
    </xf>
    <xf numFmtId="0" fontId="0" fillId="10" borderId="8" xfId="0" applyFill="1" applyBorder="1" applyAlignment="1">
      <alignment horizontal="center" vertical="center"/>
    </xf>
    <xf numFmtId="0" fontId="0" fillId="10" borderId="60" xfId="0" applyFill="1" applyBorder="1" applyAlignment="1">
      <alignment horizontal="center" vertical="center"/>
    </xf>
    <xf numFmtId="0" fontId="0" fillId="6" borderId="60" xfId="0" applyFill="1" applyBorder="1" applyAlignment="1">
      <alignment horizontal="center" vertical="center"/>
    </xf>
    <xf numFmtId="0" fontId="0" fillId="10" borderId="61" xfId="0" applyFill="1" applyBorder="1" applyAlignment="1">
      <alignment horizontal="center" vertical="center"/>
    </xf>
    <xf numFmtId="0" fontId="0" fillId="3" borderId="28" xfId="0" applyFill="1" applyBorder="1" applyAlignment="1">
      <alignment horizontal="center" vertical="center"/>
    </xf>
    <xf numFmtId="0" fontId="0" fillId="2" borderId="28" xfId="0" applyFill="1" applyBorder="1" applyAlignment="1">
      <alignment horizontal="center" vertical="center"/>
    </xf>
    <xf numFmtId="0" fontId="0" fillId="2" borderId="38" xfId="0" applyFill="1" applyBorder="1" applyAlignment="1">
      <alignment horizontal="center" vertical="center"/>
    </xf>
    <xf numFmtId="0" fontId="5" fillId="2" borderId="10" xfId="0" applyFont="1" applyFill="1" applyBorder="1" applyAlignment="1">
      <alignment horizontal="center" vertical="center"/>
    </xf>
    <xf numFmtId="0" fontId="0" fillId="4" borderId="37" xfId="0" applyFont="1" applyFill="1" applyBorder="1" applyAlignment="1">
      <alignment horizontal="center" vertical="center"/>
    </xf>
    <xf numFmtId="0" fontId="0" fillId="6" borderId="10" xfId="0" applyFont="1" applyFill="1" applyBorder="1" applyAlignment="1">
      <alignment horizontal="center" vertical="center"/>
    </xf>
    <xf numFmtId="0" fontId="5" fillId="25" borderId="10" xfId="0" applyFont="1" applyFill="1" applyBorder="1" applyAlignment="1">
      <alignment horizontal="center" vertical="center"/>
    </xf>
    <xf numFmtId="0" fontId="22" fillId="10" borderId="10"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1" xfId="0" applyFont="1" applyFill="1" applyBorder="1" applyAlignment="1">
      <alignment horizontal="center" vertical="center"/>
    </xf>
    <xf numFmtId="0" fontId="5" fillId="26" borderId="10" xfId="0" applyFont="1" applyFill="1" applyBorder="1" applyAlignment="1">
      <alignment horizontal="center" vertical="center"/>
    </xf>
    <xf numFmtId="0" fontId="0" fillId="2" borderId="13" xfId="0" applyFont="1" applyFill="1" applyBorder="1" applyAlignment="1">
      <alignment horizontal="center" vertical="center"/>
    </xf>
    <xf numFmtId="0" fontId="5" fillId="27" borderId="10" xfId="0" applyFont="1" applyFill="1" applyBorder="1" applyAlignment="1">
      <alignment horizontal="center" vertical="center"/>
    </xf>
    <xf numFmtId="0" fontId="5" fillId="3" borderId="11" xfId="0" applyFont="1" applyFill="1" applyBorder="1" applyAlignment="1">
      <alignment horizontal="center" vertical="center"/>
    </xf>
    <xf numFmtId="0" fontId="22" fillId="4" borderId="10" xfId="0" applyFont="1" applyFill="1" applyBorder="1" applyAlignment="1">
      <alignment horizontal="center" vertical="center"/>
    </xf>
    <xf numFmtId="0" fontId="0" fillId="4" borderId="13" xfId="0" applyFont="1" applyFill="1" applyBorder="1" applyAlignment="1">
      <alignment horizontal="center" vertical="center"/>
    </xf>
    <xf numFmtId="0" fontId="0" fillId="4" borderId="10" xfId="0" applyFont="1" applyFill="1" applyBorder="1" applyAlignment="1">
      <alignment horizontal="center" vertical="center"/>
    </xf>
    <xf numFmtId="0" fontId="0" fillId="6" borderId="11" xfId="0" applyFont="1" applyFill="1" applyBorder="1" applyAlignment="1">
      <alignment horizontal="center" vertical="center"/>
    </xf>
    <xf numFmtId="0" fontId="0" fillId="2" borderId="10" xfId="0" applyFill="1" applyBorder="1" applyAlignment="1">
      <alignment horizontal="center" vertical="center"/>
    </xf>
    <xf numFmtId="0" fontId="0" fillId="16" borderId="13" xfId="0" applyFill="1" applyBorder="1" applyAlignment="1">
      <alignment horizontal="center" vertical="center"/>
    </xf>
    <xf numFmtId="0" fontId="0" fillId="16" borderId="11" xfId="0" applyFill="1" applyBorder="1" applyAlignment="1">
      <alignment horizontal="center" vertical="center"/>
    </xf>
    <xf numFmtId="0" fontId="0" fillId="16" borderId="10" xfId="0" applyFill="1" applyBorder="1" applyAlignment="1">
      <alignment horizontal="center" vertical="center"/>
    </xf>
    <xf numFmtId="0" fontId="0" fillId="16" borderId="51" xfId="0" applyFill="1" applyBorder="1" applyAlignment="1">
      <alignment horizontal="center" vertical="center"/>
    </xf>
    <xf numFmtId="0" fontId="5" fillId="16" borderId="10" xfId="0" applyFont="1" applyFill="1" applyBorder="1" applyAlignment="1">
      <alignment horizontal="center" vertical="center"/>
    </xf>
    <xf numFmtId="0" fontId="0" fillId="16" borderId="15" xfId="0" applyFill="1" applyBorder="1" applyAlignment="1">
      <alignment horizontal="center" vertical="center"/>
    </xf>
    <xf numFmtId="0" fontId="0" fillId="4" borderId="10" xfId="0" applyFont="1" applyFill="1" applyBorder="1" applyAlignment="1">
      <alignment horizontal="center" vertical="center"/>
    </xf>
    <xf numFmtId="0" fontId="5" fillId="27" borderId="13" xfId="0" applyFont="1" applyFill="1" applyBorder="1" applyAlignment="1">
      <alignment horizontal="center" vertical="center"/>
    </xf>
    <xf numFmtId="0" fontId="0" fillId="3" borderId="1" xfId="0" applyFill="1" applyBorder="1" applyAlignment="1">
      <alignment horizontal="center" vertical="center"/>
    </xf>
    <xf numFmtId="0" fontId="20" fillId="18" borderId="37" xfId="0" applyFont="1" applyFill="1" applyBorder="1" applyAlignment="1">
      <alignment horizontal="center" vertical="center"/>
    </xf>
    <xf numFmtId="0" fontId="35" fillId="16" borderId="10" xfId="0" applyFont="1" applyFill="1" applyBorder="1" applyAlignment="1">
      <alignment horizontal="center" vertical="center"/>
    </xf>
    <xf numFmtId="0" fontId="0" fillId="6" borderId="52" xfId="0" applyFont="1" applyFill="1" applyBorder="1" applyAlignment="1">
      <alignment horizontal="center" vertical="center"/>
    </xf>
    <xf numFmtId="0" fontId="5" fillId="28" borderId="52" xfId="0" applyFont="1" applyFill="1" applyBorder="1" applyAlignment="1">
      <alignment horizontal="center" vertical="center"/>
    </xf>
    <xf numFmtId="0" fontId="19" fillId="2" borderId="10" xfId="0" applyFont="1" applyFill="1" applyBorder="1" applyAlignment="1">
      <alignment horizontal="center" vertical="center"/>
    </xf>
    <xf numFmtId="0" fontId="37" fillId="4" borderId="10" xfId="0" applyFont="1" applyFill="1" applyBorder="1" applyAlignment="1">
      <alignment horizontal="center" vertical="center"/>
    </xf>
    <xf numFmtId="0" fontId="0" fillId="10" borderId="13" xfId="0" applyFill="1" applyBorder="1" applyAlignment="1">
      <alignment horizontal="center" vertical="center"/>
    </xf>
    <xf numFmtId="0" fontId="0" fillId="19" borderId="10" xfId="0" applyFill="1" applyBorder="1" applyAlignment="1">
      <alignment horizontal="center" vertical="center"/>
    </xf>
    <xf numFmtId="0" fontId="0" fillId="4" borderId="0" xfId="0" applyFill="1" applyAlignment="1">
      <alignment horizontal="center" vertical="center"/>
    </xf>
    <xf numFmtId="0" fontId="0" fillId="29" borderId="13" xfId="0" applyFont="1" applyFill="1" applyBorder="1" applyAlignment="1">
      <alignment horizontal="center" vertical="center"/>
    </xf>
    <xf numFmtId="0" fontId="40" fillId="3" borderId="11" xfId="0" applyFont="1" applyFill="1" applyBorder="1" applyAlignment="1">
      <alignment horizontal="center" vertical="center"/>
    </xf>
    <xf numFmtId="0" fontId="41" fillId="0" borderId="0" xfId="0" applyFont="1" applyFill="1" applyAlignment="1">
      <alignment horizontal="center" vertical="center"/>
    </xf>
    <xf numFmtId="0" fontId="42" fillId="0" borderId="0" xfId="0" applyFont="1" applyAlignment="1">
      <alignment horizontal="center" vertical="center"/>
    </xf>
    <xf numFmtId="0" fontId="0" fillId="4" borderId="52" xfId="0" applyFont="1" applyFill="1" applyBorder="1" applyAlignment="1">
      <alignment horizontal="center" vertical="center"/>
    </xf>
    <xf numFmtId="0" fontId="0" fillId="4" borderId="1" xfId="0" applyFont="1" applyFill="1" applyBorder="1" applyAlignment="1">
      <alignment horizontal="center" vertical="top"/>
    </xf>
    <xf numFmtId="0" fontId="22" fillId="2" borderId="10" xfId="0" applyFont="1" applyFill="1" applyBorder="1" applyAlignment="1">
      <alignment horizontal="center" vertical="center"/>
    </xf>
    <xf numFmtId="0" fontId="43" fillId="4" borderId="10" xfId="0" applyFont="1" applyFill="1" applyBorder="1" applyAlignment="1">
      <alignment horizontal="center" vertical="center"/>
    </xf>
    <xf numFmtId="0" fontId="0" fillId="4" borderId="10"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27" xfId="0" applyFont="1" applyFill="1" applyBorder="1" applyAlignment="1">
      <alignment horizontal="center" vertical="center"/>
    </xf>
    <xf numFmtId="0" fontId="5" fillId="24" borderId="28" xfId="0" applyFont="1" applyFill="1" applyBorder="1" applyAlignment="1">
      <alignment horizontal="center" vertical="center"/>
    </xf>
    <xf numFmtId="0" fontId="5" fillId="24" borderId="38" xfId="0" applyFont="1" applyFill="1" applyBorder="1" applyAlignment="1">
      <alignment horizontal="center" vertical="center"/>
    </xf>
    <xf numFmtId="0" fontId="19" fillId="7" borderId="19" xfId="0" applyFont="1" applyFill="1" applyBorder="1" applyAlignment="1">
      <alignment horizontal="right" vertical="center"/>
    </xf>
    <xf numFmtId="0" fontId="5" fillId="4" borderId="54" xfId="0" applyFont="1" applyFill="1" applyBorder="1" applyAlignment="1">
      <alignment horizontal="center" vertical="center"/>
    </xf>
    <xf numFmtId="0" fontId="5" fillId="6" borderId="51" xfId="0" applyFont="1" applyFill="1" applyBorder="1" applyAlignment="1">
      <alignment horizontal="center" vertical="center"/>
    </xf>
    <xf numFmtId="0" fontId="5" fillId="4" borderId="51" xfId="0" applyFont="1" applyFill="1" applyBorder="1" applyAlignment="1">
      <alignment horizontal="center" vertical="center"/>
    </xf>
    <xf numFmtId="0" fontId="36" fillId="4" borderId="10" xfId="0" applyFont="1" applyFill="1" applyBorder="1" applyAlignment="1">
      <alignment horizontal="center" vertical="center"/>
    </xf>
    <xf numFmtId="0" fontId="5" fillId="6" borderId="18" xfId="0" applyFont="1"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23" fillId="4" borderId="46" xfId="0" applyFont="1" applyFill="1" applyBorder="1" applyAlignment="1">
      <alignment horizontal="center" vertical="top"/>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19" fillId="7" borderId="2" xfId="0" applyFont="1" applyFill="1" applyBorder="1" applyAlignment="1">
      <alignment horizontal="center" vertical="center"/>
    </xf>
    <xf numFmtId="0" fontId="0" fillId="4" borderId="1" xfId="0" applyFont="1" applyFill="1" applyBorder="1" applyAlignment="1">
      <alignment horizontal="center" vertical="center"/>
    </xf>
    <xf numFmtId="0" fontId="5" fillId="4" borderId="52" xfId="0" applyFont="1" applyFill="1" applyBorder="1" applyAlignment="1">
      <alignment horizontal="center" vertical="center"/>
    </xf>
    <xf numFmtId="0" fontId="0" fillId="25" borderId="10" xfId="0" applyFill="1" applyBorder="1" applyAlignment="1">
      <alignment horizontal="center" vertical="center"/>
    </xf>
    <xf numFmtId="0" fontId="0" fillId="10" borderId="10" xfId="0" applyFill="1" applyBorder="1" applyAlignment="1">
      <alignment horizontal="center" vertical="center"/>
    </xf>
    <xf numFmtId="0" fontId="25" fillId="4" borderId="13" xfId="0" applyFont="1" applyFill="1" applyBorder="1" applyAlignment="1">
      <alignment horizontal="center" vertical="center"/>
    </xf>
    <xf numFmtId="0" fontId="0" fillId="8" borderId="38" xfId="0" applyFill="1" applyBorder="1" applyAlignment="1">
      <alignment horizontal="center" vertical="center"/>
    </xf>
    <xf numFmtId="0" fontId="0" fillId="4" borderId="28" xfId="0" applyFont="1" applyFill="1" applyBorder="1" applyAlignment="1">
      <alignment horizontal="center" vertical="center"/>
    </xf>
    <xf numFmtId="0" fontId="0" fillId="4" borderId="38" xfId="0" applyFont="1" applyFill="1" applyBorder="1" applyAlignment="1">
      <alignment horizontal="center" vertical="center"/>
    </xf>
    <xf numFmtId="0" fontId="0" fillId="0" borderId="13" xfId="0" applyBorder="1"/>
    <xf numFmtId="0" fontId="31" fillId="2" borderId="13" xfId="0" applyFont="1" applyFill="1" applyBorder="1" applyAlignment="1">
      <alignment horizontal="center" vertical="center"/>
    </xf>
    <xf numFmtId="0" fontId="0" fillId="30" borderId="10" xfId="0" applyFill="1" applyBorder="1" applyAlignment="1">
      <alignment horizontal="center" vertical="center"/>
    </xf>
    <xf numFmtId="0" fontId="0" fillId="4" borderId="11" xfId="0" applyFill="1" applyBorder="1" applyAlignment="1">
      <alignment horizontal="center"/>
    </xf>
    <xf numFmtId="0" fontId="5" fillId="4" borderId="10" xfId="0" applyFont="1" applyFill="1" applyBorder="1" applyAlignment="1">
      <alignment horizontal="center"/>
    </xf>
    <xf numFmtId="0" fontId="0" fillId="6" borderId="38" xfId="0" applyFont="1" applyFill="1" applyBorder="1" applyAlignment="1">
      <alignment horizontal="center" vertical="center"/>
    </xf>
    <xf numFmtId="0" fontId="7" fillId="2" borderId="41" xfId="0" applyFont="1" applyFill="1" applyBorder="1" applyAlignment="1" applyProtection="1">
      <alignment horizontal="center" vertical="center"/>
    </xf>
    <xf numFmtId="0" fontId="7" fillId="3" borderId="51" xfId="0" applyFont="1" applyFill="1" applyBorder="1" applyAlignment="1" applyProtection="1">
      <alignment horizontal="center" vertical="center"/>
    </xf>
    <xf numFmtId="0" fontId="20" fillId="0" borderId="51" xfId="0" applyFont="1" applyBorder="1" applyAlignment="1">
      <alignment horizontal="center" vertical="center"/>
    </xf>
    <xf numFmtId="0" fontId="14" fillId="0" borderId="42" xfId="0" applyFont="1" applyBorder="1" applyAlignment="1">
      <alignment horizontal="center"/>
    </xf>
    <xf numFmtId="0" fontId="7" fillId="4" borderId="4" xfId="0" applyFont="1" applyFill="1" applyBorder="1" applyAlignment="1" applyProtection="1">
      <alignment horizontal="center" vertical="center"/>
      <protection locked="0"/>
    </xf>
    <xf numFmtId="0" fontId="0" fillId="3" borderId="11" xfId="0" applyFill="1" applyBorder="1" applyAlignment="1">
      <alignment horizontal="center" vertical="center"/>
    </xf>
    <xf numFmtId="0" fontId="0" fillId="4" borderId="43" xfId="0" applyFill="1" applyBorder="1" applyAlignment="1">
      <alignment horizontal="center" vertical="center"/>
    </xf>
    <xf numFmtId="0" fontId="5" fillId="24" borderId="46" xfId="0" applyFont="1" applyFill="1" applyBorder="1" applyAlignment="1">
      <alignment horizontal="center"/>
    </xf>
    <xf numFmtId="0" fontId="5" fillId="24" borderId="17" xfId="0" applyFont="1" applyFill="1" applyBorder="1" applyAlignment="1">
      <alignment horizontal="center"/>
    </xf>
    <xf numFmtId="0" fontId="0" fillId="6" borderId="13" xfId="0" applyFont="1" applyFill="1" applyBorder="1" applyAlignment="1">
      <alignment horizontal="center" vertical="center"/>
    </xf>
    <xf numFmtId="0" fontId="0" fillId="24" borderId="39" xfId="0" applyFill="1" applyBorder="1" applyAlignment="1">
      <alignment horizontal="center" vertical="center"/>
    </xf>
    <xf numFmtId="0" fontId="45" fillId="2" borderId="1" xfId="0" applyFont="1" applyFill="1" applyBorder="1" applyAlignment="1">
      <alignment horizontal="center" vertical="center"/>
    </xf>
    <xf numFmtId="0" fontId="47" fillId="4" borderId="51" xfId="0" applyFont="1" applyFill="1" applyBorder="1" applyAlignment="1">
      <alignment horizontal="center" vertical="top"/>
    </xf>
    <xf numFmtId="0" fontId="32" fillId="4" borderId="46" xfId="0" applyFont="1" applyFill="1" applyBorder="1" applyAlignment="1">
      <alignment horizontal="left"/>
    </xf>
    <xf numFmtId="0" fontId="17" fillId="4" borderId="11" xfId="0" applyFont="1" applyFill="1" applyBorder="1" applyAlignment="1">
      <alignment horizontal="center"/>
    </xf>
    <xf numFmtId="0" fontId="31" fillId="4" borderId="10" xfId="0" applyFont="1" applyFill="1" applyBorder="1" applyAlignment="1">
      <alignment horizontal="left"/>
    </xf>
    <xf numFmtId="0" fontId="32" fillId="4" borderId="10" xfId="0" applyFont="1" applyFill="1" applyBorder="1" applyAlignment="1">
      <alignment horizontal="left"/>
    </xf>
    <xf numFmtId="0" fontId="17" fillId="4" borderId="4" xfId="0" applyFont="1" applyFill="1" applyBorder="1" applyAlignment="1">
      <alignment horizontal="center"/>
    </xf>
    <xf numFmtId="0" fontId="17" fillId="4" borderId="51" xfId="0" applyFont="1" applyFill="1" applyBorder="1" applyAlignment="1">
      <alignment horizontal="center"/>
    </xf>
    <xf numFmtId="0" fontId="31" fillId="4" borderId="51" xfId="0" applyFont="1" applyFill="1" applyBorder="1" applyAlignment="1">
      <alignment horizontal="left"/>
    </xf>
    <xf numFmtId="0" fontId="14" fillId="4" borderId="10" xfId="0" applyFont="1" applyFill="1" applyBorder="1" applyAlignment="1">
      <alignment horizontal="center"/>
    </xf>
    <xf numFmtId="0" fontId="31" fillId="4" borderId="51" xfId="0" applyFont="1" applyFill="1" applyBorder="1" applyAlignment="1">
      <alignment horizontal="center" vertical="top"/>
    </xf>
    <xf numFmtId="0" fontId="5" fillId="4" borderId="46" xfId="0" applyFont="1" applyFill="1" applyBorder="1" applyAlignment="1">
      <alignment horizontal="center"/>
    </xf>
    <xf numFmtId="0" fontId="5" fillId="4" borderId="17" xfId="0" applyFont="1" applyFill="1" applyBorder="1" applyAlignment="1">
      <alignment horizontal="center"/>
    </xf>
    <xf numFmtId="0" fontId="14" fillId="4" borderId="46" xfId="0" applyFont="1" applyFill="1" applyBorder="1" applyAlignment="1">
      <alignment horizontal="center"/>
    </xf>
    <xf numFmtId="0" fontId="0" fillId="4" borderId="10" xfId="0" applyFont="1" applyFill="1" applyBorder="1" applyAlignment="1">
      <alignment horizontal="center" vertical="center"/>
    </xf>
    <xf numFmtId="0" fontId="0" fillId="2" borderId="11" xfId="0" applyFill="1" applyBorder="1" applyAlignment="1">
      <alignment horizontal="center" vertical="center"/>
    </xf>
    <xf numFmtId="0" fontId="0" fillId="4" borderId="10" xfId="0" applyFont="1" applyFill="1" applyBorder="1" applyAlignment="1">
      <alignment horizontal="center" vertical="center"/>
    </xf>
    <xf numFmtId="0" fontId="20" fillId="24" borderId="1" xfId="0" applyFont="1" applyFill="1" applyBorder="1" applyAlignment="1" applyProtection="1">
      <alignment horizontal="center" vertical="center"/>
      <protection locked="0"/>
    </xf>
    <xf numFmtId="0" fontId="20" fillId="4" borderId="1" xfId="0" applyFont="1" applyFill="1" applyBorder="1" applyAlignment="1" applyProtection="1">
      <alignment horizontal="center" vertical="center"/>
      <protection locked="0"/>
    </xf>
    <xf numFmtId="0" fontId="20" fillId="2" borderId="13" xfId="0" applyFont="1" applyFill="1" applyBorder="1" applyAlignment="1">
      <alignment horizontal="center" vertical="center"/>
    </xf>
    <xf numFmtId="0" fontId="0" fillId="24" borderId="37" xfId="0" applyFont="1" applyFill="1" applyBorder="1" applyAlignment="1">
      <alignment horizontal="center" vertical="center"/>
    </xf>
    <xf numFmtId="0" fontId="0" fillId="18" borderId="10" xfId="0" applyFill="1" applyBorder="1" applyAlignment="1">
      <alignment horizontal="center" vertical="center"/>
    </xf>
    <xf numFmtId="0" fontId="0" fillId="18" borderId="11" xfId="0" applyFill="1" applyBorder="1" applyAlignment="1">
      <alignment horizontal="center" vertical="center"/>
    </xf>
    <xf numFmtId="0" fontId="22" fillId="18" borderId="1" xfId="0" applyFont="1" applyFill="1" applyBorder="1" applyAlignment="1">
      <alignment horizontal="center" vertical="center"/>
    </xf>
    <xf numFmtId="0" fontId="0" fillId="18" borderId="51" xfId="0" applyFill="1" applyBorder="1" applyAlignment="1">
      <alignment horizontal="center" vertical="center"/>
    </xf>
    <xf numFmtId="0" fontId="0" fillId="18" borderId="13" xfId="0" applyFill="1" applyBorder="1" applyAlignment="1">
      <alignment horizontal="center" vertical="center"/>
    </xf>
    <xf numFmtId="0" fontId="0" fillId="18" borderId="15" xfId="0" applyFill="1" applyBorder="1" applyAlignment="1">
      <alignment horizontal="center" vertical="center"/>
    </xf>
    <xf numFmtId="0" fontId="0" fillId="18" borderId="37" xfId="0" applyFill="1" applyBorder="1" applyAlignment="1">
      <alignment horizontal="center" vertical="center"/>
    </xf>
    <xf numFmtId="0" fontId="0" fillId="18" borderId="1" xfId="0" applyFill="1" applyBorder="1"/>
    <xf numFmtId="0" fontId="17" fillId="6" borderId="52" xfId="0" applyFont="1" applyFill="1" applyBorder="1" applyAlignment="1">
      <alignment horizontal="center" vertical="center"/>
    </xf>
    <xf numFmtId="0" fontId="20" fillId="2" borderId="36" xfId="0" applyFont="1" applyFill="1" applyBorder="1" applyAlignment="1" applyProtection="1">
      <alignment horizontal="center" vertical="center"/>
    </xf>
    <xf numFmtId="0" fontId="20" fillId="2" borderId="23" xfId="0" applyFont="1" applyFill="1" applyBorder="1" applyAlignment="1" applyProtection="1">
      <alignment horizontal="center" vertical="center"/>
    </xf>
    <xf numFmtId="0" fontId="31" fillId="0" borderId="0" xfId="0" applyFont="1"/>
    <xf numFmtId="0" fontId="20" fillId="16" borderId="13" xfId="0" applyFont="1" applyFill="1" applyBorder="1" applyAlignment="1">
      <alignment horizontal="center" vertical="center"/>
    </xf>
    <xf numFmtId="0" fontId="0" fillId="4" borderId="10" xfId="0" applyFont="1" applyFill="1" applyBorder="1" applyAlignment="1">
      <alignment horizontal="center" vertical="center"/>
    </xf>
    <xf numFmtId="0" fontId="31" fillId="15" borderId="51" xfId="0" applyFont="1" applyFill="1" applyBorder="1" applyAlignment="1">
      <alignment horizontal="center" vertical="top"/>
    </xf>
    <xf numFmtId="0" fontId="0" fillId="4" borderId="10" xfId="0" applyFont="1" applyFill="1" applyBorder="1" applyAlignment="1">
      <alignment horizontal="center" vertical="center"/>
    </xf>
    <xf numFmtId="0" fontId="20" fillId="2" borderId="10" xfId="0" applyFont="1" applyFill="1" applyBorder="1" applyAlignment="1">
      <alignment horizontal="center" vertical="center"/>
    </xf>
    <xf numFmtId="0" fontId="50" fillId="2" borderId="13" xfId="0" applyFont="1" applyFill="1" applyBorder="1" applyAlignment="1">
      <alignment horizontal="center" vertical="center"/>
    </xf>
    <xf numFmtId="0" fontId="20" fillId="2" borderId="1" xfId="0" applyFont="1" applyFill="1" applyBorder="1" applyAlignment="1">
      <alignment horizontal="center" vertical="center"/>
    </xf>
    <xf numFmtId="0" fontId="50" fillId="4" borderId="10" xfId="0" applyFont="1" applyFill="1" applyBorder="1" applyAlignment="1">
      <alignment horizontal="center" vertical="center"/>
    </xf>
    <xf numFmtId="0" fontId="20" fillId="10" borderId="13" xfId="0" applyFont="1" applyFill="1" applyBorder="1" applyAlignment="1">
      <alignment horizontal="center" vertical="center"/>
    </xf>
    <xf numFmtId="0" fontId="50" fillId="2" borderId="1" xfId="0" applyFont="1" applyFill="1" applyBorder="1" applyAlignment="1">
      <alignment horizontal="center" vertical="center"/>
    </xf>
    <xf numFmtId="0" fontId="20" fillId="31" borderId="10" xfId="0" applyFont="1" applyFill="1" applyBorder="1" applyAlignment="1">
      <alignment horizontal="center" vertical="center"/>
    </xf>
    <xf numFmtId="0" fontId="20" fillId="6" borderId="64" xfId="0" applyFont="1" applyFill="1" applyBorder="1" applyAlignment="1">
      <alignment horizontal="center" vertical="center"/>
    </xf>
    <xf numFmtId="0" fontId="20" fillId="6" borderId="17" xfId="0" applyFont="1" applyFill="1" applyBorder="1" applyAlignment="1">
      <alignment horizontal="center" vertical="center"/>
    </xf>
    <xf numFmtId="0" fontId="20" fillId="4" borderId="17" xfId="0" applyFont="1" applyFill="1" applyBorder="1" applyAlignment="1">
      <alignment horizontal="center" vertical="center"/>
    </xf>
    <xf numFmtId="0" fontId="8" fillId="4" borderId="1" xfId="0" applyFont="1" applyFill="1" applyBorder="1" applyAlignment="1">
      <alignment horizontal="center" vertical="center"/>
    </xf>
    <xf numFmtId="0" fontId="20" fillId="2" borderId="51" xfId="0" applyFont="1" applyFill="1" applyBorder="1" applyAlignment="1">
      <alignment horizontal="center" vertical="top"/>
    </xf>
    <xf numFmtId="0" fontId="20" fillId="14" borderId="10" xfId="0" applyFont="1" applyFill="1" applyBorder="1" applyAlignment="1">
      <alignment horizontal="center" vertical="center"/>
    </xf>
    <xf numFmtId="0" fontId="20" fillId="10" borderId="10" xfId="0" applyFont="1" applyFill="1" applyBorder="1" applyAlignment="1">
      <alignment horizontal="center" vertical="center"/>
    </xf>
    <xf numFmtId="0" fontId="0" fillId="10" borderId="10" xfId="0" applyFont="1" applyFill="1" applyBorder="1" applyAlignment="1">
      <alignment horizontal="center" vertical="center"/>
    </xf>
    <xf numFmtId="0" fontId="20" fillId="26" borderId="13" xfId="0" applyFont="1" applyFill="1" applyBorder="1" applyAlignment="1">
      <alignment horizontal="center" vertical="center"/>
    </xf>
    <xf numFmtId="0" fontId="0" fillId="10" borderId="9" xfId="0" applyFill="1" applyBorder="1" applyAlignment="1">
      <alignment horizontal="center" vertical="center"/>
    </xf>
    <xf numFmtId="0" fontId="0" fillId="10" borderId="40" xfId="0" applyFill="1" applyBorder="1" applyAlignment="1">
      <alignment horizontal="center" vertical="center"/>
    </xf>
    <xf numFmtId="0" fontId="0" fillId="10" borderId="15" xfId="0" applyFill="1" applyBorder="1" applyAlignment="1">
      <alignment horizontal="center" vertical="center"/>
    </xf>
    <xf numFmtId="0" fontId="4" fillId="2" borderId="2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6" fillId="0" borderId="24" xfId="0" applyFont="1" applyBorder="1" applyAlignment="1">
      <alignment horizontal="center" vertical="center"/>
    </xf>
    <xf numFmtId="0" fontId="4" fillId="2" borderId="34" xfId="0" applyFont="1" applyFill="1" applyBorder="1" applyAlignment="1">
      <alignment horizontal="center" vertical="center"/>
    </xf>
    <xf numFmtId="0" fontId="6" fillId="0" borderId="23" xfId="0" applyFont="1" applyBorder="1" applyAlignment="1">
      <alignment horizontal="center" vertical="center"/>
    </xf>
    <xf numFmtId="0" fontId="6" fillId="0" borderId="34" xfId="0" applyFont="1" applyBorder="1" applyAlignment="1">
      <alignment horizontal="center" vertical="center"/>
    </xf>
    <xf numFmtId="0" fontId="5" fillId="23" borderId="25" xfId="0" applyFont="1" applyFill="1" applyBorder="1" applyAlignment="1">
      <alignment horizontal="center" vertical="center"/>
    </xf>
    <xf numFmtId="0" fontId="5" fillId="23" borderId="26" xfId="0" applyFont="1" applyFill="1" applyBorder="1" applyAlignment="1">
      <alignment horizontal="center" vertical="center"/>
    </xf>
    <xf numFmtId="0" fontId="5" fillId="23" borderId="49" xfId="0" applyFont="1" applyFill="1" applyBorder="1" applyAlignment="1">
      <alignment horizontal="center" vertical="center"/>
    </xf>
    <xf numFmtId="0" fontId="5" fillId="23" borderId="50" xfId="0" applyFont="1" applyFill="1" applyBorder="1" applyAlignment="1">
      <alignment horizontal="center" vertical="center"/>
    </xf>
    <xf numFmtId="0" fontId="15" fillId="15" borderId="25" xfId="2" applyFill="1" applyBorder="1" applyAlignment="1">
      <alignment horizontal="center" vertical="center"/>
    </xf>
    <xf numFmtId="0" fontId="5" fillId="15" borderId="27" xfId="0" applyFont="1" applyFill="1" applyBorder="1" applyAlignment="1">
      <alignment horizontal="center" vertical="center"/>
    </xf>
    <xf numFmtId="0" fontId="15" fillId="15" borderId="27" xfId="2" applyFill="1" applyBorder="1" applyAlignment="1">
      <alignment horizontal="center" vertical="center"/>
    </xf>
    <xf numFmtId="0" fontId="18" fillId="15" borderId="27" xfId="2" applyFont="1" applyFill="1" applyBorder="1" applyAlignment="1">
      <alignment horizontal="center" vertical="center"/>
    </xf>
    <xf numFmtId="0" fontId="15" fillId="15" borderId="23" xfId="2" applyFill="1" applyBorder="1" applyAlignment="1">
      <alignment horizontal="center" vertical="center"/>
    </xf>
    <xf numFmtId="0" fontId="15" fillId="15" borderId="34" xfId="2" applyFill="1" applyBorder="1" applyAlignment="1">
      <alignment horizontal="center" vertical="center"/>
    </xf>
    <xf numFmtId="0" fontId="15" fillId="15" borderId="49" xfId="2" applyFill="1" applyBorder="1" applyAlignment="1">
      <alignment horizontal="center" vertical="center"/>
    </xf>
    <xf numFmtId="0" fontId="15" fillId="15" borderId="50" xfId="2" applyFill="1" applyBorder="1" applyAlignment="1">
      <alignment horizontal="center" vertical="center"/>
    </xf>
    <xf numFmtId="0" fontId="15" fillId="15" borderId="26" xfId="2" applyFill="1" applyBorder="1" applyAlignment="1">
      <alignment horizontal="center" vertical="center"/>
    </xf>
    <xf numFmtId="0" fontId="15" fillId="18" borderId="25" xfId="2" applyFill="1" applyBorder="1" applyAlignment="1">
      <alignment horizontal="center" vertical="center"/>
    </xf>
    <xf numFmtId="0" fontId="15" fillId="18" borderId="50" xfId="2" applyFill="1" applyBorder="1" applyAlignment="1">
      <alignment horizontal="center" vertical="center"/>
    </xf>
    <xf numFmtId="0" fontId="15" fillId="7" borderId="25" xfId="2" applyFill="1" applyBorder="1" applyAlignment="1">
      <alignment horizontal="center" vertical="center"/>
    </xf>
    <xf numFmtId="0" fontId="15" fillId="7" borderId="27" xfId="2" applyFill="1" applyBorder="1" applyAlignment="1">
      <alignment horizontal="center" vertical="center"/>
    </xf>
    <xf numFmtId="0" fontId="21" fillId="2" borderId="21" xfId="0" applyFont="1" applyFill="1" applyBorder="1" applyAlignment="1">
      <alignment horizontal="center" vertical="center"/>
    </xf>
    <xf numFmtId="0" fontId="21" fillId="2" borderId="19" xfId="0" applyFont="1" applyFill="1" applyBorder="1" applyAlignment="1">
      <alignment horizontal="center" vertical="center"/>
    </xf>
    <xf numFmtId="0" fontId="21" fillId="2" borderId="20" xfId="0" applyFont="1" applyFill="1" applyBorder="1" applyAlignment="1">
      <alignment horizontal="center" vertical="center"/>
    </xf>
    <xf numFmtId="0" fontId="21" fillId="2" borderId="22" xfId="0" applyFont="1" applyFill="1" applyBorder="1" applyAlignment="1">
      <alignment horizontal="center" vertical="center"/>
    </xf>
    <xf numFmtId="0" fontId="21" fillId="2" borderId="0" xfId="0" applyFont="1" applyFill="1" applyBorder="1" applyAlignment="1">
      <alignment horizontal="center" vertical="center"/>
    </xf>
    <xf numFmtId="0" fontId="21" fillId="2" borderId="35" xfId="0" applyFont="1" applyFill="1" applyBorder="1" applyAlignment="1">
      <alignment horizontal="center" vertical="center"/>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34" xfId="0" applyFont="1" applyFill="1" applyBorder="1" applyAlignment="1">
      <alignment horizontal="center" vertical="center"/>
    </xf>
    <xf numFmtId="0" fontId="5" fillId="15" borderId="19" xfId="0" applyFont="1" applyFill="1" applyBorder="1" applyAlignment="1">
      <alignment horizontal="center" vertical="center"/>
    </xf>
    <xf numFmtId="0" fontId="5" fillId="15" borderId="20" xfId="0" applyFont="1" applyFill="1" applyBorder="1" applyAlignment="1">
      <alignment horizontal="center" vertical="center"/>
    </xf>
    <xf numFmtId="0" fontId="5" fillId="15" borderId="21" xfId="0" applyFont="1" applyFill="1" applyBorder="1" applyAlignment="1">
      <alignment horizontal="center" vertical="center"/>
    </xf>
    <xf numFmtId="0" fontId="5" fillId="7" borderId="21" xfId="0" applyFont="1" applyFill="1" applyBorder="1" applyAlignment="1">
      <alignment horizontal="center" vertical="center"/>
    </xf>
    <xf numFmtId="0" fontId="5" fillId="7" borderId="19" xfId="0" applyFont="1" applyFill="1" applyBorder="1" applyAlignment="1">
      <alignment horizontal="center" vertical="center"/>
    </xf>
    <xf numFmtId="0" fontId="5" fillId="16" borderId="21" xfId="0" applyFont="1" applyFill="1" applyBorder="1" applyAlignment="1">
      <alignment horizontal="center" vertical="center"/>
    </xf>
    <xf numFmtId="0" fontId="5" fillId="16" borderId="20" xfId="0" applyFont="1" applyFill="1" applyBorder="1" applyAlignment="1">
      <alignment horizontal="center" vertical="center"/>
    </xf>
    <xf numFmtId="0" fontId="5" fillId="16" borderId="19" xfId="0" applyFont="1" applyFill="1" applyBorder="1" applyAlignment="1">
      <alignment horizontal="center" vertical="center"/>
    </xf>
    <xf numFmtId="0" fontId="5" fillId="16" borderId="25" xfId="0" applyFont="1" applyFill="1" applyBorder="1" applyAlignment="1">
      <alignment horizontal="center" vertical="center"/>
    </xf>
    <xf numFmtId="0" fontId="5" fillId="16" borderId="27" xfId="0" applyFont="1" applyFill="1" applyBorder="1" applyAlignment="1">
      <alignment horizontal="center" vertical="center"/>
    </xf>
    <xf numFmtId="0" fontId="5" fillId="15" borderId="25" xfId="0" applyFont="1" applyFill="1" applyBorder="1" applyAlignment="1">
      <alignment horizontal="center" vertical="center"/>
    </xf>
    <xf numFmtId="0" fontId="5" fillId="15" borderId="25" xfId="0" applyFont="1" applyFill="1" applyBorder="1" applyAlignment="1">
      <alignment horizontal="right"/>
    </xf>
    <xf numFmtId="0" fontId="5" fillId="15" borderId="27" xfId="0" applyFont="1" applyFill="1" applyBorder="1" applyAlignment="1">
      <alignment horizontal="right"/>
    </xf>
    <xf numFmtId="0" fontId="5" fillId="15" borderId="3" xfId="0" applyFont="1" applyFill="1" applyBorder="1" applyAlignment="1">
      <alignment horizontal="center" vertical="center"/>
    </xf>
    <xf numFmtId="0" fontId="5" fillId="15" borderId="4"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27" xfId="0" applyFont="1" applyFill="1" applyBorder="1" applyAlignment="1">
      <alignment horizontal="center" vertical="center"/>
    </xf>
    <xf numFmtId="0" fontId="5" fillId="23" borderId="27" xfId="0" applyFont="1" applyFill="1" applyBorder="1" applyAlignment="1">
      <alignment horizontal="center" vertical="center"/>
    </xf>
    <xf numFmtId="0" fontId="5" fillId="19" borderId="25" xfId="0" applyFont="1" applyFill="1" applyBorder="1" applyAlignment="1">
      <alignment horizontal="center" vertical="center"/>
    </xf>
    <xf numFmtId="0" fontId="5" fillId="19" borderId="26" xfId="0" applyFont="1" applyFill="1" applyBorder="1" applyAlignment="1">
      <alignment horizontal="center" vertical="center"/>
    </xf>
    <xf numFmtId="0" fontId="5" fillId="19" borderId="47" xfId="0" applyFont="1" applyFill="1" applyBorder="1" applyAlignment="1">
      <alignment horizontal="center" vertical="center"/>
    </xf>
    <xf numFmtId="0" fontId="5" fillId="19" borderId="49" xfId="0" applyFont="1" applyFill="1" applyBorder="1" applyAlignment="1">
      <alignment horizontal="center" vertical="center"/>
    </xf>
    <xf numFmtId="0" fontId="5" fillId="19" borderId="27" xfId="0" applyFont="1" applyFill="1" applyBorder="1" applyAlignment="1">
      <alignment horizontal="center" vertical="center"/>
    </xf>
    <xf numFmtId="0" fontId="5" fillId="18" borderId="25" xfId="0" applyFont="1" applyFill="1" applyBorder="1" applyAlignment="1">
      <alignment horizontal="center" vertical="center"/>
    </xf>
    <xf numFmtId="0" fontId="5" fillId="18" borderId="26" xfId="0" applyFont="1" applyFill="1" applyBorder="1" applyAlignment="1">
      <alignment horizontal="center" vertical="center"/>
    </xf>
    <xf numFmtId="0" fontId="5" fillId="18" borderId="47" xfId="0" applyFont="1" applyFill="1" applyBorder="1" applyAlignment="1">
      <alignment horizontal="center" vertical="center"/>
    </xf>
    <xf numFmtId="0" fontId="5" fillId="18" borderId="27" xfId="0" applyFont="1" applyFill="1" applyBorder="1" applyAlignment="1">
      <alignment horizontal="center" vertical="center"/>
    </xf>
    <xf numFmtId="0" fontId="5" fillId="5" borderId="21" xfId="0" applyFont="1" applyFill="1" applyBorder="1" applyAlignment="1">
      <alignment horizontal="center" vertical="center"/>
    </xf>
    <xf numFmtId="0" fontId="5" fillId="5" borderId="19" xfId="0" applyFont="1" applyFill="1" applyBorder="1" applyAlignment="1">
      <alignment horizontal="center" vertical="center"/>
    </xf>
    <xf numFmtId="0" fontId="5" fillId="5" borderId="23" xfId="0" applyFont="1" applyFill="1" applyBorder="1" applyAlignment="1">
      <alignment horizontal="center" vertical="center"/>
    </xf>
    <xf numFmtId="0" fontId="5" fillId="5" borderId="24" xfId="0" applyFont="1" applyFill="1" applyBorder="1" applyAlignment="1">
      <alignment horizontal="center" vertical="center"/>
    </xf>
    <xf numFmtId="0" fontId="5" fillId="5" borderId="20" xfId="0" applyFont="1" applyFill="1" applyBorder="1" applyAlignment="1">
      <alignment horizontal="center" vertical="center"/>
    </xf>
    <xf numFmtId="0" fontId="5" fillId="5" borderId="34" xfId="0" applyFont="1" applyFill="1" applyBorder="1" applyAlignment="1">
      <alignment horizontal="center" vertical="center"/>
    </xf>
    <xf numFmtId="0" fontId="5" fillId="4" borderId="21"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23" xfId="0" applyFont="1" applyFill="1" applyBorder="1" applyAlignment="1">
      <alignment horizontal="center" vertical="center"/>
    </xf>
    <xf numFmtId="0" fontId="5" fillId="4" borderId="34" xfId="0" applyFont="1" applyFill="1" applyBorder="1" applyAlignment="1">
      <alignment horizontal="center" vertical="center"/>
    </xf>
    <xf numFmtId="0" fontId="5" fillId="7" borderId="25" xfId="0" applyFont="1" applyFill="1" applyBorder="1" applyAlignment="1">
      <alignment horizontal="center" vertical="center"/>
    </xf>
    <xf numFmtId="0" fontId="5" fillId="15" borderId="26" xfId="0" applyFont="1" applyFill="1" applyBorder="1" applyAlignment="1">
      <alignment horizontal="center" vertical="center"/>
    </xf>
    <xf numFmtId="0" fontId="5" fillId="4" borderId="19" xfId="0" applyFont="1" applyFill="1" applyBorder="1" applyAlignment="1">
      <alignment horizontal="center" vertical="center"/>
    </xf>
    <xf numFmtId="0" fontId="5" fillId="4" borderId="24" xfId="0" applyFont="1" applyFill="1" applyBorder="1" applyAlignment="1">
      <alignment horizontal="center" vertical="center"/>
    </xf>
    <xf numFmtId="0" fontId="5" fillId="14" borderId="25" xfId="0" applyFont="1" applyFill="1" applyBorder="1" applyAlignment="1">
      <alignment horizontal="center" vertical="center"/>
    </xf>
    <xf numFmtId="0" fontId="5" fillId="14" borderId="26" xfId="0" applyFont="1" applyFill="1" applyBorder="1" applyAlignment="1">
      <alignment horizontal="center" vertical="center"/>
    </xf>
    <xf numFmtId="0" fontId="5" fillId="14" borderId="27" xfId="0" applyFont="1" applyFill="1" applyBorder="1" applyAlignment="1">
      <alignment horizontal="center" vertical="center"/>
    </xf>
    <xf numFmtId="0" fontId="5" fillId="15" borderId="47" xfId="0" applyFont="1" applyFill="1" applyBorder="1" applyAlignment="1">
      <alignment horizontal="center" vertical="center"/>
    </xf>
    <xf numFmtId="0" fontId="5" fillId="15" borderId="49" xfId="0" applyFont="1" applyFill="1" applyBorder="1" applyAlignment="1">
      <alignment horizontal="center" vertical="center"/>
    </xf>
    <xf numFmtId="0" fontId="5" fillId="15" borderId="50" xfId="0" applyFont="1" applyFill="1" applyBorder="1" applyAlignment="1">
      <alignment horizontal="center" vertical="center"/>
    </xf>
    <xf numFmtId="0" fontId="15" fillId="16" borderId="25" xfId="2" applyFill="1" applyBorder="1" applyAlignment="1">
      <alignment horizontal="center" vertical="center"/>
    </xf>
    <xf numFmtId="0" fontId="18" fillId="16" borderId="27" xfId="2" applyFont="1" applyFill="1" applyBorder="1" applyAlignment="1">
      <alignment horizontal="center" vertical="center"/>
    </xf>
    <xf numFmtId="0" fontId="15" fillId="15" borderId="49" xfId="2" applyFont="1" applyFill="1" applyBorder="1" applyAlignment="1">
      <alignment horizontal="center" vertical="center"/>
    </xf>
    <xf numFmtId="0" fontId="15" fillId="15" borderId="50" xfId="2" applyFont="1" applyFill="1" applyBorder="1" applyAlignment="1">
      <alignment horizontal="center" vertical="center"/>
    </xf>
    <xf numFmtId="0" fontId="15" fillId="16" borderId="27" xfId="2" applyFill="1" applyBorder="1" applyAlignment="1">
      <alignment horizontal="center" vertical="center"/>
    </xf>
    <xf numFmtId="0" fontId="15" fillId="16" borderId="23" xfId="2" applyFill="1" applyBorder="1" applyAlignment="1">
      <alignment horizontal="center" vertical="center"/>
    </xf>
    <xf numFmtId="0" fontId="15" fillId="16" borderId="34" xfId="2" applyFill="1" applyBorder="1" applyAlignment="1">
      <alignment horizontal="center" vertical="center"/>
    </xf>
    <xf numFmtId="0" fontId="15" fillId="23" borderId="26" xfId="2" applyFill="1" applyBorder="1" applyAlignment="1">
      <alignment horizontal="center" vertical="center"/>
    </xf>
    <xf numFmtId="0" fontId="15" fillId="23" borderId="27" xfId="2" applyFill="1" applyBorder="1" applyAlignment="1">
      <alignment horizontal="center" vertical="center"/>
    </xf>
    <xf numFmtId="0" fontId="15" fillId="19" borderId="25" xfId="2" applyFill="1" applyBorder="1" applyAlignment="1">
      <alignment horizontal="center" vertical="center"/>
    </xf>
    <xf numFmtId="0" fontId="15" fillId="19" borderId="50" xfId="2" applyFill="1" applyBorder="1" applyAlignment="1">
      <alignment horizontal="center" vertical="center"/>
    </xf>
    <xf numFmtId="0" fontId="15" fillId="19" borderId="49" xfId="2" applyFill="1" applyBorder="1" applyAlignment="1">
      <alignment horizontal="center" vertical="center"/>
    </xf>
    <xf numFmtId="0" fontId="15" fillId="19" borderId="49" xfId="2" applyFont="1" applyFill="1" applyBorder="1" applyAlignment="1">
      <alignment horizontal="center" vertical="center"/>
    </xf>
    <xf numFmtId="0" fontId="15" fillId="19" borderId="27" xfId="2" applyFont="1" applyFill="1" applyBorder="1" applyAlignment="1">
      <alignment horizontal="center" vertical="center"/>
    </xf>
    <xf numFmtId="0" fontId="30" fillId="4" borderId="44" xfId="0" applyFont="1" applyFill="1" applyBorder="1" applyAlignment="1">
      <alignment horizontal="center" vertical="center"/>
    </xf>
    <xf numFmtId="0" fontId="30" fillId="4" borderId="52" xfId="0" applyFont="1" applyFill="1" applyBorder="1" applyAlignment="1">
      <alignment horizontal="center" vertical="center"/>
    </xf>
    <xf numFmtId="0" fontId="30" fillId="4" borderId="13" xfId="0" applyFont="1" applyFill="1" applyBorder="1" applyAlignment="1">
      <alignment horizontal="center" vertical="center"/>
    </xf>
    <xf numFmtId="0" fontId="30" fillId="4" borderId="1" xfId="0" applyFont="1" applyFill="1" applyBorder="1" applyAlignment="1">
      <alignment horizontal="center" vertical="center"/>
    </xf>
    <xf numFmtId="0" fontId="15" fillId="18" borderId="49" xfId="2" applyFill="1" applyBorder="1" applyAlignment="1">
      <alignment horizontal="center" vertical="center"/>
    </xf>
    <xf numFmtId="0" fontId="15" fillId="18" borderId="27" xfId="2" applyFill="1" applyBorder="1" applyAlignment="1">
      <alignment horizontal="center" vertical="center"/>
    </xf>
    <xf numFmtId="0" fontId="15" fillId="18" borderId="24" xfId="2" applyFill="1" applyBorder="1" applyAlignment="1">
      <alignment horizontal="center" vertical="center"/>
    </xf>
    <xf numFmtId="0" fontId="15" fillId="18" borderId="34" xfId="2" applyFill="1" applyBorder="1" applyAlignment="1">
      <alignment horizontal="center" vertical="center"/>
    </xf>
    <xf numFmtId="0" fontId="15" fillId="23" borderId="25" xfId="2" applyFill="1" applyBorder="1" applyAlignment="1">
      <alignment horizontal="center" vertical="center"/>
    </xf>
    <xf numFmtId="0" fontId="15" fillId="23" borderId="50" xfId="2" applyFill="1" applyBorder="1" applyAlignment="1">
      <alignment horizontal="center" vertical="center"/>
    </xf>
    <xf numFmtId="0" fontId="15" fillId="23" borderId="49" xfId="2" applyFill="1" applyBorder="1" applyAlignment="1">
      <alignment horizontal="center" vertical="center"/>
    </xf>
    <xf numFmtId="0" fontId="0" fillId="4" borderId="10" xfId="0" applyFill="1" applyBorder="1" applyAlignment="1">
      <alignment horizontal="center"/>
    </xf>
    <xf numFmtId="0" fontId="0" fillId="4" borderId="11" xfId="0" applyFill="1" applyBorder="1" applyAlignment="1">
      <alignment horizontal="center"/>
    </xf>
    <xf numFmtId="0" fontId="30" fillId="6" borderId="13" xfId="0" applyFont="1" applyFill="1" applyBorder="1" applyAlignment="1">
      <alignment horizontal="center" vertical="center"/>
    </xf>
    <xf numFmtId="0" fontId="30" fillId="6" borderId="1" xfId="0" applyFont="1" applyFill="1" applyBorder="1" applyAlignment="1">
      <alignment horizontal="center" vertical="center"/>
    </xf>
    <xf numFmtId="0" fontId="11" fillId="6" borderId="13" xfId="0" applyFont="1" applyFill="1" applyBorder="1" applyAlignment="1">
      <alignment horizontal="center" vertical="center"/>
    </xf>
    <xf numFmtId="0" fontId="11" fillId="6" borderId="1" xfId="0" applyFont="1" applyFill="1" applyBorder="1" applyAlignment="1">
      <alignment horizontal="center" vertical="center"/>
    </xf>
    <xf numFmtId="0" fontId="0" fillId="10" borderId="1" xfId="0" applyFill="1" applyBorder="1" applyAlignment="1">
      <alignment horizontal="center" vertical="center"/>
    </xf>
    <xf numFmtId="0" fontId="0" fillId="26" borderId="13" xfId="0" applyFont="1" applyFill="1" applyBorder="1" applyAlignment="1">
      <alignment horizontal="center" vertical="center"/>
    </xf>
    <xf numFmtId="0" fontId="0" fillId="26" borderId="1" xfId="0" applyFont="1" applyFill="1" applyBorder="1" applyAlignment="1">
      <alignment horizontal="center" vertical="center"/>
    </xf>
    <xf numFmtId="0" fontId="0" fillId="4" borderId="10" xfId="0" applyFont="1" applyFill="1" applyBorder="1" applyAlignment="1">
      <alignment horizontal="center" vertical="center"/>
    </xf>
    <xf numFmtId="0" fontId="0" fillId="4" borderId="11" xfId="0" applyFont="1" applyFill="1" applyBorder="1" applyAlignment="1">
      <alignment horizontal="center" vertical="center"/>
    </xf>
    <xf numFmtId="0" fontId="31" fillId="4" borderId="13" xfId="0" applyFont="1" applyFill="1" applyBorder="1" applyAlignment="1">
      <alignment horizontal="center" vertical="center"/>
    </xf>
    <xf numFmtId="0" fontId="31" fillId="4" borderId="1" xfId="0" applyFont="1" applyFill="1" applyBorder="1" applyAlignment="1">
      <alignment horizontal="center" vertical="center"/>
    </xf>
    <xf numFmtId="0" fontId="31" fillId="6" borderId="13" xfId="0" applyFont="1" applyFill="1" applyBorder="1" applyAlignment="1">
      <alignment horizontal="center" vertical="center"/>
    </xf>
    <xf numFmtId="0" fontId="31" fillId="6" borderId="1" xfId="0" applyFont="1" applyFill="1" applyBorder="1" applyAlignment="1">
      <alignment horizontal="center" vertical="center"/>
    </xf>
    <xf numFmtId="0" fontId="7" fillId="2" borderId="45" xfId="0" applyFont="1" applyFill="1" applyBorder="1" applyAlignment="1" applyProtection="1">
      <alignment horizontal="center" vertical="center"/>
    </xf>
    <xf numFmtId="0" fontId="7" fillId="2" borderId="12" xfId="0" applyFont="1" applyFill="1" applyBorder="1" applyAlignment="1" applyProtection="1">
      <alignment horizontal="center" vertical="center"/>
    </xf>
    <xf numFmtId="0" fontId="7" fillId="2" borderId="48" xfId="0" applyFont="1" applyFill="1" applyBorder="1" applyAlignment="1" applyProtection="1">
      <alignment horizontal="center" vertical="center"/>
    </xf>
    <xf numFmtId="0" fontId="7" fillId="2" borderId="4" xfId="0" applyFont="1" applyFill="1" applyBorder="1" applyAlignment="1" applyProtection="1">
      <alignment horizontal="center" vertical="center"/>
    </xf>
    <xf numFmtId="0" fontId="17" fillId="16" borderId="21" xfId="0" applyFont="1" applyFill="1" applyBorder="1" applyAlignment="1">
      <alignment horizontal="center" vertical="center"/>
    </xf>
    <xf numFmtId="0" fontId="17" fillId="16" borderId="19" xfId="0" applyFont="1" applyFill="1" applyBorder="1" applyAlignment="1">
      <alignment horizontal="center" vertical="center"/>
    </xf>
    <xf numFmtId="0" fontId="17" fillId="16" borderId="20" xfId="0" applyFont="1" applyFill="1" applyBorder="1" applyAlignment="1">
      <alignment horizontal="center" vertical="center"/>
    </xf>
    <xf numFmtId="0" fontId="17" fillId="16" borderId="23" xfId="0" applyFont="1" applyFill="1" applyBorder="1" applyAlignment="1">
      <alignment horizontal="center" vertical="center"/>
    </xf>
    <xf numFmtId="0" fontId="17" fillId="16" borderId="24" xfId="0" applyFont="1" applyFill="1" applyBorder="1" applyAlignment="1">
      <alignment horizontal="center" vertical="center"/>
    </xf>
    <xf numFmtId="0" fontId="17" fillId="16" borderId="34" xfId="0" applyFont="1" applyFill="1" applyBorder="1" applyAlignment="1">
      <alignment horizontal="center" vertical="center"/>
    </xf>
    <xf numFmtId="0" fontId="7" fillId="3" borderId="38" xfId="0" applyFont="1" applyFill="1" applyBorder="1" applyAlignment="1" applyProtection="1">
      <alignment horizontal="center" vertical="center"/>
    </xf>
    <xf numFmtId="0" fontId="7" fillId="3" borderId="13" xfId="0" applyFont="1" applyFill="1" applyBorder="1" applyAlignment="1" applyProtection="1">
      <alignment horizontal="center" vertical="center"/>
    </xf>
    <xf numFmtId="0" fontId="7" fillId="3" borderId="1" xfId="0" applyFont="1" applyFill="1" applyBorder="1" applyAlignment="1" applyProtection="1">
      <alignment horizontal="center" vertical="center"/>
    </xf>
    <xf numFmtId="0" fontId="7" fillId="3" borderId="11" xfId="0" applyFont="1" applyFill="1" applyBorder="1" applyAlignment="1" applyProtection="1">
      <alignment horizontal="center" vertical="center"/>
    </xf>
    <xf numFmtId="0" fontId="8" fillId="3" borderId="31" xfId="0" applyFont="1" applyFill="1" applyBorder="1" applyAlignment="1" applyProtection="1">
      <alignment horizontal="center" vertical="center"/>
      <protection locked="0"/>
    </xf>
    <xf numFmtId="0" fontId="8" fillId="3" borderId="42"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7" fillId="3" borderId="46" xfId="0" applyFont="1" applyFill="1" applyBorder="1" applyAlignment="1" applyProtection="1">
      <alignment horizontal="center" vertical="center"/>
    </xf>
    <xf numFmtId="0" fontId="8" fillId="2" borderId="30" xfId="0" applyFont="1" applyFill="1" applyBorder="1" applyAlignment="1" applyProtection="1">
      <alignment horizontal="center" vertical="center"/>
      <protection locked="0"/>
    </xf>
    <xf numFmtId="0" fontId="8" fillId="2" borderId="41" xfId="0" applyFont="1" applyFill="1" applyBorder="1" applyAlignment="1" applyProtection="1">
      <alignment horizontal="center" vertical="center"/>
      <protection locked="0"/>
    </xf>
    <xf numFmtId="0" fontId="8" fillId="2" borderId="16" xfId="0" applyFont="1" applyFill="1" applyBorder="1" applyAlignment="1" applyProtection="1">
      <alignment horizontal="center" vertical="center"/>
      <protection locked="0"/>
    </xf>
    <xf numFmtId="0" fontId="7" fillId="2" borderId="30" xfId="0" applyFont="1" applyFill="1" applyBorder="1" applyAlignment="1" applyProtection="1">
      <alignment horizontal="center" vertical="center"/>
    </xf>
    <xf numFmtId="0" fontId="20" fillId="0" borderId="38" xfId="0" applyFont="1" applyBorder="1" applyAlignment="1">
      <alignment horizontal="center" vertical="center"/>
    </xf>
    <xf numFmtId="0" fontId="20" fillId="0" borderId="13" xfId="0" applyFont="1" applyBorder="1" applyAlignment="1">
      <alignment horizontal="center" vertical="center"/>
    </xf>
    <xf numFmtId="0" fontId="20" fillId="0" borderId="46" xfId="0" applyFont="1" applyBorder="1" applyAlignment="1">
      <alignment horizontal="center" vertical="center"/>
    </xf>
    <xf numFmtId="0" fontId="0" fillId="10" borderId="38" xfId="0" applyFill="1" applyBorder="1" applyAlignment="1">
      <alignment horizontal="center" vertical="center"/>
    </xf>
    <xf numFmtId="0" fontId="14" fillId="0" borderId="29" xfId="0" applyFont="1" applyBorder="1" applyAlignment="1">
      <alignment horizontal="center"/>
    </xf>
    <xf numFmtId="0" fontId="14" fillId="0" borderId="14" xfId="0" applyFont="1" applyBorder="1" applyAlignment="1">
      <alignment horizontal="center"/>
    </xf>
    <xf numFmtId="0" fontId="14" fillId="0" borderId="53" xfId="0" applyFont="1" applyBorder="1" applyAlignment="1">
      <alignment horizontal="center"/>
    </xf>
    <xf numFmtId="0" fontId="14" fillId="0" borderId="34" xfId="0" applyFont="1" applyBorder="1" applyAlignment="1">
      <alignment horizontal="center"/>
    </xf>
    <xf numFmtId="0" fontId="11" fillId="0" borderId="26" xfId="0" applyFont="1" applyBorder="1" applyAlignment="1">
      <alignment horizontal="center"/>
    </xf>
    <xf numFmtId="0" fontId="11" fillId="0" borderId="27" xfId="0" applyFont="1" applyBorder="1" applyAlignment="1">
      <alignment horizontal="center"/>
    </xf>
    <xf numFmtId="0" fontId="20" fillId="0" borderId="17" xfId="0" applyFont="1" applyBorder="1" applyAlignment="1">
      <alignment horizontal="center" vertical="center"/>
    </xf>
    <xf numFmtId="0" fontId="8" fillId="0" borderId="25" xfId="0" applyFont="1" applyBorder="1" applyAlignment="1">
      <alignment horizontal="center"/>
    </xf>
    <xf numFmtId="0" fontId="8" fillId="0" borderId="26" xfId="0" applyFont="1" applyBorder="1" applyAlignment="1">
      <alignment horizontal="center"/>
    </xf>
    <xf numFmtId="0" fontId="8" fillId="0" borderId="27" xfId="0" applyFont="1" applyBorder="1" applyAlignment="1">
      <alignment horizontal="center"/>
    </xf>
    <xf numFmtId="0" fontId="14" fillId="0" borderId="31" xfId="0" applyFont="1" applyBorder="1" applyAlignment="1">
      <alignment horizontal="center"/>
    </xf>
    <xf numFmtId="0" fontId="0" fillId="26" borderId="46" xfId="0" applyFont="1" applyFill="1" applyBorder="1" applyAlignment="1">
      <alignment horizontal="center" vertical="center"/>
    </xf>
    <xf numFmtId="0" fontId="30" fillId="2" borderId="13" xfId="0" applyFont="1" applyFill="1" applyBorder="1" applyAlignment="1">
      <alignment horizontal="center" vertical="center"/>
    </xf>
    <xf numFmtId="0" fontId="30" fillId="2" borderId="1" xfId="0" applyFont="1" applyFill="1" applyBorder="1" applyAlignment="1">
      <alignment horizontal="center" vertical="center"/>
    </xf>
    <xf numFmtId="0" fontId="30" fillId="26" borderId="13" xfId="0" applyFont="1" applyFill="1" applyBorder="1" applyAlignment="1">
      <alignment horizontal="center" vertical="center"/>
    </xf>
    <xf numFmtId="0" fontId="30" fillId="26" borderId="1" xfId="0" applyFont="1" applyFill="1" applyBorder="1" applyAlignment="1">
      <alignment horizontal="center" vertical="center"/>
    </xf>
    <xf numFmtId="0" fontId="0" fillId="10" borderId="8" xfId="0" applyFill="1" applyBorder="1" applyAlignment="1">
      <alignment horizontal="center" vertical="center"/>
    </xf>
    <xf numFmtId="0" fontId="0" fillId="10" borderId="56" xfId="0" applyFill="1" applyBorder="1" applyAlignment="1">
      <alignment horizontal="center" vertical="center"/>
    </xf>
    <xf numFmtId="0" fontId="0" fillId="10" borderId="52" xfId="0" applyFill="1" applyBorder="1" applyAlignment="1">
      <alignment horizontal="center" vertic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14" fillId="6" borderId="46" xfId="0" applyFont="1" applyFill="1" applyBorder="1" applyAlignment="1">
      <alignment horizontal="center"/>
    </xf>
    <xf numFmtId="0" fontId="14" fillId="6" borderId="17" xfId="0" applyFont="1" applyFill="1" applyBorder="1" applyAlignment="1">
      <alignment horizontal="center"/>
    </xf>
    <xf numFmtId="0" fontId="5" fillId="7" borderId="20" xfId="0" applyFont="1" applyFill="1" applyBorder="1" applyAlignment="1">
      <alignment horizontal="center" vertical="center"/>
    </xf>
    <xf numFmtId="0" fontId="19" fillId="7" borderId="25" xfId="0" applyFont="1" applyFill="1" applyBorder="1" applyAlignment="1">
      <alignment horizontal="center" vertical="center"/>
    </xf>
    <xf numFmtId="0" fontId="19" fillId="7" borderId="27" xfId="0" applyFont="1" applyFill="1" applyBorder="1" applyAlignment="1">
      <alignment horizontal="center" vertical="center"/>
    </xf>
    <xf numFmtId="0" fontId="5" fillId="15" borderId="25" xfId="0" applyFont="1" applyFill="1" applyBorder="1" applyAlignment="1">
      <alignment horizontal="left" vertical="center"/>
    </xf>
    <xf numFmtId="0" fontId="5" fillId="15" borderId="27" xfId="0" applyFont="1" applyFill="1" applyBorder="1" applyAlignment="1">
      <alignment horizontal="left" vertical="center"/>
    </xf>
    <xf numFmtId="0" fontId="5" fillId="15" borderId="32" xfId="0" applyFont="1" applyFill="1" applyBorder="1" applyAlignment="1">
      <alignment horizontal="center" vertical="center"/>
    </xf>
    <xf numFmtId="0" fontId="5" fillId="15" borderId="33" xfId="0" applyFont="1" applyFill="1" applyBorder="1" applyAlignment="1">
      <alignment horizontal="center" vertical="center"/>
    </xf>
    <xf numFmtId="0" fontId="14" fillId="6" borderId="10" xfId="0" applyFont="1" applyFill="1" applyBorder="1" applyAlignment="1">
      <alignment horizontal="center"/>
    </xf>
    <xf numFmtId="0" fontId="14" fillId="6" borderId="11" xfId="0" applyFont="1" applyFill="1" applyBorder="1" applyAlignment="1">
      <alignment horizontal="center"/>
    </xf>
    <xf numFmtId="0" fontId="15" fillId="18" borderId="26" xfId="2" applyFill="1" applyBorder="1" applyAlignment="1">
      <alignment horizontal="center" vertical="center"/>
    </xf>
    <xf numFmtId="0" fontId="5" fillId="4" borderId="46" xfId="0" applyFont="1" applyFill="1" applyBorder="1" applyAlignment="1">
      <alignment horizontal="center"/>
    </xf>
    <xf numFmtId="0" fontId="5" fillId="4" borderId="17" xfId="0" applyFont="1" applyFill="1" applyBorder="1" applyAlignment="1">
      <alignment horizontal="center"/>
    </xf>
    <xf numFmtId="0" fontId="5" fillId="6" borderId="10" xfId="0" applyFont="1" applyFill="1" applyBorder="1" applyAlignment="1">
      <alignment horizontal="center"/>
    </xf>
    <xf numFmtId="0" fontId="5" fillId="6" borderId="11" xfId="0" applyFont="1" applyFill="1" applyBorder="1" applyAlignment="1">
      <alignment horizontal="center"/>
    </xf>
    <xf numFmtId="0" fontId="17" fillId="4" borderId="46" xfId="0" applyFont="1" applyFill="1" applyBorder="1" applyAlignment="1">
      <alignment horizontal="center"/>
    </xf>
    <xf numFmtId="0" fontId="17" fillId="4" borderId="17" xfId="0" applyFont="1" applyFill="1" applyBorder="1" applyAlignment="1">
      <alignment horizontal="center"/>
    </xf>
    <xf numFmtId="0" fontId="5" fillId="6" borderId="46" xfId="0" applyFont="1" applyFill="1" applyBorder="1" applyAlignment="1">
      <alignment horizontal="center"/>
    </xf>
    <xf numFmtId="0" fontId="5" fillId="6" borderId="17" xfId="0" applyFont="1" applyFill="1" applyBorder="1" applyAlignment="1">
      <alignment horizontal="center"/>
    </xf>
    <xf numFmtId="0" fontId="46" fillId="4" borderId="46" xfId="0" applyFont="1" applyFill="1" applyBorder="1" applyAlignment="1">
      <alignment horizontal="left" vertical="center"/>
    </xf>
    <xf numFmtId="0" fontId="46" fillId="4" borderId="17" xfId="0" applyFont="1" applyFill="1" applyBorder="1" applyAlignment="1">
      <alignment horizontal="left" vertical="center"/>
    </xf>
    <xf numFmtId="0" fontId="5" fillId="22" borderId="49" xfId="0" applyFont="1" applyFill="1" applyBorder="1" applyAlignment="1">
      <alignment horizontal="center" vertical="center"/>
    </xf>
    <xf numFmtId="0" fontId="5" fillId="22" borderId="50" xfId="0" applyFont="1" applyFill="1" applyBorder="1" applyAlignment="1">
      <alignment horizontal="center" vertical="center"/>
    </xf>
    <xf numFmtId="0" fontId="5" fillId="22" borderId="26" xfId="0" applyFont="1" applyFill="1" applyBorder="1" applyAlignment="1">
      <alignment horizontal="center" vertical="center"/>
    </xf>
    <xf numFmtId="0" fontId="5" fillId="22" borderId="27" xfId="0" applyFont="1" applyFill="1" applyBorder="1" applyAlignment="1">
      <alignment horizontal="center" vertical="center"/>
    </xf>
    <xf numFmtId="0" fontId="5" fillId="19" borderId="50" xfId="0" applyFont="1" applyFill="1" applyBorder="1" applyAlignment="1">
      <alignment horizontal="center" vertical="center"/>
    </xf>
    <xf numFmtId="0" fontId="15" fillId="22" borderId="25" xfId="2" applyFill="1" applyBorder="1" applyAlignment="1">
      <alignment horizontal="center" vertical="center"/>
    </xf>
    <xf numFmtId="0" fontId="15" fillId="22" borderId="50" xfId="2" applyFill="1" applyBorder="1" applyAlignment="1">
      <alignment horizontal="center" vertical="center"/>
    </xf>
    <xf numFmtId="0" fontId="15" fillId="22" borderId="49" xfId="2" applyFill="1" applyBorder="1" applyAlignment="1">
      <alignment horizontal="center" vertical="center"/>
    </xf>
    <xf numFmtId="0" fontId="5" fillId="16" borderId="10" xfId="0" applyFont="1" applyFill="1" applyBorder="1" applyAlignment="1">
      <alignment horizontal="center"/>
    </xf>
    <xf numFmtId="0" fontId="5" fillId="16" borderId="11" xfId="0" applyFont="1" applyFill="1" applyBorder="1" applyAlignment="1">
      <alignment horizontal="center"/>
    </xf>
    <xf numFmtId="0" fontId="40" fillId="4" borderId="46" xfId="0" applyFont="1" applyFill="1" applyBorder="1" applyAlignment="1">
      <alignment horizontal="center"/>
    </xf>
    <xf numFmtId="0" fontId="40" fillId="4" borderId="17" xfId="0" applyFont="1" applyFill="1" applyBorder="1" applyAlignment="1">
      <alignment horizontal="center"/>
    </xf>
    <xf numFmtId="0" fontId="14" fillId="4" borderId="46" xfId="0" applyFont="1" applyFill="1" applyBorder="1" applyAlignment="1">
      <alignment horizontal="center"/>
    </xf>
    <xf numFmtId="0" fontId="14" fillId="4" borderId="17"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46" xfId="0" applyFill="1" applyBorder="1" applyAlignment="1">
      <alignment horizontal="center"/>
    </xf>
    <xf numFmtId="0" fontId="0" fillId="4" borderId="17" xfId="0" applyFill="1" applyBorder="1" applyAlignment="1">
      <alignment horizontal="center"/>
    </xf>
    <xf numFmtId="0" fontId="5" fillId="22" borderId="25" xfId="0" applyFont="1" applyFill="1" applyBorder="1" applyAlignment="1">
      <alignment horizontal="center" vertical="center"/>
    </xf>
    <xf numFmtId="0" fontId="15" fillId="22" borderId="26" xfId="2" applyFill="1" applyBorder="1" applyAlignment="1">
      <alignment horizontal="center" vertical="center"/>
    </xf>
    <xf numFmtId="0" fontId="15" fillId="22" borderId="27" xfId="2" applyFill="1" applyBorder="1" applyAlignment="1">
      <alignment horizontal="center" vertical="center"/>
    </xf>
    <xf numFmtId="0" fontId="15" fillId="19" borderId="26" xfId="2" applyFill="1" applyBorder="1" applyAlignment="1">
      <alignment horizontal="center" vertical="center"/>
    </xf>
    <xf numFmtId="0" fontId="5" fillId="7" borderId="32" xfId="0" applyFont="1" applyFill="1" applyBorder="1" applyAlignment="1">
      <alignment horizontal="center" vertical="center"/>
    </xf>
    <xf numFmtId="0" fontId="5" fillId="24" borderId="46" xfId="0" applyFont="1" applyFill="1" applyBorder="1" applyAlignment="1">
      <alignment horizontal="center"/>
    </xf>
    <xf numFmtId="0" fontId="5" fillId="24" borderId="17" xfId="0" applyFont="1" applyFill="1" applyBorder="1" applyAlignment="1">
      <alignment horizontal="center"/>
    </xf>
    <xf numFmtId="0" fontId="5" fillId="24" borderId="10" xfId="0" applyFont="1" applyFill="1" applyBorder="1" applyAlignment="1">
      <alignment horizontal="center"/>
    </xf>
    <xf numFmtId="0" fontId="5" fillId="24" borderId="11" xfId="0" applyFont="1" applyFill="1" applyBorder="1" applyAlignment="1">
      <alignment horizontal="center"/>
    </xf>
    <xf numFmtId="0" fontId="5" fillId="18" borderId="46" xfId="0" applyFont="1" applyFill="1" applyBorder="1" applyAlignment="1">
      <alignment horizontal="center"/>
    </xf>
    <xf numFmtId="0" fontId="5" fillId="18" borderId="17" xfId="0" applyFont="1" applyFill="1" applyBorder="1" applyAlignment="1">
      <alignment horizontal="center"/>
    </xf>
    <xf numFmtId="0" fontId="26" fillId="6" borderId="10" xfId="0" applyFont="1" applyFill="1" applyBorder="1" applyAlignment="1">
      <alignment horizontal="center"/>
    </xf>
    <xf numFmtId="0" fontId="26" fillId="6" borderId="11"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0" fontId="17" fillId="6" borderId="46" xfId="0" applyFont="1" applyFill="1" applyBorder="1" applyAlignment="1">
      <alignment horizontal="center"/>
    </xf>
    <xf numFmtId="0" fontId="17" fillId="6" borderId="17" xfId="0" applyFont="1" applyFill="1" applyBorder="1" applyAlignment="1">
      <alignment horizontal="center"/>
    </xf>
    <xf numFmtId="0" fontId="17" fillId="6" borderId="10" xfId="0" applyFont="1" applyFill="1" applyBorder="1" applyAlignment="1">
      <alignment horizontal="center"/>
    </xf>
    <xf numFmtId="0" fontId="17" fillId="6" borderId="11" xfId="0" applyFont="1" applyFill="1" applyBorder="1" applyAlignment="1">
      <alignment horizontal="center"/>
    </xf>
    <xf numFmtId="0" fontId="32" fillId="4" borderId="46" xfId="0" applyFont="1" applyFill="1" applyBorder="1" applyAlignment="1">
      <alignment horizontal="left"/>
    </xf>
    <xf numFmtId="0" fontId="32" fillId="4" borderId="17" xfId="0" applyFont="1" applyFill="1" applyBorder="1" applyAlignment="1">
      <alignment horizontal="left"/>
    </xf>
    <xf numFmtId="0" fontId="17" fillId="4" borderId="5" xfId="0" applyFont="1" applyFill="1" applyBorder="1" applyAlignment="1">
      <alignment horizontal="center"/>
    </xf>
    <xf numFmtId="0" fontId="17" fillId="4" borderId="6" xfId="0" applyFont="1" applyFill="1" applyBorder="1" applyAlignment="1">
      <alignment horizontal="center"/>
    </xf>
    <xf numFmtId="0" fontId="15" fillId="18" borderId="58" xfId="2" applyFill="1" applyBorder="1" applyAlignment="1">
      <alignment horizontal="center" vertical="center"/>
    </xf>
    <xf numFmtId="0" fontId="31" fillId="4" borderId="46" xfId="0" applyFont="1" applyFill="1" applyBorder="1" applyAlignment="1">
      <alignment horizontal="left"/>
    </xf>
    <xf numFmtId="0" fontId="31" fillId="4" borderId="17" xfId="0" applyFont="1" applyFill="1" applyBorder="1" applyAlignment="1">
      <alignment horizontal="left"/>
    </xf>
    <xf numFmtId="0" fontId="14" fillId="4" borderId="5" xfId="0" applyFont="1" applyFill="1" applyBorder="1" applyAlignment="1">
      <alignment horizontal="center"/>
    </xf>
    <xf numFmtId="0" fontId="14" fillId="4" borderId="6" xfId="0" applyFont="1" applyFill="1" applyBorder="1" applyAlignment="1">
      <alignment horizontal="center"/>
    </xf>
    <xf numFmtId="0" fontId="4" fillId="2" borderId="21" xfId="0" applyFont="1" applyFill="1" applyBorder="1" applyAlignment="1">
      <alignment horizontal="center" vertical="center"/>
    </xf>
    <xf numFmtId="0" fontId="15" fillId="19" borderId="58" xfId="2" applyFill="1" applyBorder="1" applyAlignment="1">
      <alignment horizontal="center" vertical="center"/>
    </xf>
    <xf numFmtId="0" fontId="14" fillId="4" borderId="10" xfId="0" applyFont="1" applyFill="1" applyBorder="1" applyAlignment="1">
      <alignment horizontal="center"/>
    </xf>
    <xf numFmtId="0" fontId="14" fillId="4" borderId="11" xfId="0" applyFont="1" applyFill="1" applyBorder="1" applyAlignment="1">
      <alignment horizontal="center"/>
    </xf>
    <xf numFmtId="0" fontId="5" fillId="6" borderId="5" xfId="0" applyFont="1" applyFill="1" applyBorder="1" applyAlignment="1">
      <alignment horizontal="center"/>
    </xf>
    <xf numFmtId="0" fontId="5" fillId="6" borderId="6" xfId="0" applyFont="1" applyFill="1" applyBorder="1" applyAlignment="1">
      <alignment horizontal="center"/>
    </xf>
    <xf numFmtId="0" fontId="5" fillId="16" borderId="46" xfId="0" applyFont="1" applyFill="1" applyBorder="1" applyAlignment="1">
      <alignment horizontal="center"/>
    </xf>
    <xf numFmtId="0" fontId="5" fillId="16" borderId="17" xfId="0" applyFont="1" applyFill="1" applyBorder="1" applyAlignment="1">
      <alignment horizontal="center"/>
    </xf>
    <xf numFmtId="0" fontId="19" fillId="4" borderId="10" xfId="0" applyFont="1" applyFill="1" applyBorder="1" applyAlignment="1">
      <alignment horizontal="center"/>
    </xf>
    <xf numFmtId="0" fontId="19" fillId="4" borderId="11" xfId="0" applyFont="1" applyFill="1" applyBorder="1" applyAlignment="1">
      <alignment horizontal="center"/>
    </xf>
    <xf numFmtId="0" fontId="28" fillId="4" borderId="10" xfId="0" applyFont="1" applyFill="1" applyBorder="1" applyAlignment="1">
      <alignment horizontal="center"/>
    </xf>
    <xf numFmtId="0" fontId="28" fillId="4" borderId="11" xfId="0" applyFont="1" applyFill="1" applyBorder="1" applyAlignment="1">
      <alignment horizontal="center"/>
    </xf>
    <xf numFmtId="0" fontId="28" fillId="6" borderId="10" xfId="0" applyFont="1" applyFill="1" applyBorder="1" applyAlignment="1">
      <alignment horizontal="center"/>
    </xf>
    <xf numFmtId="0" fontId="28" fillId="6" borderId="11" xfId="0" applyFont="1" applyFill="1" applyBorder="1" applyAlignment="1">
      <alignment horizontal="center"/>
    </xf>
    <xf numFmtId="0" fontId="28" fillId="4" borderId="46" xfId="0" applyFont="1" applyFill="1" applyBorder="1" applyAlignment="1">
      <alignment horizontal="center"/>
    </xf>
    <xf numFmtId="0" fontId="28" fillId="4" borderId="17" xfId="0" applyFont="1" applyFill="1" applyBorder="1" applyAlignment="1">
      <alignment horizontal="center"/>
    </xf>
    <xf numFmtId="0" fontId="28" fillId="6" borderId="46" xfId="0" applyFont="1" applyFill="1" applyBorder="1" applyAlignment="1">
      <alignment horizontal="center"/>
    </xf>
    <xf numFmtId="0" fontId="28" fillId="6" borderId="17" xfId="0" applyFont="1" applyFill="1" applyBorder="1" applyAlignment="1">
      <alignment horizontal="center"/>
    </xf>
    <xf numFmtId="0" fontId="29" fillId="4" borderId="46" xfId="0" applyFont="1" applyFill="1" applyBorder="1" applyAlignment="1">
      <alignment horizontal="center"/>
    </xf>
    <xf numFmtId="0" fontId="29" fillId="4" borderId="17" xfId="0" applyFont="1" applyFill="1" applyBorder="1" applyAlignment="1">
      <alignment horizontal="center"/>
    </xf>
    <xf numFmtId="0" fontId="28" fillId="4" borderId="5" xfId="0" applyFont="1" applyFill="1" applyBorder="1" applyAlignment="1">
      <alignment horizontal="center"/>
    </xf>
    <xf numFmtId="0" fontId="28" fillId="4" borderId="6" xfId="0" applyFont="1" applyFill="1" applyBorder="1" applyAlignment="1">
      <alignment horizontal="center"/>
    </xf>
    <xf numFmtId="0" fontId="29" fillId="6" borderId="46" xfId="0" applyFont="1" applyFill="1" applyBorder="1" applyAlignment="1">
      <alignment horizontal="center"/>
    </xf>
    <xf numFmtId="0" fontId="29" fillId="6" borderId="17" xfId="0" applyFont="1" applyFill="1" applyBorder="1" applyAlignment="1">
      <alignment horizontal="center"/>
    </xf>
    <xf numFmtId="0" fontId="0" fillId="10" borderId="62" xfId="0" applyFill="1" applyBorder="1" applyAlignment="1">
      <alignment horizontal="center" vertical="center"/>
    </xf>
    <xf numFmtId="0" fontId="0" fillId="10" borderId="63" xfId="0" applyFill="1" applyBorder="1" applyAlignment="1">
      <alignment horizontal="center" vertical="center"/>
    </xf>
    <xf numFmtId="0" fontId="0" fillId="10" borderId="28" xfId="0" applyFill="1" applyBorder="1" applyAlignment="1">
      <alignment horizontal="center" vertical="center"/>
    </xf>
    <xf numFmtId="0" fontId="13" fillId="8" borderId="25" xfId="0" applyFont="1" applyFill="1" applyBorder="1" applyAlignment="1" applyProtection="1">
      <alignment horizontal="center"/>
    </xf>
    <xf numFmtId="0" fontId="13" fillId="8" borderId="27" xfId="0" applyFont="1" applyFill="1" applyBorder="1" applyAlignment="1" applyProtection="1">
      <alignment horizontal="center"/>
    </xf>
  </cellXfs>
  <cellStyles count="7">
    <cellStyle name="60% - הדגשה2 2" xfId="4" xr:uid="{00000000-0005-0000-0000-000000000000}"/>
    <cellStyle name="60% - הדגשה2 2 2" xfId="6" xr:uid="{00000000-0005-0000-0000-000001000000}"/>
    <cellStyle name="60% - הדגשה2 3" xfId="5" xr:uid="{00000000-0005-0000-0000-000002000000}"/>
    <cellStyle name="Normal" xfId="0" builtinId="0"/>
    <cellStyle name="Normal 2 2" xfId="1" xr:uid="{00000000-0005-0000-0000-000004000000}"/>
    <cellStyle name="Normal 7" xfId="3" xr:uid="{00000000-0005-0000-0000-000005000000}"/>
    <cellStyle name="היפר-קישור" xfId="2" builtinId="8"/>
  </cellStyles>
  <dxfs count="9349">
    <dxf>
      <font>
        <b/>
        <i val="0"/>
        <color rgb="FFFF0000"/>
      </font>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00B0F0"/>
        </patternFill>
      </fill>
    </dxf>
    <dxf>
      <font>
        <b/>
        <i val="0"/>
        <color rgb="FFFF0000"/>
      </font>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rgb="FFFFFF00"/>
        </patternFill>
      </fill>
    </dxf>
    <dxf>
      <font>
        <b/>
        <i val="0"/>
      </font>
      <fill>
        <patternFill>
          <bgColor theme="3" tint="0.39994506668294322"/>
        </patternFill>
      </fill>
    </dxf>
    <dxf>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FFFF00"/>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font>
      <fill>
        <patternFill>
          <bgColor rgb="FFFFFF00"/>
        </patternFill>
      </fill>
    </dxf>
    <dxf>
      <fill>
        <patternFill>
          <bgColor theme="0" tint="-0.24994659260841701"/>
        </patternFill>
      </fill>
    </dxf>
    <dxf>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theme="3" tint="0.39994506668294322"/>
        </patternFill>
      </fill>
    </dxf>
    <dxf>
      <font>
        <b/>
        <i val="0"/>
        <color rgb="FFFF0000"/>
      </font>
      <fill>
        <patternFill>
          <bgColor rgb="FFFFFF00"/>
        </patternFill>
      </fill>
    </dxf>
    <dxf>
      <font>
        <b/>
        <i val="0"/>
        <color theme="0"/>
      </font>
      <fill>
        <patternFill>
          <bgColor theme="1" tint="0.499984740745262"/>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rgb="FFFF0000"/>
      </font>
      <fill>
        <patternFill>
          <bgColor rgb="FFFFFF00"/>
        </patternFill>
      </fill>
    </dxf>
    <dxf>
      <font>
        <b/>
        <i val="0"/>
      </font>
      <fill>
        <patternFill>
          <bgColor theme="3" tint="0.39994506668294322"/>
        </patternFill>
      </fill>
    </dxf>
    <dxf>
      <font>
        <b/>
        <i val="0"/>
      </font>
      <fill>
        <patternFill>
          <bgColor rgb="FF00B0F0"/>
        </patternFill>
      </fill>
    </dxf>
    <dxf>
      <fill>
        <patternFill>
          <bgColor theme="0" tint="-0.24994659260841701"/>
        </patternFill>
      </fill>
    </dxf>
    <dxf>
      <font>
        <b/>
        <i val="0"/>
        <color rgb="FFFF0000"/>
      </font>
      <fill>
        <patternFill>
          <bgColor rgb="FFFFFF00"/>
        </patternFill>
      </fill>
    </dxf>
    <dxf>
      <fill>
        <patternFill>
          <bgColor rgb="FFFFFF00"/>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theme="3" tint="0.39994506668294322"/>
        </patternFill>
      </fill>
    </dxf>
    <dxf>
      <fill>
        <patternFill>
          <bgColor rgb="FFFFFF00"/>
        </patternFill>
      </fill>
    </dxf>
    <dxf>
      <font>
        <b/>
        <i val="0"/>
        <color rgb="FFFF0000"/>
      </font>
      <fill>
        <patternFill>
          <bgColor theme="3" tint="0.79998168889431442"/>
        </patternFill>
      </fill>
    </dxf>
    <dxf>
      <fill>
        <patternFill>
          <bgColor theme="0" tint="-0.24994659260841701"/>
        </patternFill>
      </fill>
    </dxf>
    <dxf>
      <font>
        <b/>
        <i val="0"/>
        <color theme="0"/>
      </font>
      <fill>
        <patternFill>
          <bgColor theme="1" tint="0.499984740745262"/>
        </patternFill>
      </fill>
    </dxf>
    <dxf>
      <fill>
        <patternFill>
          <bgColor theme="3" tint="0.59996337778862885"/>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rgb="FF00B0F0"/>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theme="3" tint="0.79998168889431442"/>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theme="3" tint="0.39994506668294322"/>
        </patternFill>
      </fill>
    </dxf>
    <dxf>
      <font>
        <b/>
        <i val="0"/>
        <color rgb="FFFF000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3" tint="0.59996337778862885"/>
        </patternFill>
      </fill>
    </dxf>
    <dxf>
      <fill>
        <patternFill>
          <bgColor rgb="FFFFFF00"/>
        </patternFill>
      </fill>
    </dxf>
    <dxf>
      <fill>
        <patternFill>
          <bgColor theme="4" tint="0.39994506668294322"/>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3" tint="0.59996337778862885"/>
        </patternFill>
      </fill>
    </dxf>
    <dxf>
      <font>
        <b/>
        <i val="0"/>
      </font>
      <fill>
        <patternFill>
          <bgColor rgb="FFFFFF00"/>
        </patternFill>
      </fill>
    </dxf>
    <dxf>
      <font>
        <b/>
        <i val="0"/>
        <color rgb="FFFF0000"/>
      </font>
      <fill>
        <patternFill>
          <bgColor rgb="FFFFFF00"/>
        </patternFill>
      </fill>
    </dxf>
    <dxf>
      <fill>
        <patternFill>
          <bgColor theme="0" tint="-0.24994659260841701"/>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FFFF00"/>
        </patternFill>
      </fill>
    </dxf>
    <dxf>
      <font>
        <b/>
        <i val="0"/>
        <color rgb="FFFF0000"/>
      </font>
      <fill>
        <patternFill>
          <bgColor rgb="FFFFFF00"/>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theme="0"/>
      </font>
      <fill>
        <patternFill>
          <bgColor theme="1" tint="0.499984740745262"/>
        </patternFill>
      </fill>
    </dxf>
    <dxf>
      <fill>
        <patternFill>
          <bgColor rgb="FFFFFF00"/>
        </patternFill>
      </fill>
    </dxf>
    <dxf>
      <fill>
        <patternFill>
          <bgColor theme="0" tint="-0.24994659260841701"/>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ill>
        <patternFill>
          <bgColor theme="3" tint="0.59996337778862885"/>
        </patternFill>
      </fill>
    </dxf>
    <dxf>
      <font>
        <b/>
        <i val="0"/>
        <color theme="0"/>
      </font>
      <fill>
        <patternFill>
          <bgColor theme="1" tint="0.499984740745262"/>
        </patternFill>
      </fill>
    </dxf>
    <dxf>
      <font>
        <b/>
        <i val="0"/>
        <color rgb="FFFF0000"/>
      </font>
      <fill>
        <patternFill>
          <bgColor theme="3" tint="0.79998168889431442"/>
        </patternFill>
      </fill>
    </dxf>
    <dxf>
      <font>
        <b/>
        <i val="0"/>
        <color rgb="FFFF0000"/>
      </font>
      <fill>
        <patternFill>
          <bgColor rgb="FFFFFF00"/>
        </patternFill>
      </fill>
    </dxf>
    <dxf>
      <font>
        <b/>
        <i val="0"/>
      </font>
      <fill>
        <patternFill>
          <bgColor rgb="FF00B0F0"/>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ill>
        <patternFill>
          <bgColor theme="3" tint="0.59996337778862885"/>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00B0F0"/>
        </patternFill>
      </fill>
    </dxf>
    <dxf>
      <fill>
        <patternFill>
          <bgColor theme="0" tint="-0.24994659260841701"/>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3" tint="0.59996337778862885"/>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ill>
        <patternFill>
          <bgColor theme="0" tint="-0.24994659260841701"/>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font>
      <fill>
        <patternFill>
          <bgColor theme="3" tint="0.39994506668294322"/>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theme="0"/>
      </font>
      <fill>
        <patternFill>
          <bgColor theme="1" tint="0.499984740745262"/>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color rgb="FF9C0006"/>
      </font>
    </dxf>
    <dxf>
      <font>
        <color rgb="FF00B050"/>
      </font>
      <fill>
        <patternFill patternType="none">
          <bgColor auto="1"/>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ill>
        <patternFill>
          <bgColor theme="0" tint="-0.24994659260841701"/>
        </patternFill>
      </fill>
    </dxf>
    <dxf>
      <fill>
        <patternFill>
          <bgColor theme="4" tint="0.39994506668294322"/>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rgb="FFFFFF00"/>
        </patternFill>
      </fill>
    </dxf>
    <dxf>
      <font>
        <b/>
        <i val="0"/>
      </font>
      <fill>
        <patternFill>
          <bgColor rgb="FF00B0F0"/>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0"/>
      </font>
      <fill>
        <patternFill>
          <bgColor theme="1" tint="0.499984740745262"/>
        </patternFill>
      </fill>
    </dxf>
    <dxf>
      <fill>
        <patternFill>
          <bgColor theme="0" tint="-0.24994659260841701"/>
        </patternFill>
      </fill>
    </dxf>
    <dxf>
      <font>
        <b/>
        <i val="0"/>
      </font>
      <fill>
        <patternFill>
          <bgColor theme="3" tint="0.39994506668294322"/>
        </patternFill>
      </fill>
    </dxf>
    <dxf>
      <fill>
        <patternFill>
          <bgColor rgb="FFFFFF00"/>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ill>
        <patternFill>
          <bgColor theme="0" tint="-0.24994659260841701"/>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color theme="0"/>
      </font>
      <fill>
        <patternFill>
          <bgColor theme="1" tint="0.499984740745262"/>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font>
      <fill>
        <patternFill>
          <bgColor rgb="FFFFFF00"/>
        </patternFill>
      </fill>
    </dxf>
    <dxf>
      <fill>
        <patternFill>
          <bgColor rgb="FFFFFF00"/>
        </patternFill>
      </fill>
    </dxf>
    <dxf>
      <fill>
        <patternFill>
          <bgColor theme="0" tint="-0.24994659260841701"/>
        </patternFill>
      </fill>
    </dxf>
    <dxf>
      <fill>
        <patternFill>
          <bgColor theme="4" tint="0.39994506668294322"/>
        </patternFill>
      </fill>
    </dxf>
    <dxf>
      <fill>
        <patternFill>
          <bgColor theme="0" tint="-0.24994659260841701"/>
        </patternFill>
      </fill>
    </dxf>
    <dxf>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color rgb="FFFF0000"/>
      </font>
      <fill>
        <patternFill>
          <bgColor theme="3" tint="0.79998168889431442"/>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color theme="0"/>
      </font>
      <fill>
        <patternFill>
          <bgColor theme="1" tint="0.499984740745262"/>
        </patternFill>
      </fill>
    </dxf>
    <dxf>
      <font>
        <b/>
        <i val="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color rgb="FFFF0000"/>
      </font>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ill>
        <patternFill>
          <bgColor theme="0" tint="-0.24994659260841701"/>
        </patternFill>
      </fill>
    </dxf>
    <dxf>
      <font>
        <b/>
        <i val="0"/>
      </font>
      <fill>
        <patternFill>
          <bgColor rgb="FF00B0F0"/>
        </patternFill>
      </fill>
    </dxf>
    <dxf>
      <font>
        <b/>
        <i val="0"/>
        <color rgb="FFFF0000"/>
      </font>
      <fill>
        <patternFill>
          <bgColor rgb="FFFFFF00"/>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color theme="0"/>
      </font>
      <fill>
        <patternFill>
          <bgColor theme="1" tint="0.499984740745262"/>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ill>
        <patternFill>
          <bgColor rgb="FFFFFF00"/>
        </patternFill>
      </fill>
    </dxf>
    <dxf>
      <font>
        <b/>
        <i val="0"/>
      </font>
      <fill>
        <patternFill>
          <bgColor rgb="FFFFFF00"/>
        </patternFill>
      </fill>
    </dxf>
    <dxf>
      <fill>
        <patternFill>
          <bgColor theme="0" tint="-0.24994659260841701"/>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theme="3"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ill>
        <patternFill>
          <bgColor theme="3" tint="0.59996337778862885"/>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font>
      <fill>
        <patternFill>
          <bgColor rgb="FF00B0F0"/>
        </patternFill>
      </fill>
    </dxf>
    <dxf>
      <font>
        <b/>
        <i val="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ill>
        <patternFill>
          <bgColor theme="0" tint="-0.24994659260841701"/>
        </patternFill>
      </fill>
    </dxf>
    <dxf>
      <font>
        <b/>
        <i val="0"/>
        <color rgb="FFFF0000"/>
      </font>
      <fill>
        <patternFill>
          <bgColor theme="3" tint="0.79998168889431442"/>
        </patternFill>
      </fill>
    </dxf>
    <dxf>
      <font>
        <b/>
        <i val="0"/>
      </font>
      <fill>
        <patternFill>
          <bgColor rgb="FFFFFF00"/>
        </patternFill>
      </fill>
    </dxf>
    <dxf>
      <font>
        <b/>
        <i val="0"/>
      </font>
      <fill>
        <patternFill>
          <bgColor rgb="FF00B0F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00B0F0"/>
        </patternFill>
      </fill>
    </dxf>
    <dxf>
      <font>
        <b/>
        <i val="0"/>
        <color rgb="FFFF0000"/>
      </font>
      <fill>
        <patternFill>
          <bgColor rgb="FFFFFF00"/>
        </patternFill>
      </fill>
    </dxf>
    <dxf>
      <fill>
        <patternFill>
          <bgColor theme="0" tint="-0.24994659260841701"/>
        </patternFill>
      </fill>
    </dxf>
    <dxf>
      <font>
        <b/>
        <i val="0"/>
      </font>
      <fill>
        <patternFill>
          <bgColor rgb="FFFFFF00"/>
        </patternFill>
      </fill>
    </dxf>
    <dxf>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rgb="FFFFFF00"/>
        </patternFill>
      </fill>
    </dxf>
    <dxf>
      <font>
        <b/>
        <i val="0"/>
      </font>
      <fill>
        <patternFill>
          <bgColor theme="3"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rgb="FFFFFF00"/>
        </patternFill>
      </fill>
    </dxf>
    <dxf>
      <font>
        <b/>
        <i val="0"/>
        <color rgb="FFFF0000"/>
      </font>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ill>
        <patternFill>
          <bgColor theme="0" tint="-0.24994659260841701"/>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theme="3" tint="0.39994506668294322"/>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ont>
        <b/>
        <i val="0"/>
        <color theme="0"/>
      </font>
      <fill>
        <patternFill>
          <bgColor theme="1" tint="0.499984740745262"/>
        </patternFill>
      </fill>
    </dxf>
    <dxf>
      <font>
        <b/>
        <i val="0"/>
        <color rgb="FFFF0000"/>
      </font>
      <fill>
        <patternFill>
          <bgColor theme="3" tint="0.79998168889431442"/>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theme="0"/>
      </font>
      <fill>
        <patternFill>
          <bgColor theme="1" tint="0.49998474074526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00B0F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ill>
        <patternFill>
          <bgColor theme="0" tint="-0.24994659260841701"/>
        </patternFill>
      </fill>
    </dxf>
    <dxf>
      <font>
        <b/>
        <i val="0"/>
        <color theme="0"/>
      </font>
      <fill>
        <patternFill>
          <bgColor theme="1" tint="0.499984740745262"/>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0" tint="-0.24994659260841701"/>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3" tint="0.59996337778862885"/>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ont>
        <b/>
        <i val="0"/>
      </font>
      <fill>
        <patternFill>
          <bgColor rgb="FF00B0F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ont>
        <b/>
        <i val="0"/>
      </font>
      <fill>
        <patternFill>
          <bgColor rgb="FFFFFF00"/>
        </patternFill>
      </fill>
    </dxf>
    <dxf>
      <fill>
        <patternFill>
          <bgColor rgb="FFFFFF00"/>
        </patternFill>
      </fill>
    </dxf>
    <dxf>
      <font>
        <b/>
        <i val="0"/>
        <color rgb="FFFF0000"/>
      </font>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font>
      <fill>
        <patternFill>
          <bgColor theme="3" tint="0.39994506668294322"/>
        </patternFill>
      </fill>
    </dxf>
    <dxf>
      <font>
        <b/>
        <i val="0"/>
        <color rgb="FFFF0000"/>
      </font>
      <fill>
        <patternFill>
          <bgColor rgb="FFFFFF00"/>
        </patternFill>
      </fill>
    </dxf>
    <dxf>
      <font>
        <b/>
        <i val="0"/>
        <color theme="0"/>
      </font>
      <fill>
        <patternFill>
          <bgColor theme="1" tint="0.499984740745262"/>
        </patternFill>
      </fill>
    </dxf>
    <dxf>
      <font>
        <b/>
        <i val="0"/>
      </font>
      <fill>
        <patternFill>
          <bgColor rgb="FF00B0F0"/>
        </patternFill>
      </fill>
    </dxf>
    <dxf>
      <fill>
        <patternFill>
          <bgColor rgb="FFFFFF00"/>
        </patternFill>
      </fill>
    </dxf>
    <dxf>
      <font>
        <color rgb="FF9C0006"/>
      </font>
    </dxf>
    <dxf>
      <font>
        <color rgb="FF00B050"/>
      </font>
      <fill>
        <patternFill patternType="none">
          <bgColor auto="1"/>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rgb="FFFFFF00"/>
        </patternFill>
      </fill>
    </dxf>
    <dxf>
      <font>
        <b/>
        <i val="0"/>
      </font>
      <fill>
        <patternFill>
          <bgColor theme="3" tint="0.39994506668294322"/>
        </patternFill>
      </fill>
    </dxf>
    <dxf>
      <font>
        <b/>
        <i val="0"/>
      </font>
      <fill>
        <patternFill>
          <bgColor rgb="FF00B0F0"/>
        </patternFill>
      </fill>
    </dxf>
    <dxf>
      <font>
        <b/>
        <i val="0"/>
        <color rgb="FFFF0000"/>
      </font>
      <fill>
        <patternFill>
          <bgColor theme="3" tint="0.79998168889431442"/>
        </patternFill>
      </fill>
    </dxf>
    <dxf>
      <font>
        <b/>
        <i val="0"/>
      </font>
      <fill>
        <patternFill>
          <bgColor rgb="FFFFFF00"/>
        </patternFill>
      </fill>
    </dxf>
    <dxf>
      <fill>
        <patternFill>
          <bgColor theme="4" tint="0.39994506668294322"/>
        </patternFill>
      </fill>
    </dxf>
    <dxf>
      <fill>
        <patternFill>
          <bgColor theme="4" tint="0.39994506668294322"/>
        </patternFill>
      </fill>
    </dxf>
    <dxf>
      <font>
        <b/>
        <i val="0"/>
        <color theme="0"/>
      </font>
      <fill>
        <patternFill>
          <bgColor theme="1" tint="0.499984740745262"/>
        </patternFill>
      </fill>
    </dxf>
    <dxf>
      <fill>
        <patternFill>
          <bgColor theme="0" tint="-0.24994659260841701"/>
        </patternFill>
      </fill>
    </dxf>
    <dxf>
      <font>
        <b/>
        <i val="0"/>
        <color rgb="FFFF0000"/>
      </font>
      <fill>
        <patternFill>
          <bgColor theme="3" tint="0.79998168889431442"/>
        </patternFill>
      </fill>
    </dxf>
    <dxf>
      <fill>
        <patternFill>
          <bgColor rgb="FFFFFF00"/>
        </patternFill>
      </fill>
    </dxf>
    <dxf>
      <font>
        <b/>
        <i val="0"/>
      </font>
      <fill>
        <patternFill>
          <bgColor rgb="FF00B0F0"/>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00B0F0"/>
        </patternFill>
      </fill>
    </dxf>
    <dxf>
      <font>
        <b/>
        <i val="0"/>
      </font>
      <fill>
        <patternFill>
          <bgColor rgb="FFFFFF00"/>
        </patternFill>
      </fill>
    </dxf>
    <dxf>
      <fill>
        <patternFill>
          <bgColor theme="3" tint="0.59996337778862885"/>
        </patternFill>
      </fill>
    </dxf>
    <dxf>
      <font>
        <b/>
        <i val="0"/>
        <color rgb="FFFF0000"/>
      </font>
      <fill>
        <patternFill>
          <bgColor rgb="FFFFFF00"/>
        </patternFill>
      </fill>
    </dxf>
    <dxf>
      <font>
        <b/>
        <i val="0"/>
      </font>
      <fill>
        <patternFill>
          <bgColor rgb="FF00B0F0"/>
        </patternFill>
      </fill>
    </dxf>
    <dxf>
      <font>
        <b/>
        <i val="0"/>
        <color theme="0"/>
      </font>
      <fill>
        <patternFill>
          <bgColor theme="1" tint="0.499984740745262"/>
        </patternFill>
      </fill>
    </dxf>
    <dxf>
      <fill>
        <patternFill>
          <bgColor theme="0" tint="-0.24994659260841701"/>
        </patternFill>
      </fill>
    </dxf>
    <dxf>
      <font>
        <b/>
        <i val="0"/>
        <color rgb="FFFF0000"/>
      </font>
      <fill>
        <patternFill>
          <bgColor theme="3" tint="0.79998168889431442"/>
        </patternFill>
      </fill>
    </dxf>
    <dxf>
      <fill>
        <patternFill>
          <bgColor rgb="FFFFFF00"/>
        </patternFill>
      </fill>
    </dxf>
    <dxf>
      <font>
        <b/>
        <i val="0"/>
        <color rgb="FFFF0000"/>
      </font>
      <fill>
        <patternFill>
          <bgColor rgb="FFFFFF00"/>
        </patternFill>
      </fill>
    </dxf>
    <dxf>
      <font>
        <b/>
        <i val="0"/>
      </font>
      <fill>
        <patternFill>
          <bgColor theme="3" tint="0.39994506668294322"/>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rgb="FFFFFF00"/>
        </patternFill>
      </fill>
    </dxf>
    <dxf>
      <fill>
        <patternFill>
          <bgColor theme="4" tint="0.39994506668294322"/>
        </patternFill>
      </fill>
    </dxf>
    <dxf>
      <fill>
        <patternFill>
          <bgColor rgb="FFFFFF00"/>
        </patternFill>
      </fill>
    </dxf>
    <dxf>
      <fill>
        <patternFill>
          <bgColor theme="3" tint="0.59996337778862885"/>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ill>
        <patternFill>
          <bgColor rgb="FFFFFF00"/>
        </patternFill>
      </fill>
    </dxf>
    <dxf>
      <fill>
        <patternFill>
          <bgColor rgb="FFFFFF00"/>
        </patternFill>
      </fill>
    </dxf>
    <dxf>
      <fill>
        <patternFill>
          <bgColor theme="0" tint="-0.24994659260841701"/>
        </patternFill>
      </fill>
    </dxf>
    <dxf>
      <font>
        <b/>
        <i val="0"/>
        <color rgb="FFFF0000"/>
      </font>
      <fill>
        <patternFill>
          <bgColor theme="3" tint="0.79998168889431442"/>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rgb="FF00B0F0"/>
        </patternFill>
      </fill>
    </dxf>
    <dxf>
      <font>
        <b/>
        <i val="0"/>
      </font>
      <fill>
        <patternFill>
          <bgColor theme="3" tint="0.39994506668294322"/>
        </patternFill>
      </fill>
    </dxf>
    <dxf>
      <font>
        <b/>
        <i val="0"/>
        <color rgb="FFFF0000"/>
      </font>
      <fill>
        <patternFill>
          <bgColor rgb="FFFFFF00"/>
        </patternFill>
      </fill>
    </dxf>
    <dxf>
      <fill>
        <patternFill>
          <bgColor rgb="FFFFFF00"/>
        </patternFill>
      </fill>
    </dxf>
    <dxf>
      <font>
        <b/>
        <i val="0"/>
      </font>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theme="3" tint="0.39994506668294322"/>
        </patternFill>
      </fill>
    </dxf>
    <dxf>
      <fill>
        <patternFill>
          <bgColor theme="0" tint="-0.24994659260841701"/>
        </patternFill>
      </fill>
    </dxf>
    <dxf>
      <font>
        <b/>
        <i val="0"/>
        <color rgb="FFFF0000"/>
      </font>
      <fill>
        <patternFill>
          <bgColor theme="3" tint="0.79998168889431442"/>
        </patternFill>
      </fill>
    </dxf>
    <dxf>
      <fill>
        <patternFill>
          <bgColor rgb="FFFFFF00"/>
        </patternFill>
      </fill>
    </dxf>
    <dxf>
      <font>
        <b/>
        <i val="0"/>
        <color rgb="FFFF0000"/>
      </font>
      <fill>
        <patternFill>
          <bgColor rgb="FFFFFF00"/>
        </patternFill>
      </fill>
    </dxf>
    <dxf>
      <font>
        <b/>
        <i val="0"/>
        <color rgb="FFFF0000"/>
      </font>
    </dxf>
    <dxf>
      <fill>
        <patternFill>
          <bgColor theme="4" tint="0.39994506668294322"/>
        </patternFill>
      </fill>
    </dxf>
    <dxf>
      <font>
        <b/>
        <i val="0"/>
        <color rgb="FFFF000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ont>
        <b/>
        <i val="0"/>
      </font>
      <fill>
        <patternFill>
          <bgColor theme="3" tint="0.39994506668294322"/>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4" tint="0.39994506668294322"/>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4" tint="0.39994506668294322"/>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rgb="FFFF0000"/>
      </font>
      <fill>
        <patternFill>
          <bgColor rgb="FFFFFF00"/>
        </patternFill>
      </fill>
    </dxf>
    <dxf>
      <fill>
        <patternFill>
          <bgColor theme="3" tint="0.59996337778862885"/>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ont>
        <b/>
        <i val="0"/>
        <color theme="0"/>
      </font>
      <fill>
        <patternFill>
          <bgColor theme="1" tint="0.499984740745262"/>
        </patternFill>
      </fill>
    </dxf>
    <dxf>
      <fill>
        <patternFill>
          <bgColor rgb="FFFFFF00"/>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theme="3" tint="0.59996337778862885"/>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ill>
        <patternFill>
          <bgColor theme="3" tint="0.59996337778862885"/>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3" tint="0.59996337778862885"/>
        </patternFill>
      </fill>
    </dxf>
    <dxf>
      <fill>
        <patternFill>
          <bgColor rgb="FFFFFF00"/>
        </patternFill>
      </fill>
    </dxf>
    <dxf>
      <fill>
        <patternFill>
          <bgColor theme="4" tint="0.39994506668294322"/>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ill>
        <patternFill>
          <bgColor rgb="FFFFFF00"/>
        </patternFill>
      </fill>
    </dxf>
    <dxf>
      <font>
        <b/>
        <i val="0"/>
        <color theme="1"/>
      </font>
      <fill>
        <patternFill>
          <bgColor theme="3" tint="0.59996337778862885"/>
        </patternFill>
      </fill>
    </dxf>
    <dxf>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3" tint="0.59996337778862885"/>
        </patternFill>
      </fill>
    </dxf>
    <dxf>
      <font>
        <b/>
        <i val="0"/>
        <color rgb="FFFF0000"/>
      </font>
      <fill>
        <patternFill>
          <bgColor rgb="FFFFFF00"/>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ill>
        <patternFill>
          <bgColor theme="3" tint="0.59996337778862885"/>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theme="3" tint="0.39994506668294322"/>
        </patternFill>
      </fill>
    </dxf>
    <dxf>
      <font>
        <b/>
        <i val="0"/>
      </font>
      <fill>
        <patternFill>
          <bgColor rgb="FFFFFF00"/>
        </patternFill>
      </fill>
    </dxf>
    <dxf>
      <font>
        <b/>
        <i val="0"/>
        <color theme="0"/>
      </font>
      <fill>
        <patternFill>
          <bgColor theme="1" tint="0.499984740745262"/>
        </patternFill>
      </fill>
    </dxf>
    <dxf>
      <font>
        <b/>
        <i val="0"/>
      </font>
      <fill>
        <patternFill>
          <bgColor rgb="FF00B0F0"/>
        </patternFill>
      </fill>
    </dxf>
    <dxf>
      <font>
        <b/>
        <i val="0"/>
        <color rgb="FFFF0000"/>
      </font>
      <fill>
        <patternFill>
          <bgColor theme="3" tint="0.79998168889431442"/>
        </patternFill>
      </fill>
    </dxf>
    <dxf>
      <font>
        <color rgb="FF00B050"/>
      </font>
      <fill>
        <patternFill patternType="none">
          <bgColor auto="1"/>
        </patternFill>
      </fill>
    </dxf>
    <dxf>
      <font>
        <color rgb="FF9C0006"/>
      </font>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4" tint="0.39994506668294322"/>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rgb="FFFFFF00"/>
        </patternFill>
      </fill>
    </dxf>
    <dxf>
      <fill>
        <patternFill>
          <bgColor rgb="FFFFFF00"/>
        </patternFill>
      </fill>
    </dxf>
    <dxf>
      <font>
        <b/>
        <i val="0"/>
      </font>
      <fill>
        <patternFill>
          <bgColor theme="3" tint="0.39994506668294322"/>
        </patternFill>
      </fill>
    </dxf>
    <dxf>
      <fill>
        <patternFill>
          <bgColor theme="0" tint="-0.24994659260841701"/>
        </patternFill>
      </fill>
    </dxf>
    <dxf>
      <font>
        <b/>
        <i val="0"/>
        <color rgb="FFFF0000"/>
      </font>
      <fill>
        <patternFill>
          <bgColor theme="3" tint="0.79998168889431442"/>
        </patternFill>
      </fill>
    </dxf>
    <dxf>
      <font>
        <b/>
        <i val="0"/>
        <color theme="0"/>
      </font>
      <fill>
        <patternFill>
          <bgColor theme="1" tint="0.499984740745262"/>
        </patternFill>
      </fill>
    </dxf>
    <dxf>
      <fill>
        <patternFill>
          <bgColor theme="3" tint="0.59996337778862885"/>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ill>
        <patternFill>
          <bgColor theme="3" tint="0.59996337778862885"/>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color theme="0"/>
      </font>
      <fill>
        <patternFill>
          <bgColor theme="1" tint="0.499984740745262"/>
        </patternFill>
      </fill>
    </dxf>
    <dxf>
      <font>
        <b/>
        <i val="0"/>
      </font>
      <fill>
        <patternFill>
          <bgColor rgb="FFFFFF00"/>
        </patternFill>
      </fill>
    </dxf>
    <dxf>
      <fill>
        <patternFill>
          <bgColor theme="0" tint="-0.24994659260841701"/>
        </patternFill>
      </fill>
    </dxf>
    <dxf>
      <fill>
        <patternFill>
          <bgColor theme="3" tint="0.59996337778862885"/>
        </patternFill>
      </fill>
    </dxf>
    <dxf>
      <fill>
        <patternFill>
          <bgColor rgb="FFFFFF00"/>
        </patternFill>
      </fill>
    </dxf>
    <dxf>
      <fill>
        <patternFill>
          <bgColor theme="3" tint="0.59996337778862885"/>
        </patternFill>
      </fill>
    </dxf>
    <dxf>
      <font>
        <b/>
        <i val="0"/>
      </font>
      <fill>
        <patternFill>
          <bgColor theme="3" tint="0.39994506668294322"/>
        </patternFill>
      </fill>
    </dxf>
    <dxf>
      <font>
        <b/>
        <i val="0"/>
      </font>
      <fill>
        <patternFill>
          <bgColor rgb="FF00B0F0"/>
        </patternFill>
      </fill>
    </dxf>
    <dxf>
      <font>
        <b/>
        <i val="0"/>
        <color theme="0"/>
      </font>
      <fill>
        <patternFill>
          <bgColor theme="1" tint="0.499984740745262"/>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0" tint="-0.24994659260841701"/>
        </patternFill>
      </fill>
    </dxf>
    <dxf>
      <font>
        <b/>
        <i val="0"/>
        <color rgb="FFFF0000"/>
      </font>
      <fill>
        <patternFill>
          <bgColor theme="3" tint="0.79998168889431442"/>
        </patternFill>
      </fill>
    </dxf>
    <dxf>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color rgb="FFFF0000"/>
      </font>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theme="3" tint="0.39994506668294322"/>
        </patternFill>
      </fill>
    </dxf>
    <dxf>
      <fill>
        <patternFill>
          <bgColor theme="0" tint="-0.24994659260841701"/>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ill>
        <patternFill>
          <bgColor rgb="FFFFFF00"/>
        </patternFill>
      </fill>
    </dxf>
    <dxf>
      <font>
        <b/>
        <i val="0"/>
        <color theme="0"/>
      </font>
      <fill>
        <patternFill>
          <bgColor theme="1" tint="0.499984740745262"/>
        </patternFill>
      </fill>
    </dxf>
    <dxf>
      <font>
        <b/>
        <i val="0"/>
      </font>
      <fill>
        <patternFill>
          <bgColor theme="3" tint="0.39994506668294322"/>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0" tint="-0.24994659260841701"/>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ont>
        <b/>
        <i val="0"/>
      </font>
      <fill>
        <patternFill>
          <bgColor rgb="FF00B0F0"/>
        </patternFill>
      </fill>
    </dxf>
    <dxf>
      <font>
        <b/>
        <i val="0"/>
        <color rgb="FFFF000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color rgb="FF9C0006"/>
      </font>
    </dxf>
    <dxf>
      <font>
        <color rgb="FF00B050"/>
      </font>
      <fill>
        <patternFill patternType="none">
          <bgColor auto="1"/>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4" tint="0.39994506668294322"/>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font>
      <fill>
        <patternFill>
          <bgColor rgb="FFFFFF00"/>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theme="4" tint="0.39994506668294322"/>
        </patternFill>
      </fill>
    </dxf>
    <dxf>
      <fill>
        <patternFill>
          <bgColor rgb="FFFFFF00"/>
        </patternFill>
      </fill>
    </dxf>
    <dxf>
      <fill>
        <patternFill>
          <bgColor theme="3" tint="0.59996337778862885"/>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rgb="FFFF0000"/>
      </font>
      <fill>
        <patternFill>
          <bgColor rgb="FFFFFF00"/>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ill>
        <patternFill>
          <bgColor theme="0" tint="-0.24994659260841701"/>
        </patternFill>
      </fill>
    </dxf>
    <dxf>
      <font>
        <b/>
        <i val="0"/>
      </font>
      <fill>
        <patternFill>
          <bgColor rgb="FFFFFF00"/>
        </patternFill>
      </fill>
    </dxf>
    <dxf>
      <font>
        <b/>
        <i val="0"/>
      </font>
      <fill>
        <patternFill>
          <bgColor rgb="FF00B0F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ill>
        <patternFill>
          <bgColor rgb="FFFFFF00"/>
        </patternFill>
      </fill>
    </dxf>
    <dxf>
      <font>
        <b/>
        <i val="0"/>
        <color rgb="FFFF0000"/>
      </font>
    </dxf>
    <dxf>
      <fill>
        <patternFill>
          <bgColor theme="4" tint="0.39994506668294322"/>
        </patternFill>
      </fill>
    </dxf>
    <dxf>
      <fill>
        <patternFill>
          <bgColor rgb="FFFFFF00"/>
        </patternFill>
      </fill>
    </dxf>
    <dxf>
      <font>
        <b/>
        <i val="0"/>
        <color rgb="FFFF0000"/>
      </font>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font>
      <fill>
        <patternFill>
          <bgColor rgb="FF00B0F0"/>
        </patternFill>
      </fill>
    </dxf>
    <dxf>
      <font>
        <b/>
        <i val="0"/>
        <color rgb="FFFF0000"/>
      </font>
      <fill>
        <patternFill>
          <bgColor rgb="FFFFFF00"/>
        </patternFill>
      </fill>
    </dxf>
    <dxf>
      <fill>
        <patternFill>
          <bgColor theme="3" tint="0.59996337778862885"/>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rgb="FFFFFF00"/>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color rgb="FF00B050"/>
      </font>
      <fill>
        <patternFill patternType="none">
          <bgColor auto="1"/>
        </patternFill>
      </fill>
    </dxf>
    <dxf>
      <font>
        <color rgb="FF9C0006"/>
      </font>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4" tint="0.39994506668294322"/>
        </patternFill>
      </fill>
    </dxf>
    <dxf>
      <font>
        <b/>
        <i val="0"/>
        <color rgb="FFFF0000"/>
      </font>
      <fill>
        <patternFill>
          <bgColor rgb="FFFFFF00"/>
        </patternFill>
      </fill>
    </dxf>
    <dxf>
      <font>
        <b/>
        <i val="0"/>
      </font>
      <fill>
        <patternFill>
          <bgColor rgb="FFFFFF00"/>
        </patternFill>
      </fill>
    </dxf>
    <dxf>
      <fill>
        <patternFill>
          <bgColor theme="3" tint="0.59996337778862885"/>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ill>
        <patternFill>
          <bgColor theme="3" tint="0.59996337778862885"/>
        </patternFill>
      </fill>
    </dxf>
    <dxf>
      <fill>
        <patternFill>
          <bgColor theme="3" tint="0.59996337778862885"/>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theme="3" tint="0.79998168889431442"/>
        </patternFill>
      </fill>
    </dxf>
    <dxf>
      <fill>
        <patternFill>
          <bgColor rgb="FFFFFF00"/>
        </patternFill>
      </fill>
    </dxf>
    <dxf>
      <font>
        <b/>
        <i val="0"/>
        <color theme="0"/>
      </font>
      <fill>
        <patternFill>
          <bgColor theme="1" tint="0.499984740745262"/>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ill>
        <patternFill>
          <bgColor theme="3" tint="0.59996337778862885"/>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rgb="FFFFFF00"/>
        </patternFill>
      </fill>
    </dxf>
    <dxf>
      <font>
        <b/>
        <i val="0"/>
      </font>
      <fill>
        <patternFill>
          <bgColor theme="3"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ill>
        <patternFill>
          <bgColor rgb="FFFFFF00"/>
        </patternFill>
      </fill>
    </dxf>
    <dxf>
      <fill>
        <patternFill>
          <bgColor rgb="FFFFFF00"/>
        </patternFill>
      </fill>
    </dxf>
    <dxf>
      <font>
        <b/>
        <i val="0"/>
        <color rgb="FFFF0000"/>
      </font>
      <fill>
        <patternFill>
          <bgColor rgb="FFFFFF00"/>
        </patternFill>
      </fill>
    </dxf>
    <dxf>
      <fill>
        <patternFill>
          <bgColor theme="0" tint="-0.24994659260841701"/>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dxf>
    <dxf>
      <fill>
        <patternFill>
          <bgColor theme="4" tint="0.39994506668294322"/>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ill>
        <patternFill>
          <bgColor theme="3" tint="0.59996337778862885"/>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rgb="FFFFFF00"/>
        </patternFill>
      </fill>
    </dxf>
    <dxf>
      <fill>
        <patternFill>
          <bgColor theme="3" tint="0.59996337778862885"/>
        </patternFill>
      </fill>
    </dxf>
    <dxf>
      <fill>
        <patternFill>
          <bgColor theme="3" tint="0.59996337778862885"/>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theme="3" tint="0.59996337778862885"/>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font>
      <fill>
        <patternFill>
          <bgColor rgb="FFFFFF00"/>
        </patternFill>
      </fill>
    </dxf>
    <dxf>
      <fill>
        <patternFill>
          <bgColor theme="3" tint="0.59996337778862885"/>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FFFF00"/>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color rgb="FF00B050"/>
      </font>
      <fill>
        <patternFill patternType="none">
          <bgColor auto="1"/>
        </patternFill>
      </fill>
    </dxf>
    <dxf>
      <font>
        <color rgb="FF9C0006"/>
      </font>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0"/>
      </font>
      <fill>
        <patternFill>
          <bgColor theme="1" tint="0.499984740745262"/>
        </patternFill>
      </fill>
    </dxf>
    <dxf>
      <fill>
        <patternFill>
          <bgColor rgb="FFFFFF00"/>
        </patternFill>
      </fill>
    </dxf>
    <dxf>
      <font>
        <b/>
        <i val="0"/>
      </font>
      <fill>
        <patternFill>
          <bgColor theme="3" tint="0.39994506668294322"/>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theme="3" tint="0.59996337778862885"/>
        </patternFill>
      </fill>
    </dxf>
    <dxf>
      <fill>
        <patternFill>
          <bgColor theme="3" tint="0.59996337778862885"/>
        </patternFill>
      </fill>
    </dxf>
    <dxf>
      <font>
        <b/>
        <i val="0"/>
        <color rgb="FFFF0000"/>
      </font>
      <fill>
        <patternFill>
          <bgColor rgb="FFFFFF00"/>
        </patternFill>
      </fill>
    </dxf>
    <dxf>
      <fill>
        <patternFill>
          <bgColor rgb="FFFFFF00"/>
        </patternFill>
      </fill>
    </dxf>
    <dxf>
      <font>
        <b/>
        <i val="0"/>
      </font>
      <fill>
        <patternFill>
          <bgColor rgb="FFFFFF00"/>
        </patternFill>
      </fill>
    </dxf>
    <dxf>
      <fill>
        <patternFill>
          <bgColor theme="0" tint="-0.24994659260841701"/>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rgb="FFFF0000"/>
      </font>
      <fill>
        <patternFill>
          <bgColor rgb="FFFFFF00"/>
        </patternFill>
      </fill>
    </dxf>
    <dxf>
      <fill>
        <patternFill>
          <bgColor rgb="FFFFFF00"/>
        </patternFill>
      </fill>
    </dxf>
    <dxf>
      <fill>
        <patternFill>
          <bgColor theme="3" tint="0.59996337778862885"/>
        </patternFill>
      </fill>
    </dxf>
    <dxf>
      <font>
        <b/>
        <i val="0"/>
        <color theme="0"/>
      </font>
      <fill>
        <patternFill>
          <bgColor theme="1" tint="0.499984740745262"/>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ont>
        <b/>
        <i val="0"/>
        <color rgb="FFFF0000"/>
      </font>
      <fill>
        <patternFill>
          <bgColor rgb="FFFFFF00"/>
        </patternFill>
      </fill>
    </dxf>
    <dxf>
      <fill>
        <patternFill>
          <bgColor rgb="FFFFFF00"/>
        </patternFill>
      </fill>
    </dxf>
    <dxf>
      <font>
        <b/>
        <i val="0"/>
      </font>
      <fill>
        <patternFill>
          <bgColor rgb="FFFFFF00"/>
        </patternFill>
      </fill>
    </dxf>
    <dxf>
      <font>
        <b/>
        <i val="0"/>
        <color rgb="FFFF0000"/>
      </font>
    </dxf>
    <dxf>
      <fill>
        <patternFill>
          <bgColor theme="4" tint="0.39994506668294322"/>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theme="0"/>
      </font>
      <fill>
        <patternFill>
          <bgColor theme="1" tint="0.499984740745262"/>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color theme="0"/>
      </font>
      <fill>
        <patternFill>
          <bgColor theme="1" tint="0.499984740745262"/>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00B0F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ill>
        <patternFill>
          <bgColor theme="0" tint="-0.24994659260841701"/>
        </patternFill>
      </fill>
    </dxf>
    <dxf>
      <fill>
        <patternFill>
          <bgColor rgb="FFFFFF00"/>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color rgb="FF9C0006"/>
      </font>
    </dxf>
    <dxf>
      <font>
        <color rgb="FF00B050"/>
      </font>
      <fill>
        <patternFill patternType="none">
          <bgColor auto="1"/>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theme="3" tint="0.59996337778862885"/>
        </patternFill>
      </fill>
    </dxf>
    <dxf>
      <font>
        <b/>
        <i val="0"/>
      </font>
      <fill>
        <patternFill>
          <bgColor rgb="FFFFFF00"/>
        </patternFill>
      </fill>
    </dxf>
    <dxf>
      <font>
        <b/>
        <i val="0"/>
        <color theme="0"/>
      </font>
      <fill>
        <patternFill>
          <bgColor theme="1" tint="0.499984740745262"/>
        </patternFill>
      </fill>
    </dxf>
    <dxf>
      <fill>
        <patternFill>
          <bgColor theme="0" tint="-0.24994659260841701"/>
        </patternFill>
      </fill>
    </dxf>
    <dxf>
      <font>
        <b/>
        <i val="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ill>
        <patternFill>
          <bgColor theme="3" tint="0.59996337778862885"/>
        </patternFill>
      </fill>
    </dxf>
    <dxf>
      <fill>
        <patternFill>
          <bgColor rgb="FFFFFF00"/>
        </patternFill>
      </fill>
    </dxf>
    <dxf>
      <fill>
        <patternFill>
          <bgColor theme="0" tint="-0.24994659260841701"/>
        </patternFill>
      </fill>
    </dxf>
    <dxf>
      <font>
        <b/>
        <i val="0"/>
      </font>
      <fill>
        <patternFill>
          <bgColor rgb="FFFFFF00"/>
        </patternFill>
      </fill>
    </dxf>
    <dxf>
      <fill>
        <patternFill>
          <bgColor theme="4" tint="0.39994506668294322"/>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ill>
        <patternFill>
          <bgColor theme="4"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theme="4" tint="0.39994506668294322"/>
        </patternFill>
      </fill>
    </dxf>
    <dxf>
      <fill>
        <patternFill>
          <bgColor rgb="FFFFFF00"/>
        </patternFill>
      </fill>
    </dxf>
    <dxf>
      <fill>
        <patternFill>
          <bgColor theme="3" tint="0.59996337778862885"/>
        </patternFill>
      </fill>
    </dxf>
    <dxf>
      <font>
        <b/>
        <i val="0"/>
        <color rgb="FFFF0000"/>
      </font>
      <fill>
        <patternFill>
          <bgColor rgb="FFFFFF00"/>
        </patternFill>
      </fill>
    </dxf>
    <dxf>
      <font>
        <b/>
        <i val="0"/>
      </font>
      <fill>
        <patternFill>
          <bgColor rgb="FF00B0F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ill>
        <patternFill>
          <bgColor rgb="FFFFFF00"/>
        </patternFill>
      </fill>
    </dxf>
    <dxf>
      <font>
        <b/>
        <i val="0"/>
        <color rgb="FFFF0000"/>
      </font>
      <fill>
        <patternFill>
          <bgColor rgb="FFFFFF00"/>
        </patternFill>
      </fill>
    </dxf>
    <dxf>
      <fill>
        <patternFill>
          <bgColor rgb="FFFFFF00"/>
        </patternFill>
      </fill>
    </dxf>
    <dxf>
      <font>
        <b/>
        <i val="0"/>
      </font>
      <fill>
        <patternFill>
          <bgColor rgb="FF00B0F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rgb="FFFFFF00"/>
        </patternFill>
      </fill>
    </dxf>
    <dxf>
      <font>
        <b/>
        <i val="0"/>
      </font>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dxf>
    <dxf>
      <font>
        <b/>
        <i val="0"/>
      </font>
      <fill>
        <patternFill>
          <bgColor rgb="FF00B0F0"/>
        </patternFill>
      </fill>
    </dxf>
    <dxf>
      <fill>
        <patternFill>
          <bgColor theme="4" tint="0.39994506668294322"/>
        </patternFill>
      </fill>
    </dxf>
    <dxf>
      <fill>
        <patternFill>
          <bgColor theme="0" tint="-0.24994659260841701"/>
        </patternFill>
      </fill>
    </dxf>
    <dxf>
      <fill>
        <patternFill>
          <bgColor rgb="FFFFFF00"/>
        </patternFill>
      </fill>
    </dxf>
    <dxf>
      <font>
        <b/>
        <i val="0"/>
      </font>
      <fill>
        <patternFill>
          <bgColor rgb="FFFFFF00"/>
        </patternFill>
      </fill>
    </dxf>
    <dxf>
      <font>
        <b/>
        <i val="0"/>
        <color rgb="FFFF0000"/>
      </font>
      <fill>
        <patternFill>
          <bgColor theme="3" tint="0.79998168889431442"/>
        </patternFill>
      </fill>
    </dxf>
    <dxf>
      <font>
        <b/>
        <i val="0"/>
        <color theme="0"/>
      </font>
      <fill>
        <patternFill>
          <bgColor theme="1" tint="0.499984740745262"/>
        </patternFill>
      </fill>
    </dxf>
    <dxf>
      <font>
        <b/>
        <i val="0"/>
        <color rgb="FFFF0000"/>
      </font>
      <fill>
        <patternFill>
          <bgColor rgb="FFFFFF00"/>
        </patternFill>
      </fill>
    </dxf>
    <dxf>
      <font>
        <b/>
        <i val="0"/>
      </font>
      <fill>
        <patternFill>
          <bgColor rgb="FFFFFF00"/>
        </patternFill>
      </fill>
    </dxf>
    <dxf>
      <font>
        <b/>
        <i val="0"/>
      </font>
      <fill>
        <patternFill>
          <bgColor theme="3" tint="0.39994506668294322"/>
        </patternFill>
      </fill>
    </dxf>
    <dxf>
      <font>
        <b/>
        <i val="0"/>
        <color rgb="FFFF000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theme="3" tint="0.7999816888943144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rgb="FFFFFF00"/>
        </patternFill>
      </fill>
    </dxf>
    <dxf>
      <font>
        <b/>
        <i val="0"/>
      </font>
      <fill>
        <patternFill>
          <bgColor rgb="FFFFFF00"/>
        </patternFill>
      </fill>
    </dxf>
    <dxf>
      <font>
        <b/>
        <i val="0"/>
      </font>
      <fill>
        <patternFill>
          <bgColor rgb="FF00B0F0"/>
        </patternFill>
      </fill>
    </dxf>
    <dxf>
      <font>
        <b/>
        <i val="0"/>
      </font>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ill>
        <patternFill>
          <bgColor theme="0" tint="-0.24994659260841701"/>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00B0F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0"/>
      </font>
      <fill>
        <patternFill>
          <bgColor theme="1" tint="0.499984740745262"/>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theme="0" tint="-0.24994659260841701"/>
        </patternFill>
      </fill>
    </dxf>
    <dxf>
      <font>
        <b/>
        <i val="0"/>
        <color rgb="FFFF0000"/>
      </font>
      <fill>
        <patternFill>
          <bgColor rgb="FFFFFF00"/>
        </patternFill>
      </fill>
    </dxf>
    <dxf>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00B0F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theme="3" tint="0.79998168889431442"/>
        </patternFill>
      </fill>
    </dxf>
    <dxf>
      <fill>
        <patternFill>
          <bgColor theme="0" tint="-0.24994659260841701"/>
        </patternFill>
      </fill>
    </dxf>
    <dxf>
      <font>
        <b/>
        <i val="0"/>
        <color rgb="FFFF0000"/>
      </font>
      <fill>
        <patternFill>
          <bgColor rgb="FFFFFF00"/>
        </patternFill>
      </fill>
    </dxf>
    <dxf>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rgb="FFFFFF00"/>
        </patternFill>
      </fill>
    </dxf>
    <dxf>
      <font>
        <b/>
        <i val="0"/>
      </font>
      <fill>
        <patternFill>
          <bgColor rgb="FF00B0F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ill>
        <patternFill>
          <bgColor theme="0" tint="-0.24994659260841701"/>
        </patternFill>
      </fill>
    </dxf>
    <dxf>
      <fill>
        <patternFill>
          <bgColor rgb="FFFFFF00"/>
        </patternFill>
      </fill>
    </dxf>
    <dxf>
      <font>
        <b/>
        <i val="0"/>
      </font>
      <fill>
        <patternFill>
          <bgColor rgb="FFFFFF00"/>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rgb="FFFFFF00"/>
        </patternFill>
      </fill>
    </dxf>
    <dxf>
      <fill>
        <patternFill>
          <bgColor rgb="FFFFFF00"/>
        </patternFill>
      </fill>
    </dxf>
    <dxf>
      <font>
        <b/>
        <i val="0"/>
      </font>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theme="3" tint="0.39994506668294322"/>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ill>
        <patternFill>
          <bgColor theme="3" tint="0.59996337778862885"/>
        </patternFill>
      </fill>
    </dxf>
    <dxf>
      <fill>
        <patternFill>
          <bgColor theme="3" tint="0.59996337778862885"/>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ill>
        <patternFill>
          <bgColor theme="0" tint="-0.24994659260841701"/>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59996337778862885"/>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ill>
        <patternFill>
          <bgColor theme="0" tint="-0.24994659260841701"/>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theme="3" tint="0.39994506668294322"/>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theme="0" tint="-0.24994659260841701"/>
        </patternFill>
      </fill>
    </dxf>
    <dxf>
      <font>
        <b/>
        <i val="0"/>
        <color rgb="FFFF0000"/>
      </font>
      <fill>
        <patternFill>
          <bgColor rgb="FFFFFF00"/>
        </patternFill>
      </fill>
    </dxf>
    <dxf>
      <fill>
        <patternFill>
          <bgColor rgb="FFFFFF00"/>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ont>
        <color rgb="FF00B050"/>
      </font>
      <fill>
        <patternFill patternType="none">
          <bgColor auto="1"/>
        </patternFill>
      </fill>
    </dxf>
    <dxf>
      <font>
        <color rgb="FF9C0006"/>
      </font>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ill>
        <patternFill>
          <bgColor theme="0" tint="-0.24994659260841701"/>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rgb="FFFFFF00"/>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rgb="FFFF0000"/>
      </font>
      <fill>
        <patternFill>
          <bgColor theme="3" tint="0.79998168889431442"/>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ill>
        <patternFill>
          <bgColor theme="3" tint="0.59996337778862885"/>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theme="0" tint="-0.24994659260841701"/>
        </patternFill>
      </fill>
    </dxf>
    <dxf>
      <fill>
        <patternFill>
          <bgColor rgb="FFFFFF00"/>
        </patternFill>
      </fill>
    </dxf>
    <dxf>
      <font>
        <b/>
        <i val="0"/>
      </font>
      <fill>
        <patternFill>
          <bgColor rgb="FFFFFF00"/>
        </patternFill>
      </fill>
    </dxf>
    <dxf>
      <fill>
        <patternFill>
          <bgColor theme="3" tint="0.59996337778862885"/>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ill>
        <patternFill>
          <bgColor theme="3" tint="0.59996337778862885"/>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theme="4" tint="0.39994506668294322"/>
        </patternFill>
      </fill>
    </dxf>
    <dxf>
      <fill>
        <patternFill>
          <bgColor rgb="FFFFFF00"/>
        </patternFill>
      </fill>
    </dxf>
    <dxf>
      <fill>
        <patternFill>
          <bgColor theme="3" tint="0.59996337778862885"/>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rgb="FFFFFF00"/>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color rgb="FFFF0000"/>
      </font>
    </dxf>
    <dxf>
      <fill>
        <patternFill>
          <bgColor theme="4" tint="0.39994506668294322"/>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font>
      <fill>
        <patternFill>
          <bgColor theme="3" tint="0.39994506668294322"/>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theme="0" tint="-0.24994659260841701"/>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color theme="1"/>
      </font>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color theme="0"/>
      </font>
      <fill>
        <patternFill>
          <bgColor theme="1" tint="0.499984740745262"/>
        </patternFill>
      </fill>
    </dxf>
    <dxf>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theme="0" tint="-0.24994659260841701"/>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ill>
        <patternFill>
          <bgColor theme="0" tint="-0.24994659260841701"/>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ill>
        <patternFill>
          <bgColor theme="3" tint="0.59996337778862885"/>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theme="0"/>
      </font>
      <fill>
        <patternFill>
          <bgColor theme="1" tint="0.499984740745262"/>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theme="3" tint="0.79998168889431442"/>
        </patternFill>
      </fill>
    </dxf>
    <dxf>
      <fill>
        <patternFill>
          <bgColor theme="0" tint="-0.24994659260841701"/>
        </patternFill>
      </fill>
    </dxf>
    <dxf>
      <font>
        <b/>
        <i val="0"/>
        <color rgb="FFFF000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00B0F0"/>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theme="3" tint="0.39994506668294322"/>
        </patternFill>
      </fill>
    </dxf>
    <dxf>
      <font>
        <b/>
        <i val="0"/>
      </font>
      <fill>
        <patternFill>
          <bgColor rgb="FFFFFF00"/>
        </patternFill>
      </fill>
    </dxf>
    <dxf>
      <font>
        <b/>
        <i val="0"/>
        <color theme="0"/>
      </font>
      <fill>
        <patternFill>
          <bgColor theme="1" tint="0.499984740745262"/>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rgb="FFFFFF00"/>
        </patternFill>
      </fill>
    </dxf>
    <dxf>
      <fill>
        <patternFill>
          <bgColor theme="0" tint="-0.24994659260841701"/>
        </patternFill>
      </fill>
    </dxf>
    <dxf>
      <font>
        <b/>
        <i val="0"/>
      </font>
      <fill>
        <patternFill>
          <bgColor theme="3" tint="0.39994506668294322"/>
        </patternFill>
      </fill>
    </dxf>
    <dxf>
      <fill>
        <patternFill>
          <bgColor rgb="FFFFFF00"/>
        </patternFill>
      </fill>
    </dxf>
    <dxf>
      <font>
        <b/>
        <i val="0"/>
        <color theme="0"/>
      </font>
      <fill>
        <patternFill>
          <bgColor theme="1" tint="0.499984740745262"/>
        </patternFill>
      </fill>
    </dxf>
    <dxf>
      <font>
        <b/>
        <i val="0"/>
      </font>
      <fill>
        <patternFill>
          <bgColor rgb="FFFFFF00"/>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font>
      <fill>
        <patternFill>
          <bgColor rgb="FF00B0F0"/>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theme="0"/>
      </font>
      <fill>
        <patternFill>
          <bgColor theme="1" tint="0.499984740745262"/>
        </patternFill>
      </fill>
    </dxf>
    <dxf>
      <fill>
        <patternFill>
          <bgColor rgb="FFFFFF00"/>
        </patternFill>
      </fill>
    </dxf>
    <dxf>
      <fill>
        <patternFill>
          <bgColor theme="0" tint="-0.24994659260841701"/>
        </patternFill>
      </fill>
    </dxf>
    <dxf>
      <font>
        <b/>
        <i val="0"/>
      </font>
      <fill>
        <patternFill>
          <bgColor theme="3" tint="0.39994506668294322"/>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ill>
        <patternFill>
          <bgColor theme="0" tint="-0.24994659260841701"/>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ont>
        <b/>
        <i val="0"/>
      </font>
      <fill>
        <patternFill>
          <bgColor theme="3" tint="0.39994506668294322"/>
        </patternFill>
      </fill>
    </dxf>
    <dxf>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59996337778862885"/>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theme="0" tint="-0.24994659260841701"/>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color theme="0"/>
      </font>
      <fill>
        <patternFill>
          <bgColor theme="1" tint="0.49998474074526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color rgb="FF00B050"/>
      </font>
      <fill>
        <patternFill patternType="none">
          <bgColor auto="1"/>
        </patternFill>
      </fill>
    </dxf>
    <dxf>
      <font>
        <color rgb="FF9C0006"/>
      </font>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ill>
        <patternFill>
          <bgColor theme="4" tint="0.39994506668294322"/>
        </patternFill>
      </fill>
    </dxf>
    <dxf>
      <fill>
        <patternFill>
          <bgColor theme="0" tint="-0.24994659260841701"/>
        </patternFill>
      </fill>
    </dxf>
    <dxf>
      <font>
        <b/>
        <i val="0"/>
        <color rgb="FFFF0000"/>
      </font>
      <fill>
        <patternFill>
          <bgColor rgb="FFFFFF00"/>
        </patternFill>
      </fill>
    </dxf>
    <dxf>
      <fill>
        <patternFill>
          <bgColor rgb="FFFFFF00"/>
        </patternFill>
      </fill>
    </dxf>
    <dxf>
      <font>
        <b/>
        <i val="0"/>
      </font>
      <fill>
        <patternFill>
          <bgColor rgb="FF00B0F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font>
      <fill>
        <patternFill>
          <bgColor rgb="FFFFFF00"/>
        </patternFill>
      </fill>
    </dxf>
    <dxf>
      <font>
        <b/>
        <i val="0"/>
        <color rgb="FFFF0000"/>
      </font>
      <fill>
        <patternFill>
          <bgColor rgb="FFFFFF00"/>
        </patternFill>
      </fill>
    </dxf>
    <dxf>
      <fill>
        <patternFill>
          <bgColor theme="3" tint="0.59996337778862885"/>
        </patternFill>
      </fill>
    </dxf>
    <dxf>
      <fill>
        <patternFill>
          <bgColor theme="3" tint="0.59996337778862885"/>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theme="3" tint="0.59996337778862885"/>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theme="3" tint="0.59996337778862885"/>
        </patternFill>
      </fill>
    </dxf>
    <dxf>
      <font>
        <b/>
        <i val="0"/>
      </font>
      <fill>
        <patternFill>
          <bgColor rgb="FFFFFF00"/>
        </patternFill>
      </fill>
    </dxf>
    <dxf>
      <fill>
        <patternFill>
          <bgColor theme="3" tint="0.59996337778862885"/>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theme="0" tint="-0.24994659260841701"/>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ill>
        <patternFill>
          <bgColor theme="4" tint="0.39994506668294322"/>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theme="4" tint="0.39994506668294322"/>
        </patternFill>
      </fill>
    </dxf>
    <dxf>
      <fill>
        <patternFill>
          <bgColor rgb="FFFFFF00"/>
        </patternFill>
      </fill>
    </dxf>
    <dxf>
      <fill>
        <patternFill>
          <bgColor theme="3" tint="0.59996337778862885"/>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ont>
        <b/>
        <i val="0"/>
      </font>
      <fill>
        <patternFill>
          <bgColor rgb="FF00B0F0"/>
        </patternFill>
      </fill>
    </dxf>
    <dxf>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FFFF00"/>
        </patternFill>
      </fill>
    </dxf>
    <dxf>
      <font>
        <b/>
        <i val="0"/>
      </font>
      <fill>
        <patternFill>
          <bgColor theme="3" tint="0.39994506668294322"/>
        </patternFill>
      </fill>
    </dxf>
    <dxf>
      <font>
        <b/>
        <i val="0"/>
        <color rgb="FFFF0000"/>
      </font>
    </dxf>
    <dxf>
      <font>
        <b/>
        <i val="0"/>
        <color rgb="FFFF000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ont>
        <b/>
        <i val="0"/>
        <color rgb="FFFF0000"/>
      </font>
      <fill>
        <patternFill>
          <bgColor theme="3" tint="0.79998168889431442"/>
        </patternFill>
      </fill>
    </dxf>
    <dxf>
      <fill>
        <patternFill>
          <bgColor theme="0" tint="-0.24994659260841701"/>
        </patternFill>
      </fill>
    </dxf>
    <dxf>
      <font>
        <b/>
        <i val="0"/>
      </font>
      <fill>
        <patternFill>
          <bgColor theme="3" tint="0.39994506668294322"/>
        </patternFill>
      </fill>
    </dxf>
    <dxf>
      <font>
        <b/>
        <i val="0"/>
        <color theme="0"/>
      </font>
      <fill>
        <patternFill>
          <bgColor theme="1" tint="0.499984740745262"/>
        </patternFill>
      </fill>
    </dxf>
    <dxf>
      <fill>
        <patternFill>
          <bgColor theme="4" tint="0.39994506668294322"/>
        </patternFill>
      </fill>
    </dxf>
    <dxf>
      <font>
        <b/>
        <i val="0"/>
        <color rgb="FFFF0000"/>
      </font>
      <fill>
        <patternFill>
          <bgColor rgb="FFFFFF00"/>
        </patternFill>
      </fill>
    </dxf>
    <dxf>
      <font>
        <b/>
        <i val="0"/>
      </font>
      <fill>
        <patternFill>
          <bgColor rgb="FF00B0F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theme="1"/>
      </font>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theme="3" tint="0.39994506668294322"/>
        </patternFill>
      </fill>
    </dxf>
    <dxf>
      <font>
        <b/>
        <i val="0"/>
        <color rgb="FFFF0000"/>
      </font>
      <fill>
        <patternFill>
          <bgColor theme="3" tint="0.79998168889431442"/>
        </patternFill>
      </fill>
    </dxf>
    <dxf>
      <font>
        <b/>
        <i val="0"/>
        <color theme="0"/>
      </font>
      <fill>
        <patternFill>
          <bgColor theme="1" tint="0.499984740745262"/>
        </patternFill>
      </fill>
    </dxf>
    <dxf>
      <fill>
        <patternFill>
          <bgColor theme="3" tint="0.59996337778862885"/>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theme="3" tint="0.79998168889431442"/>
        </patternFill>
      </fill>
    </dxf>
    <dxf>
      <fill>
        <patternFill>
          <bgColor rgb="FFFFFF00"/>
        </patternFill>
      </fill>
    </dxf>
    <dxf>
      <font>
        <b/>
        <i val="0"/>
      </font>
      <fill>
        <patternFill>
          <bgColor rgb="FF00B0F0"/>
        </patternFill>
      </fill>
    </dxf>
    <dxf>
      <fill>
        <patternFill>
          <bgColor theme="0" tint="-0.24994659260841701"/>
        </patternFill>
      </fill>
    </dxf>
    <dxf>
      <font>
        <b/>
        <i val="0"/>
        <color rgb="FFFF0000"/>
      </font>
      <fill>
        <patternFill>
          <bgColor rgb="FFFFFF00"/>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00B0F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ont>
        <b/>
        <i val="0"/>
      </font>
      <fill>
        <patternFill>
          <bgColor theme="3" tint="0.39994506668294322"/>
        </patternFill>
      </fill>
    </dxf>
    <dxf>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rgb="FFFF0000"/>
      </font>
      <fill>
        <patternFill>
          <bgColor rgb="FFFFFF00"/>
        </patternFill>
      </fill>
    </dxf>
    <dxf>
      <font>
        <b/>
        <i val="0"/>
        <color theme="0"/>
      </font>
      <fill>
        <patternFill>
          <bgColor theme="1" tint="0.499984740745262"/>
        </patternFill>
      </fill>
    </dxf>
    <dxf>
      <font>
        <b/>
        <i val="0"/>
      </font>
      <fill>
        <patternFill>
          <bgColor rgb="FF00B0F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00B0F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theme="0"/>
      </font>
      <fill>
        <patternFill>
          <bgColor theme="1" tint="0.499984740745262"/>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theme="3" tint="0.59996337778862885"/>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font>
      <fill>
        <patternFill>
          <bgColor rgb="FF00B0F0"/>
        </patternFill>
      </fill>
    </dxf>
    <dxf>
      <font>
        <b/>
        <i val="0"/>
        <color rgb="FFFF0000"/>
      </font>
      <fill>
        <patternFill>
          <bgColor rgb="FFFFFF00"/>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rgb="FFFFFF00"/>
        </patternFill>
      </fill>
    </dxf>
    <dxf>
      <font>
        <b/>
        <i val="0"/>
      </font>
      <fill>
        <patternFill>
          <bgColor rgb="FFFFFF00"/>
        </patternFill>
      </fill>
    </dxf>
    <dxf>
      <fill>
        <patternFill>
          <bgColor theme="0" tint="-0.24994659260841701"/>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ont>
        <b/>
        <i val="0"/>
      </font>
      <fill>
        <patternFill>
          <bgColor rgb="FFFFFF00"/>
        </patternFill>
      </fill>
    </dxf>
    <dxf>
      <font>
        <b/>
        <i val="0"/>
      </font>
      <fill>
        <patternFill>
          <bgColor theme="3" tint="0.39994506668294322"/>
        </patternFill>
      </fill>
    </dxf>
    <dxf>
      <font>
        <b/>
        <i val="0"/>
      </font>
      <fill>
        <patternFill>
          <bgColor rgb="FFFFFF00"/>
        </patternFill>
      </fill>
    </dxf>
    <dxf>
      <font>
        <b/>
        <i val="0"/>
        <color theme="0"/>
      </font>
      <fill>
        <patternFill>
          <bgColor theme="1" tint="0.499984740745262"/>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ill>
        <patternFill>
          <bgColor theme="0" tint="-0.24994659260841701"/>
        </patternFill>
      </fill>
    </dxf>
    <dxf>
      <font>
        <b/>
        <i val="0"/>
      </font>
      <fill>
        <patternFill>
          <bgColor theme="3" tint="0.39994506668294322"/>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rgb="FFFF000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rgb="FFFFFF00"/>
        </patternFill>
      </fill>
    </dxf>
    <dxf>
      <fill>
        <patternFill>
          <bgColor theme="3" tint="0.59996337778862885"/>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ill>
        <patternFill>
          <bgColor theme="3" tint="0.59996337778862885"/>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59996337778862885"/>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theme="3" tint="0.39994506668294322"/>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font>
      <fill>
        <patternFill>
          <bgColor rgb="FF00B0F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ill>
        <patternFill>
          <bgColor theme="3" tint="0.59996337778862885"/>
        </patternFill>
      </fill>
    </dxf>
    <dxf>
      <font>
        <color rgb="FF00B050"/>
      </font>
      <fill>
        <patternFill patternType="none">
          <bgColor auto="1"/>
        </patternFill>
      </fill>
    </dxf>
    <dxf>
      <font>
        <color rgb="FF9C0006"/>
      </font>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theme="4" tint="0.3999450666829432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FFFF00"/>
        </patternFill>
      </fill>
    </dxf>
    <dxf>
      <font>
        <b/>
        <i val="0"/>
      </font>
      <fill>
        <patternFill>
          <bgColor rgb="FF00B0F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rgb="FF00B0F0"/>
        </patternFill>
      </fill>
    </dxf>
    <dxf>
      <font>
        <b/>
        <i val="0"/>
      </font>
      <fill>
        <patternFill>
          <bgColor theme="3" tint="0.39994506668294322"/>
        </patternFill>
      </fill>
    </dxf>
    <dxf>
      <font>
        <b/>
        <i val="0"/>
        <color theme="0"/>
      </font>
      <fill>
        <patternFill>
          <bgColor theme="1" tint="0.499984740745262"/>
        </patternFill>
      </fill>
    </dxf>
    <dxf>
      <fill>
        <patternFill>
          <bgColor theme="4" tint="0.39994506668294322"/>
        </patternFill>
      </fill>
    </dxf>
    <dxf>
      <font>
        <b/>
        <i val="0"/>
      </font>
      <fill>
        <patternFill>
          <bgColor rgb="FFFFFF00"/>
        </patternFill>
      </fill>
    </dxf>
    <dxf>
      <fill>
        <patternFill>
          <bgColor theme="4"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color rgb="FFFF0000"/>
      </font>
      <fill>
        <patternFill>
          <bgColor theme="3" tint="0.79998168889431442"/>
        </patternFill>
      </fill>
    </dxf>
    <dxf>
      <font>
        <b/>
        <i val="0"/>
        <color rgb="FFFF0000"/>
      </font>
    </dxf>
    <dxf>
      <font>
        <b/>
        <i val="0"/>
        <color theme="0"/>
      </font>
      <fill>
        <patternFill>
          <bgColor theme="1" tint="0.499984740745262"/>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theme="4" tint="0.39994506668294322"/>
        </patternFill>
      </fill>
    </dxf>
    <dxf>
      <font>
        <b/>
        <i val="0"/>
        <color rgb="FFFF0000"/>
      </font>
      <fill>
        <patternFill>
          <bgColor theme="3" tint="0.79998168889431442"/>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theme="0" tint="-0.24994659260841701"/>
        </patternFill>
      </fill>
    </dxf>
    <dxf>
      <font>
        <b/>
        <i val="0"/>
      </font>
      <fill>
        <patternFill>
          <bgColor rgb="FF00B0F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theme="4" tint="0.39994506668294322"/>
        </patternFill>
      </fill>
    </dxf>
    <dxf>
      <fill>
        <patternFill>
          <bgColor theme="4" tint="0.39994506668294322"/>
        </patternFill>
      </fill>
    </dxf>
    <dxf>
      <font>
        <b/>
        <i val="0"/>
      </font>
      <fill>
        <patternFill>
          <bgColor rgb="FFFFFF00"/>
        </patternFill>
      </fill>
    </dxf>
    <dxf>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ill>
        <patternFill>
          <bgColor theme="0" tint="-0.24994659260841701"/>
        </patternFill>
      </fill>
    </dxf>
    <dxf>
      <font>
        <b/>
        <i val="0"/>
        <color theme="0"/>
      </font>
      <fill>
        <patternFill>
          <bgColor theme="1" tint="0.499984740745262"/>
        </patternFill>
      </fill>
    </dxf>
    <dxf>
      <font>
        <b/>
        <i val="0"/>
        <color rgb="FFFF0000"/>
      </font>
      <fill>
        <patternFill>
          <bgColor rgb="FFFFFF00"/>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0" tint="-0.24994659260841701"/>
        </patternFill>
      </fill>
    </dxf>
    <dxf>
      <font>
        <b/>
        <i val="0"/>
        <color theme="0"/>
      </font>
      <fill>
        <patternFill>
          <bgColor theme="1" tint="0.499984740745262"/>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1"/>
      </font>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color theme="1"/>
      </font>
      <fill>
        <patternFill>
          <bgColor theme="3" tint="0.59996337778862885"/>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3" tint="0.59996337778862885"/>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theme="3" tint="0.59996337778862885"/>
        </patternFill>
      </fill>
    </dxf>
    <dxf>
      <fill>
        <patternFill>
          <bgColor rgb="FFFFFF00"/>
        </patternFill>
      </fill>
    </dxf>
    <dxf>
      <font>
        <b/>
        <i val="0"/>
        <color rgb="FFFF0000"/>
      </font>
      <fill>
        <patternFill>
          <bgColor rgb="FFFFFF00"/>
        </patternFill>
      </fill>
    </dxf>
    <dxf>
      <font>
        <b/>
        <i val="0"/>
        <color theme="0"/>
      </font>
      <fill>
        <patternFill>
          <bgColor theme="1" tint="0.499984740745262"/>
        </patternFill>
      </fill>
    </dxf>
    <dxf>
      <fill>
        <patternFill>
          <bgColor theme="0" tint="-0.24994659260841701"/>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ill>
        <patternFill>
          <bgColor theme="0" tint="-0.24994659260841701"/>
        </patternFill>
      </fill>
    </dxf>
    <dxf>
      <fill>
        <patternFill>
          <bgColor theme="3" tint="0.59996337778862885"/>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ill>
        <patternFill>
          <bgColor theme="0" tint="-0.24994659260841701"/>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theme="4" tint="0.39994506668294322"/>
        </patternFill>
      </fill>
    </dxf>
    <dxf>
      <fill>
        <patternFill>
          <bgColor theme="3" tint="0.59996337778862885"/>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rgb="FFFFFF00"/>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59996337778862885"/>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rgb="FF00B0F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font>
      <fill>
        <patternFill>
          <bgColor rgb="FFFFFF00"/>
        </patternFill>
      </fill>
    </dxf>
    <dxf>
      <font>
        <color rgb="FF00B050"/>
      </font>
      <fill>
        <patternFill patternType="none">
          <bgColor auto="1"/>
        </patternFill>
      </fill>
    </dxf>
    <dxf>
      <font>
        <color rgb="FF9C0006"/>
      </font>
    </dxf>
    <dxf>
      <fill>
        <patternFill>
          <bgColor theme="4" tint="0.39994506668294322"/>
        </patternFill>
      </fill>
    </dxf>
    <dxf>
      <font>
        <b/>
        <i val="0"/>
      </font>
      <fill>
        <patternFill>
          <bgColor rgb="FF00B0F0"/>
        </patternFill>
      </fill>
    </dxf>
    <dxf>
      <font>
        <b/>
        <i val="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ont>
        <b/>
        <i val="0"/>
      </font>
      <fill>
        <patternFill>
          <bgColor rgb="FFFFFF00"/>
        </patternFill>
      </fill>
    </dxf>
    <dxf>
      <fill>
        <patternFill>
          <bgColor theme="0" tint="-0.24994659260841701"/>
        </patternFill>
      </fill>
    </dxf>
    <dxf>
      <fill>
        <patternFill>
          <bgColor theme="3" tint="0.59996337778862885"/>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ill>
        <patternFill>
          <bgColor theme="3" tint="0.59996337778862885"/>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0" tint="-0.24994659260841701"/>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4" tint="0.39994506668294322"/>
        </patternFill>
      </fill>
    </dxf>
    <dxf>
      <fill>
        <patternFill>
          <bgColor theme="0" tint="-0.24994659260841701"/>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4" tint="0.3999450666829432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theme="4" tint="0.3999450666829432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theme="4" tint="0.39994506668294322"/>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3" tint="0.59996337778862885"/>
        </patternFill>
      </fill>
    </dxf>
    <dxf>
      <fill>
        <patternFill>
          <bgColor rgb="FFFFFF00"/>
        </patternFill>
      </fill>
    </dxf>
    <dxf>
      <fill>
        <patternFill>
          <bgColor rgb="FFFFFF00"/>
        </patternFill>
      </fill>
    </dxf>
    <dxf>
      <font>
        <b/>
        <i val="0"/>
        <color rgb="FFFF0000"/>
      </font>
      <fill>
        <patternFill>
          <bgColor theme="3" tint="0.79998168889431442"/>
        </patternFill>
      </fill>
    </dxf>
    <dxf>
      <font>
        <b/>
        <i val="0"/>
      </font>
      <fill>
        <patternFill>
          <bgColor rgb="FFFFFF00"/>
        </patternFill>
      </fill>
    </dxf>
    <dxf>
      <font>
        <b/>
        <i val="0"/>
      </font>
      <fill>
        <patternFill>
          <bgColor theme="3" tint="0.39994506668294322"/>
        </patternFill>
      </fill>
    </dxf>
    <dxf>
      <font>
        <b/>
        <i val="0"/>
      </font>
      <fill>
        <patternFill>
          <bgColor rgb="FFFFFF00"/>
        </patternFill>
      </fill>
    </dxf>
    <dxf>
      <font>
        <b/>
        <i val="0"/>
        <color theme="0"/>
      </font>
      <fill>
        <patternFill>
          <bgColor theme="1" tint="0.499984740745262"/>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ill>
        <patternFill>
          <bgColor rgb="FFFFFF00"/>
        </patternFill>
      </fill>
    </dxf>
    <dxf>
      <fill>
        <patternFill>
          <bgColor theme="3" tint="0.59996337778862885"/>
        </patternFill>
      </fill>
    </dxf>
    <dxf>
      <fill>
        <patternFill>
          <bgColor rgb="FFFFFF00"/>
        </patternFill>
      </fill>
    </dxf>
    <dxf>
      <fill>
        <patternFill>
          <bgColor rgb="FFFFFF00"/>
        </patternFill>
      </fill>
    </dxf>
    <dxf>
      <font>
        <b/>
        <i val="0"/>
      </font>
      <fill>
        <patternFill>
          <bgColor rgb="FFFFFF00"/>
        </patternFill>
      </fill>
    </dxf>
    <dxf>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theme="0" tint="-0.24994659260841701"/>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ill>
        <patternFill>
          <bgColor theme="4" tint="0.39994506668294322"/>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rgb="FF00B0F0"/>
        </patternFill>
      </fill>
    </dxf>
    <dxf>
      <font>
        <b/>
        <i val="0"/>
      </font>
      <fill>
        <patternFill>
          <bgColor rgb="FFFFFF00"/>
        </patternFill>
      </fill>
    </dxf>
    <dxf>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FFFF00"/>
        </patternFill>
      </fill>
    </dxf>
    <dxf>
      <font>
        <b/>
        <i val="0"/>
      </font>
      <fill>
        <patternFill>
          <bgColor rgb="FFFFFF00"/>
        </patternFill>
      </fill>
    </dxf>
    <dxf>
      <fill>
        <patternFill>
          <bgColor rgb="FFFFFF00"/>
        </patternFill>
      </fill>
    </dxf>
    <dxf>
      <font>
        <b/>
        <i val="0"/>
      </font>
      <fill>
        <patternFill>
          <bgColor rgb="FF00B0F0"/>
        </patternFill>
      </fill>
    </dxf>
    <dxf>
      <fill>
        <patternFill>
          <bgColor theme="0" tint="-0.24994659260841701"/>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ill>
        <patternFill>
          <bgColor theme="4" tint="0.39994506668294322"/>
        </patternFill>
      </fill>
    </dxf>
    <dxf>
      <font>
        <b/>
        <i val="0"/>
      </font>
      <fill>
        <patternFill>
          <bgColor theme="3" tint="0.3999450666829432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ill>
        <patternFill>
          <bgColor theme="4" tint="0.3999450666829432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color rgb="FFFF0000"/>
      </font>
    </dxf>
    <dxf>
      <font>
        <b/>
        <i val="0"/>
      </font>
      <fill>
        <patternFill>
          <bgColor rgb="FFFFFF00"/>
        </patternFill>
      </fill>
    </dxf>
    <dxf>
      <font>
        <b/>
        <i val="0"/>
      </font>
      <fill>
        <patternFill>
          <bgColor rgb="FFFFFF00"/>
        </patternFill>
      </fill>
    </dxf>
    <dxf>
      <fill>
        <patternFill>
          <bgColor rgb="FFFFFF00"/>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theme="0" tint="-0.24994659260841701"/>
        </patternFill>
      </fill>
    </dxf>
    <dxf>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font>
      <fill>
        <patternFill>
          <bgColor rgb="FF00B0F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ill>
        <patternFill>
          <bgColor theme="0" tint="-0.24994659260841701"/>
        </patternFill>
      </fill>
    </dxf>
    <dxf>
      <font>
        <b/>
        <i val="0"/>
        <color theme="0"/>
      </font>
      <fill>
        <patternFill>
          <bgColor theme="1" tint="0.499984740745262"/>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ill>
        <patternFill>
          <bgColor rgb="FFFFFF00"/>
        </patternFill>
      </fill>
    </dxf>
    <dxf>
      <fill>
        <patternFill>
          <bgColor theme="0" tint="-0.24994659260841701"/>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font>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ont>
        <b/>
        <i val="0"/>
      </font>
      <fill>
        <patternFill>
          <bgColor rgb="FFFFFF00"/>
        </patternFill>
      </fill>
    </dxf>
    <dxf>
      <font>
        <b/>
        <i val="0"/>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b/>
        <i val="0"/>
        <color theme="0"/>
      </font>
      <fill>
        <patternFill>
          <bgColor theme="1" tint="0.499984740745262"/>
        </patternFill>
      </fill>
    </dxf>
    <dxf>
      <fill>
        <patternFill>
          <bgColor rgb="FFFFFF00"/>
        </patternFill>
      </fill>
    </dxf>
    <dxf>
      <font>
        <b/>
        <i val="0"/>
        <color rgb="FFFF0000"/>
      </font>
      <fill>
        <patternFill>
          <bgColor rgb="FFFFFF00"/>
        </patternFill>
      </fill>
    </dxf>
    <dxf>
      <font>
        <b/>
        <i val="0"/>
        <color rgb="FFFF0000"/>
      </font>
      <fill>
        <patternFill>
          <bgColor theme="3" tint="0.79998168889431442"/>
        </patternFill>
      </fill>
    </dxf>
    <dxf>
      <font>
        <b/>
        <i val="0"/>
      </font>
      <fill>
        <patternFill>
          <bgColor rgb="FFFFFF00"/>
        </patternFill>
      </fill>
    </dxf>
    <dxf>
      <font>
        <b/>
        <i val="0"/>
        <color rgb="FFFF0000"/>
      </font>
      <fill>
        <patternFill>
          <bgColor rgb="FFFFFF00"/>
        </patternFill>
      </fill>
    </dxf>
    <dxf>
      <font>
        <b/>
        <i val="0"/>
      </font>
      <fill>
        <patternFill>
          <bgColor theme="3" tint="0.39994506668294322"/>
        </patternFill>
      </fill>
    </dxf>
    <dxf>
      <fill>
        <patternFill>
          <bgColor theme="0" tint="-0.24994659260841701"/>
        </patternFill>
      </fill>
    </dxf>
    <dxf>
      <font>
        <b/>
        <i val="0"/>
      </font>
      <fill>
        <patternFill>
          <bgColor rgb="FF00B0F0"/>
        </patternFill>
      </fill>
    </dxf>
    <dxf>
      <font>
        <b/>
        <i val="0"/>
      </font>
      <fill>
        <patternFill>
          <bgColor rgb="FFFFFF00"/>
        </patternFill>
      </fill>
    </dxf>
    <dxf>
      <fill>
        <patternFill>
          <bgColor theme="3" tint="0.59996337778862885"/>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0" tint="-0.24994659260841701"/>
        </patternFill>
      </fill>
    </dxf>
    <dxf>
      <font>
        <b/>
        <i val="0"/>
        <color rgb="FFFF0000"/>
      </font>
      <fill>
        <patternFill>
          <bgColor rgb="FFFFFF00"/>
        </patternFill>
      </fill>
    </dxf>
    <dxf>
      <font>
        <b/>
        <i val="0"/>
        <color rgb="FFFF0000"/>
      </font>
      <fill>
        <patternFill>
          <bgColor theme="3" tint="0.79998168889431442"/>
        </patternFill>
      </fill>
    </dxf>
    <dxf>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rgb="FF00B0F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font>
      <fill>
        <patternFill>
          <bgColor theme="3" tint="0.39994506668294322"/>
        </patternFill>
      </fill>
    </dxf>
    <dxf>
      <font>
        <b/>
        <i val="0"/>
        <color theme="0"/>
      </font>
      <fill>
        <patternFill>
          <bgColor theme="1" tint="0.499984740745262"/>
        </patternFill>
      </fill>
    </dxf>
    <dxf>
      <font>
        <b/>
        <i val="0"/>
        <color rgb="FFFF0000"/>
      </font>
      <fill>
        <patternFill>
          <bgColor theme="3" tint="0.79998168889431442"/>
        </patternFill>
      </fill>
    </dxf>
    <dxf>
      <fill>
        <patternFill>
          <bgColor rgb="FFFFFF00"/>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theme="0" tint="-0.24994659260841701"/>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00B0F0"/>
        </patternFill>
      </fill>
    </dxf>
    <dxf>
      <font>
        <b/>
        <i val="0"/>
        <color rgb="FFFF0000"/>
      </font>
      <fill>
        <patternFill>
          <bgColor rgb="FFFFFF00"/>
        </patternFill>
      </fill>
    </dxf>
    <dxf>
      <font>
        <b/>
        <i val="0"/>
      </font>
      <fill>
        <patternFill>
          <bgColor rgb="FF00B0F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theme="0"/>
      </font>
      <fill>
        <patternFill>
          <bgColor theme="1" tint="0.499984740745262"/>
        </patternFill>
      </fill>
    </dxf>
    <dxf>
      <font>
        <b/>
        <i val="0"/>
        <color rgb="FFFF0000"/>
      </font>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ont>
        <b/>
        <i val="0"/>
      </font>
      <fill>
        <patternFill>
          <bgColor theme="3"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59996337778862885"/>
        </patternFill>
      </fill>
    </dxf>
    <dxf>
      <fill>
        <patternFill>
          <bgColor theme="0" tint="-0.24994659260841701"/>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ont>
        <b/>
        <i val="0"/>
        <color rgb="FFFF0000"/>
      </font>
      <fill>
        <patternFill>
          <bgColor rgb="FFFFFF00"/>
        </patternFill>
      </fill>
    </dxf>
    <dxf>
      <fill>
        <patternFill>
          <bgColor rgb="FFFFFF00"/>
        </patternFill>
      </fill>
    </dxf>
    <dxf>
      <font>
        <b/>
        <i val="0"/>
      </font>
      <fill>
        <patternFill>
          <bgColor rgb="FF00B0F0"/>
        </patternFill>
      </fill>
    </dxf>
    <dxf>
      <fill>
        <patternFill>
          <bgColor theme="3" tint="0.59996337778862885"/>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ill>
        <patternFill>
          <bgColor theme="0" tint="-0.24994659260841701"/>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ont>
        <b/>
        <i val="0"/>
      </font>
      <fill>
        <patternFill>
          <bgColor rgb="FF00B0F0"/>
        </patternFill>
      </fill>
    </dxf>
    <dxf>
      <fill>
        <patternFill>
          <bgColor theme="3" tint="0.59996337778862885"/>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ont>
        <b/>
        <i val="0"/>
      </font>
      <fill>
        <patternFill>
          <bgColor rgb="FFFFFF00"/>
        </patternFill>
      </fill>
    </dxf>
    <dxf>
      <fill>
        <patternFill>
          <bgColor theme="3" tint="0.59996337778862885"/>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ont>
        <b/>
        <i val="0"/>
      </font>
      <fill>
        <patternFill>
          <bgColor rgb="FFFFFF00"/>
        </patternFill>
      </fill>
    </dxf>
    <dxf>
      <fill>
        <patternFill>
          <bgColor rgb="FFFFFF00"/>
        </patternFill>
      </fill>
    </dxf>
    <dxf>
      <fill>
        <patternFill>
          <bgColor theme="3" tint="0.59996337778862885"/>
        </patternFill>
      </fill>
    </dxf>
    <dxf>
      <fill>
        <patternFill>
          <bgColor theme="0" tint="-0.24994659260841701"/>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ont>
        <b/>
        <i val="0"/>
        <color rgb="FFFF0000"/>
      </font>
      <fill>
        <patternFill>
          <bgColor rgb="FFFFFF00"/>
        </patternFill>
      </fill>
    </dxf>
    <dxf>
      <font>
        <b/>
        <i val="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ont>
        <b/>
        <i val="0"/>
      </font>
      <fill>
        <patternFill>
          <bgColor rgb="FFFFFF00"/>
        </patternFill>
      </fill>
    </dxf>
    <dxf>
      <fill>
        <patternFill>
          <bgColor theme="0" tint="-0.24994659260841701"/>
        </patternFill>
      </fill>
    </dxf>
    <dxf>
      <fill>
        <patternFill>
          <bgColor rgb="FFFFFF00"/>
        </patternFill>
      </fill>
    </dxf>
    <dxf>
      <fill>
        <patternFill>
          <bgColor theme="3" tint="0.59996337778862885"/>
        </patternFill>
      </fill>
    </dxf>
    <dxf>
      <fill>
        <patternFill>
          <bgColor theme="3" tint="0.59996337778862885"/>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FFFF00"/>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ill>
        <patternFill>
          <bgColor theme="3" tint="0.59996337778862885"/>
        </patternFill>
      </fill>
    </dxf>
    <dxf>
      <fill>
        <patternFill>
          <bgColor theme="3" tint="0.59996337778862885"/>
        </patternFill>
      </fill>
    </dxf>
    <dxf>
      <font>
        <b/>
        <i val="0"/>
        <color rgb="FFFF0000"/>
      </font>
      <fill>
        <patternFill>
          <bgColor theme="3" tint="0.79998168889431442"/>
        </patternFill>
      </fill>
    </dxf>
    <dxf>
      <font>
        <b/>
        <i val="0"/>
      </font>
      <fill>
        <patternFill>
          <bgColor rgb="FFFFFF00"/>
        </patternFill>
      </fill>
    </dxf>
    <dxf>
      <font>
        <b/>
        <i val="0"/>
      </font>
      <fill>
        <patternFill>
          <bgColor rgb="FFFFFF00"/>
        </patternFill>
      </fill>
    </dxf>
    <dxf>
      <font>
        <b/>
        <i val="0"/>
      </font>
      <fill>
        <patternFill>
          <bgColor rgb="FF00B0F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theme="3" tint="0.39994506668294322"/>
        </patternFill>
      </fill>
    </dxf>
    <dxf>
      <font>
        <b/>
        <i val="0"/>
        <color theme="0"/>
      </font>
      <fill>
        <patternFill>
          <bgColor theme="1" tint="0.499984740745262"/>
        </patternFill>
      </fill>
    </dxf>
    <dxf>
      <fill>
        <patternFill>
          <bgColor theme="3" tint="0.59996337778862885"/>
        </patternFill>
      </fill>
    </dxf>
    <dxf>
      <font>
        <b/>
        <i val="0"/>
      </font>
      <fill>
        <patternFill>
          <bgColor rgb="FFFFFF00"/>
        </patternFill>
      </fill>
    </dxf>
    <dxf>
      <font>
        <b/>
        <i val="0"/>
        <color rgb="FFFF0000"/>
      </font>
      <fill>
        <patternFill>
          <bgColor theme="3" tint="0.79998168889431442"/>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ill>
        <patternFill>
          <bgColor theme="0" tint="-0.24994659260841701"/>
        </patternFill>
      </fill>
    </dxf>
    <dxf>
      <font>
        <b/>
        <i val="0"/>
        <color theme="0"/>
      </font>
      <fill>
        <patternFill>
          <bgColor theme="1" tint="0.499984740745262"/>
        </patternFill>
      </fill>
    </dxf>
    <dxf>
      <fill>
        <patternFill>
          <bgColor rgb="FFFFFF00"/>
        </patternFill>
      </fill>
    </dxf>
    <dxf>
      <font>
        <b/>
        <i val="0"/>
      </font>
      <fill>
        <patternFill>
          <bgColor theme="3" tint="0.39994506668294322"/>
        </patternFill>
      </fill>
    </dxf>
    <dxf>
      <font>
        <b/>
        <i val="0"/>
      </font>
      <fill>
        <patternFill>
          <bgColor rgb="FFFFFF00"/>
        </patternFill>
      </fill>
    </dxf>
    <dxf>
      <fill>
        <patternFill>
          <bgColor rgb="FFFFFF00"/>
        </patternFill>
      </fill>
    </dxf>
    <dxf>
      <font>
        <b/>
        <i val="0"/>
        <color theme="0"/>
      </font>
      <fill>
        <patternFill>
          <bgColor theme="1" tint="0.499984740745262"/>
        </patternFill>
      </fill>
    </dxf>
    <dxf>
      <fill>
        <patternFill>
          <bgColor theme="0" tint="-0.24994659260841701"/>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font>
      <fill>
        <patternFill>
          <bgColor rgb="FFFFFF00"/>
        </patternFill>
      </fill>
    </dxf>
    <dxf>
      <font>
        <color rgb="FF9C0006"/>
      </font>
    </dxf>
    <dxf>
      <font>
        <color rgb="FF00B050"/>
      </font>
      <fill>
        <patternFill patternType="none">
          <bgColor auto="1"/>
        </patternFill>
      </fill>
    </dxf>
    <dxf>
      <fill>
        <patternFill>
          <bgColor rgb="FFFFFF00"/>
        </patternFill>
      </fill>
    </dxf>
    <dxf>
      <font>
        <b/>
        <i val="0"/>
        <color rgb="FFFF0000"/>
      </font>
      <fill>
        <patternFill>
          <bgColor rgb="FFFFFF00"/>
        </patternFill>
      </fill>
    </dxf>
    <dxf>
      <font>
        <b/>
        <i val="0"/>
        <color theme="0"/>
      </font>
      <fill>
        <patternFill>
          <bgColor theme="1" tint="0.499984740745262"/>
        </patternFill>
      </fill>
    </dxf>
    <dxf>
      <fill>
        <patternFill>
          <bgColor rgb="FFFFFF00"/>
        </patternFill>
      </fill>
    </dxf>
    <dxf>
      <font>
        <b/>
        <i val="0"/>
        <color rgb="FFFF0000"/>
      </font>
      <fill>
        <patternFill>
          <bgColor theme="3" tint="0.79998168889431442"/>
        </patternFill>
      </fill>
    </dxf>
    <dxf>
      <font>
        <b/>
        <i val="0"/>
      </font>
      <fill>
        <patternFill>
          <bgColor theme="3" tint="0.39994506668294322"/>
        </patternFill>
      </fill>
    </dxf>
    <dxf>
      <fill>
        <patternFill>
          <bgColor rgb="FFFFFF00"/>
        </patternFill>
      </fill>
    </dxf>
    <dxf>
      <font>
        <b/>
        <i val="0"/>
      </font>
      <fill>
        <patternFill>
          <bgColor rgb="FFFFFF00"/>
        </patternFill>
      </fill>
    </dxf>
    <dxf>
      <font>
        <b/>
        <i val="0"/>
      </font>
      <fill>
        <patternFill>
          <bgColor rgb="FFFFFF00"/>
        </patternFill>
      </fill>
    </dxf>
    <dxf>
      <font>
        <b/>
        <i val="0"/>
      </font>
      <fill>
        <patternFill>
          <bgColor rgb="FF00B0F0"/>
        </patternFill>
      </fill>
    </dxf>
    <dxf>
      <fill>
        <patternFill>
          <bgColor theme="0" tint="-0.24994659260841701"/>
        </patternFill>
      </fill>
    </dxf>
    <dxf>
      <font>
        <b/>
        <i val="0"/>
        <color rgb="FFFF0000"/>
      </font>
      <fill>
        <patternFill>
          <bgColor rgb="FFFFFF00"/>
        </patternFill>
      </fill>
    </dxf>
    <dxf>
      <font>
        <b/>
        <i val="0"/>
      </font>
      <fill>
        <patternFill>
          <bgColor rgb="FFFFFF00"/>
        </patternFill>
      </fill>
    </dxf>
    <dxf>
      <font>
        <b/>
        <i val="0"/>
      </font>
      <fill>
        <patternFill>
          <bgColor rgb="FFFFFF0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font>
      <fill>
        <patternFill>
          <bgColor theme="3" tint="0.39994506668294322"/>
        </patternFill>
      </fill>
    </dxf>
    <dxf>
      <font>
        <b/>
        <i val="0"/>
      </font>
      <fill>
        <patternFill>
          <bgColor rgb="FFFFFF00"/>
        </patternFill>
      </fill>
    </dxf>
    <dxf>
      <font>
        <b/>
        <i val="0"/>
        <color theme="0"/>
      </font>
      <fill>
        <patternFill>
          <bgColor theme="1" tint="0.499984740745262"/>
        </patternFill>
      </fill>
    </dxf>
    <dxf>
      <font>
        <b/>
        <i val="0"/>
        <color rgb="FFFF0000"/>
      </font>
      <fill>
        <patternFill>
          <bgColor theme="3" tint="0.79998168889431442"/>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font>
      <fill>
        <patternFill>
          <bgColor rgb="FFFFFF00"/>
        </patternFill>
      </fill>
    </dxf>
    <dxf>
      <fill>
        <patternFill>
          <bgColor theme="3" tint="0.59996337778862885"/>
        </patternFill>
      </fill>
    </dxf>
    <dxf>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font>
      <fill>
        <patternFill>
          <bgColor rgb="FFFFFF00"/>
        </patternFill>
      </fill>
    </dxf>
    <dxf>
      <font>
        <b/>
        <i val="0"/>
        <color rgb="FFFF0000"/>
      </font>
      <fill>
        <patternFill>
          <bgColor rgb="FFFFFF00"/>
        </patternFill>
      </fill>
    </dxf>
    <dxf>
      <fill>
        <patternFill>
          <bgColor rgb="FFFFFF00"/>
        </patternFill>
      </fill>
    </dxf>
    <dxf>
      <font>
        <b/>
        <i val="0"/>
      </font>
      <fill>
        <patternFill>
          <bgColor rgb="FFFFFF00"/>
        </patternFill>
      </fill>
    </dxf>
    <dxf>
      <fill>
        <patternFill>
          <bgColor theme="0" tint="-0.24994659260841701"/>
        </patternFill>
      </fill>
    </dxf>
    <dxf>
      <font>
        <b/>
        <i val="0"/>
        <color rgb="FFFF0000"/>
      </font>
      <fill>
        <patternFill>
          <bgColor rgb="FFFFFF00"/>
        </patternFill>
      </fill>
    </dxf>
    <dxf>
      <fill>
        <patternFill>
          <bgColor theme="3" tint="0.59996337778862885"/>
        </patternFill>
      </fill>
    </dxf>
    <dxf>
      <fill>
        <patternFill>
          <bgColor theme="4" tint="0.39994506668294322"/>
        </patternFill>
      </fill>
    </dxf>
    <dxf>
      <fill>
        <patternFill>
          <bgColor rgb="FFFFFF00"/>
        </patternFill>
      </fill>
    </dxf>
    <dxf>
      <fill>
        <patternFill>
          <bgColor theme="3" tint="0.59996337778862885"/>
        </patternFill>
      </fill>
    </dxf>
    <dxf>
      <font>
        <b/>
        <i val="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00B0F0"/>
        </patternFill>
      </fill>
    </dxf>
    <dxf>
      <font>
        <b/>
        <i val="0"/>
        <color rgb="FFFF0000"/>
      </font>
      <fill>
        <patternFill>
          <bgColor theme="3" tint="0.79998168889431442"/>
        </patternFill>
      </fill>
    </dxf>
    <dxf>
      <fill>
        <patternFill>
          <bgColor rgb="FFFFFF00"/>
        </patternFill>
      </fill>
    </dxf>
    <dxf>
      <font>
        <b/>
        <i val="0"/>
      </font>
      <fill>
        <patternFill>
          <bgColor rgb="FFFFFF00"/>
        </patternFill>
      </fill>
    </dxf>
    <dxf>
      <fill>
        <patternFill>
          <bgColor theme="0" tint="-0.24994659260841701"/>
        </patternFill>
      </fill>
    </dxf>
    <dxf>
      <font>
        <b/>
        <i val="0"/>
      </font>
      <fill>
        <patternFill>
          <bgColor theme="3" tint="0.39994506668294322"/>
        </patternFill>
      </fill>
    </dxf>
    <dxf>
      <font>
        <b/>
        <i val="0"/>
        <color theme="0"/>
      </font>
      <fill>
        <patternFill>
          <bgColor theme="1" tint="0.499984740745262"/>
        </patternFill>
      </fill>
    </dxf>
    <dxf>
      <fill>
        <patternFill>
          <bgColor rgb="FFFFFF00"/>
        </patternFill>
      </fill>
    </dxf>
    <dxf>
      <font>
        <b/>
        <i val="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font>
      <fill>
        <patternFill>
          <bgColor rgb="FF00B0F0"/>
        </patternFill>
      </fill>
    </dxf>
    <dxf>
      <font>
        <b/>
        <i val="0"/>
      </font>
      <fill>
        <patternFill>
          <bgColor rgb="FF00B0F0"/>
        </patternFill>
      </fill>
    </dxf>
    <dxf>
      <fill>
        <patternFill>
          <bgColor theme="0" tint="-0.24994659260841701"/>
        </patternFill>
      </fill>
    </dxf>
    <dxf>
      <fill>
        <patternFill>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bgColor rgb="FFFFFF00"/>
        </patternFill>
      </fill>
    </dxf>
    <dxf>
      <font>
        <b/>
        <i val="0"/>
        <color theme="0"/>
      </font>
      <fill>
        <patternFill>
          <bgColor theme="1" tint="0.499984740745262"/>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FFFF00"/>
        </patternFill>
      </fill>
    </dxf>
    <dxf>
      <fill>
        <patternFill>
          <bgColor rgb="FFFFFF00"/>
        </patternFill>
      </fill>
    </dxf>
    <dxf>
      <font>
        <b/>
        <i val="0"/>
      </font>
      <fill>
        <patternFill>
          <bgColor theme="3" tint="0.39994506668294322"/>
        </patternFill>
      </fill>
    </dxf>
    <dxf>
      <font>
        <b/>
        <i val="0"/>
        <color rgb="FFFF0000"/>
      </font>
      <fill>
        <patternFill>
          <bgColor theme="3" tint="0.79998168889431442"/>
        </patternFill>
      </fill>
    </dxf>
    <dxf>
      <font>
        <b/>
        <i val="0"/>
      </font>
      <fill>
        <patternFill>
          <bgColor rgb="FF00B0F0"/>
        </patternFill>
      </fill>
    </dxf>
    <dxf>
      <font>
        <b/>
        <i val="0"/>
        <color rgb="FFFF0000"/>
      </font>
      <fill>
        <patternFill>
          <bgColor rgb="FFFFFF00"/>
        </patternFill>
      </fill>
    </dxf>
    <dxf>
      <font>
        <b/>
        <i val="0"/>
        <color rgb="FFFF0000"/>
      </font>
      <fill>
        <patternFill>
          <bgColor rgb="FFFFFF00"/>
        </patternFill>
      </fill>
    </dxf>
    <dxf>
      <fill>
        <patternFill>
          <bgColor rgb="FFFFFF00"/>
        </patternFill>
      </fill>
    </dxf>
    <dxf>
      <fill>
        <patternFill>
          <bgColor theme="0" tint="-0.24994659260841701"/>
        </patternFill>
      </fill>
    </dxf>
    <dxf>
      <font>
        <b/>
        <i val="0"/>
        <color theme="0"/>
      </font>
      <fill>
        <patternFill>
          <bgColor theme="1" tint="0.499984740745262"/>
        </patternFill>
      </fill>
    </dxf>
    <dxf>
      <fill>
        <patternFill>
          <bgColor rgb="FFFFFF00"/>
        </patternFill>
      </fill>
    </dxf>
    <dxf>
      <font>
        <b/>
        <i val="0"/>
      </font>
      <fill>
        <patternFill>
          <bgColor rgb="FFFFFF00"/>
        </patternFill>
      </fill>
    </dxf>
    <dxf>
      <font>
        <b/>
        <i val="0"/>
      </font>
      <fill>
        <patternFill>
          <bgColor rgb="FFFFFF00"/>
        </patternFill>
      </fill>
    </dxf>
    <dxf>
      <fill>
        <patternFill>
          <bgColor rgb="FF00B0F0"/>
        </patternFill>
      </fill>
    </dxf>
    <dxf>
      <font>
        <b/>
        <i val="0"/>
        <color theme="0"/>
      </font>
      <fill>
        <patternFill>
          <bgColor rgb="FFFF43FF"/>
        </patternFill>
      </fill>
    </dxf>
    <dxf>
      <fill>
        <patternFill>
          <bgColor rgb="FFFFFF00"/>
        </patternFill>
      </fill>
    </dxf>
    <dxf>
      <font>
        <b/>
        <i val="0"/>
        <color theme="0"/>
      </font>
      <fill>
        <patternFill>
          <bgColor rgb="FFCC6600"/>
        </patternFill>
      </fill>
    </dxf>
    <dxf>
      <fill>
        <patternFill>
          <bgColor rgb="FF00B0F0"/>
        </patternFill>
      </fill>
    </dxf>
    <dxf>
      <fill>
        <patternFill>
          <bgColor rgb="FFFFFF66"/>
        </patternFill>
      </fill>
    </dxf>
    <dxf>
      <font>
        <color theme="0"/>
      </font>
      <fill>
        <patternFill>
          <bgColor rgb="FF7030A0"/>
        </patternFill>
      </fill>
    </dxf>
    <dxf>
      <font>
        <b/>
        <i val="0"/>
        <color theme="0"/>
      </font>
      <fill>
        <patternFill>
          <bgColor rgb="FF456800"/>
        </patternFill>
      </fill>
    </dxf>
    <dxf>
      <fill>
        <patternFill>
          <bgColor rgb="FF00FF00"/>
        </patternFill>
      </fill>
    </dxf>
    <dxf>
      <font>
        <b/>
        <i val="0"/>
        <color rgb="FFFF0000"/>
      </font>
      <fill>
        <patternFill>
          <bgColor rgb="FF05FF76"/>
        </patternFill>
      </fill>
    </dxf>
    <dxf>
      <fill>
        <patternFill>
          <bgColor rgb="FFFFFF00"/>
        </patternFill>
      </fill>
    </dxf>
    <dxf>
      <fill>
        <patternFill>
          <bgColor rgb="FFB7E11F"/>
        </patternFill>
      </fill>
    </dxf>
    <dxf>
      <font>
        <color theme="0"/>
      </font>
      <fill>
        <patternFill>
          <bgColor rgb="FF5F5F5F"/>
        </patternFill>
      </fill>
    </dxf>
    <dxf>
      <font>
        <color auto="1"/>
      </font>
      <fill>
        <patternFill>
          <bgColor rgb="FFFFFF00"/>
        </patternFill>
      </fill>
    </dxf>
    <dxf>
      <fill>
        <patternFill>
          <bgColor rgb="FFFF0000"/>
        </patternFill>
      </fill>
    </dxf>
    <dxf>
      <font>
        <color auto="1"/>
      </font>
      <fill>
        <patternFill>
          <bgColor rgb="FFFF0000"/>
        </patternFill>
      </fill>
    </dxf>
    <dxf>
      <font>
        <b/>
        <i val="0"/>
        <color rgb="FFFFC000"/>
      </font>
      <fill>
        <patternFill>
          <bgColor theme="4" tint="-0.24994659260841701"/>
        </patternFill>
      </fill>
    </dxf>
    <dxf>
      <font>
        <b/>
        <i val="0"/>
        <color rgb="FFFFFF00"/>
      </font>
      <fill>
        <patternFill>
          <bgColor rgb="FF0000FF"/>
        </patternFill>
      </fill>
    </dxf>
    <dxf>
      <font>
        <b/>
        <i val="0"/>
        <color theme="0"/>
      </font>
      <fill>
        <patternFill patternType="solid">
          <fgColor auto="1"/>
          <bgColor rgb="FF663300"/>
        </patternFill>
      </fill>
    </dxf>
    <dxf>
      <font>
        <b/>
        <i val="0"/>
      </font>
      <fill>
        <patternFill>
          <bgColor rgb="FFFFC000"/>
        </patternFill>
      </fill>
    </dxf>
    <dxf>
      <font>
        <b/>
        <i val="0"/>
        <color auto="1"/>
      </font>
      <fill>
        <patternFill>
          <bgColor rgb="FFFFC000"/>
        </patternFill>
      </fill>
    </dxf>
    <dxf>
      <fill>
        <patternFill>
          <bgColor rgb="FF97FF97"/>
        </patternFill>
      </fill>
    </dxf>
    <dxf>
      <font>
        <b/>
        <i val="0"/>
        <color auto="1"/>
      </font>
      <fill>
        <patternFill>
          <bgColor rgb="FFFFC000"/>
        </patternFill>
      </fill>
    </dxf>
    <dxf>
      <font>
        <b/>
        <i val="0"/>
        <color auto="1"/>
      </font>
      <fill>
        <patternFill>
          <bgColor rgb="FFFFC000"/>
        </patternFill>
      </fill>
    </dxf>
    <dxf>
      <fill>
        <patternFill>
          <bgColor rgb="FF00B0F0"/>
        </patternFill>
      </fill>
    </dxf>
    <dxf>
      <font>
        <b/>
        <i val="0"/>
        <color theme="0"/>
      </font>
      <fill>
        <patternFill>
          <bgColor rgb="FFFF43FF"/>
        </patternFill>
      </fill>
    </dxf>
    <dxf>
      <fill>
        <patternFill>
          <bgColor rgb="FFFFFF00"/>
        </patternFill>
      </fill>
    </dxf>
    <dxf>
      <font>
        <b/>
        <i val="0"/>
        <color theme="0"/>
      </font>
      <fill>
        <patternFill>
          <bgColor rgb="FFCC6600"/>
        </patternFill>
      </fill>
    </dxf>
    <dxf>
      <fill>
        <patternFill>
          <bgColor rgb="FF00B0F0"/>
        </patternFill>
      </fill>
    </dxf>
    <dxf>
      <fill>
        <patternFill>
          <bgColor rgb="FFFFFF66"/>
        </patternFill>
      </fill>
    </dxf>
    <dxf>
      <font>
        <color theme="0"/>
      </font>
      <fill>
        <patternFill>
          <bgColor rgb="FF7030A0"/>
        </patternFill>
      </fill>
    </dxf>
    <dxf>
      <font>
        <b/>
        <i val="0"/>
        <color theme="0"/>
      </font>
      <fill>
        <patternFill>
          <bgColor rgb="FF456800"/>
        </patternFill>
      </fill>
    </dxf>
    <dxf>
      <fill>
        <patternFill>
          <bgColor rgb="FF00FF00"/>
        </patternFill>
      </fill>
    </dxf>
    <dxf>
      <font>
        <b/>
        <i val="0"/>
        <color rgb="FFFF0000"/>
      </font>
      <fill>
        <patternFill>
          <bgColor rgb="FF05FF76"/>
        </patternFill>
      </fill>
    </dxf>
    <dxf>
      <fill>
        <patternFill>
          <bgColor rgb="FFFFFF00"/>
        </patternFill>
      </fill>
    </dxf>
    <dxf>
      <fill>
        <patternFill>
          <bgColor rgb="FFB7E11F"/>
        </patternFill>
      </fill>
    </dxf>
    <dxf>
      <font>
        <color theme="0"/>
      </font>
      <fill>
        <patternFill>
          <bgColor rgb="FF5F5F5F"/>
        </patternFill>
      </fill>
    </dxf>
    <dxf>
      <font>
        <color auto="1"/>
      </font>
      <fill>
        <patternFill>
          <bgColor rgb="FF7030A0"/>
        </patternFill>
      </fill>
    </dxf>
    <dxf>
      <fill>
        <patternFill>
          <bgColor rgb="FFFF0000"/>
        </patternFill>
      </fill>
    </dxf>
    <dxf>
      <font>
        <color auto="1"/>
      </font>
      <fill>
        <patternFill>
          <bgColor rgb="FFFF0000"/>
        </patternFill>
      </fill>
    </dxf>
    <dxf>
      <font>
        <b/>
        <i val="0"/>
        <color rgb="FFFFC000"/>
      </font>
      <fill>
        <patternFill>
          <bgColor theme="4" tint="-0.24994659260841701"/>
        </patternFill>
      </fill>
    </dxf>
    <dxf>
      <font>
        <b/>
        <i val="0"/>
        <color rgb="FFFFFF00"/>
      </font>
      <fill>
        <patternFill>
          <bgColor rgb="FF0000FF"/>
        </patternFill>
      </fill>
    </dxf>
    <dxf>
      <font>
        <b/>
        <i val="0"/>
        <color theme="0"/>
      </font>
      <fill>
        <patternFill patternType="solid">
          <fgColor auto="1"/>
          <bgColor rgb="FF663300"/>
        </patternFill>
      </fill>
    </dxf>
    <dxf>
      <font>
        <b/>
        <i val="0"/>
      </font>
      <fill>
        <patternFill>
          <bgColor rgb="FFFFC000"/>
        </patternFill>
      </fill>
    </dxf>
    <dxf>
      <font>
        <b/>
        <i val="0"/>
        <color auto="1"/>
      </font>
      <fill>
        <patternFill>
          <bgColor rgb="FFFFC000"/>
        </patternFill>
      </fill>
    </dxf>
    <dxf>
      <fill>
        <patternFill>
          <bgColor rgb="FF97FF97"/>
        </patternFill>
      </fill>
    </dxf>
    <dxf>
      <font>
        <b/>
        <i val="0"/>
        <color rgb="FFFF0000"/>
      </font>
      <fill>
        <patternFill>
          <bgColor rgb="FFFFC000"/>
        </patternFill>
      </fill>
    </dxf>
    <dxf>
      <font>
        <b/>
        <i val="0"/>
        <color rgb="FFFF0000"/>
      </font>
      <fill>
        <patternFill>
          <bgColor rgb="FFFFC000"/>
        </patternFill>
      </fill>
    </dxf>
    <dxf>
      <font>
        <b/>
        <i val="0"/>
        <color theme="0"/>
      </font>
      <fill>
        <patternFill>
          <bgColor rgb="FF3F3FFF"/>
        </patternFill>
      </fill>
    </dxf>
    <dxf>
      <font>
        <b/>
        <i val="0"/>
        <color rgb="FFFFFF00"/>
      </font>
      <fill>
        <patternFill>
          <bgColor theme="9" tint="-0.24994659260841701"/>
        </patternFill>
      </fill>
    </dxf>
    <dxf>
      <font>
        <b/>
        <i val="0"/>
        <color auto="1"/>
      </font>
      <fill>
        <patternFill>
          <bgColor rgb="FFFFC000"/>
        </patternFill>
      </fill>
    </dxf>
    <dxf>
      <fill>
        <patternFill>
          <bgColor rgb="FF00B0F0"/>
        </patternFill>
      </fill>
    </dxf>
    <dxf>
      <font>
        <b/>
        <i val="0"/>
        <color theme="0"/>
      </font>
      <fill>
        <patternFill>
          <bgColor rgb="FFFF43FF"/>
        </patternFill>
      </fill>
    </dxf>
    <dxf>
      <fill>
        <patternFill>
          <bgColor rgb="FFFFFF00"/>
        </patternFill>
      </fill>
    </dxf>
    <dxf>
      <font>
        <b/>
        <i val="0"/>
        <color theme="0"/>
      </font>
      <fill>
        <patternFill>
          <bgColor rgb="FFCC6600"/>
        </patternFill>
      </fill>
    </dxf>
    <dxf>
      <fill>
        <patternFill>
          <bgColor rgb="FF00B0F0"/>
        </patternFill>
      </fill>
    </dxf>
    <dxf>
      <fill>
        <patternFill>
          <bgColor rgb="FFFFFF66"/>
        </patternFill>
      </fill>
    </dxf>
    <dxf>
      <font>
        <color theme="0"/>
      </font>
      <fill>
        <patternFill>
          <bgColor rgb="FF7030A0"/>
        </patternFill>
      </fill>
    </dxf>
    <dxf>
      <font>
        <b/>
        <i val="0"/>
        <color theme="0"/>
      </font>
      <fill>
        <patternFill>
          <bgColor rgb="FF456800"/>
        </patternFill>
      </fill>
    </dxf>
    <dxf>
      <fill>
        <patternFill>
          <bgColor rgb="FF00FF00"/>
        </patternFill>
      </fill>
    </dxf>
    <dxf>
      <font>
        <b/>
        <i val="0"/>
        <color rgb="FFFF0000"/>
      </font>
      <fill>
        <patternFill>
          <bgColor rgb="FF05FF76"/>
        </patternFill>
      </fill>
    </dxf>
    <dxf>
      <fill>
        <patternFill>
          <bgColor rgb="FFFFFF00"/>
        </patternFill>
      </fill>
    </dxf>
    <dxf>
      <fill>
        <patternFill>
          <bgColor rgb="FFB7E11F"/>
        </patternFill>
      </fill>
    </dxf>
    <dxf>
      <font>
        <color theme="0"/>
      </font>
      <fill>
        <patternFill>
          <bgColor rgb="FF5F5F5F"/>
        </patternFill>
      </fill>
    </dxf>
    <dxf>
      <font>
        <color auto="1"/>
      </font>
      <fill>
        <patternFill>
          <bgColor theme="0" tint="-0.499984740745262"/>
        </patternFill>
      </fill>
    </dxf>
    <dxf>
      <fill>
        <patternFill>
          <bgColor rgb="FFFF0000"/>
        </patternFill>
      </fill>
    </dxf>
    <dxf>
      <font>
        <color auto="1"/>
      </font>
      <fill>
        <patternFill>
          <bgColor rgb="FFFF0000"/>
        </patternFill>
      </fill>
    </dxf>
    <dxf>
      <font>
        <b/>
        <i val="0"/>
        <color rgb="FFFFC000"/>
      </font>
      <fill>
        <patternFill>
          <bgColor theme="4" tint="-0.24994659260841701"/>
        </patternFill>
      </fill>
    </dxf>
    <dxf>
      <font>
        <b/>
        <i val="0"/>
        <color rgb="FFFFFF00"/>
      </font>
      <fill>
        <patternFill>
          <bgColor rgb="FF0000FF"/>
        </patternFill>
      </fill>
    </dxf>
    <dxf>
      <font>
        <b/>
        <i val="0"/>
        <color theme="0"/>
      </font>
      <fill>
        <patternFill patternType="solid">
          <fgColor auto="1"/>
          <bgColor rgb="FF663300"/>
        </patternFill>
      </fill>
    </dxf>
    <dxf>
      <font>
        <b/>
        <i val="0"/>
      </font>
      <fill>
        <patternFill>
          <bgColor rgb="FFFFC000"/>
        </patternFill>
      </fill>
    </dxf>
    <dxf>
      <font>
        <b/>
        <i val="0"/>
        <color auto="1"/>
      </font>
      <fill>
        <patternFill>
          <bgColor rgb="FFFFC000"/>
        </patternFill>
      </fill>
    </dxf>
    <dxf>
      <font>
        <b/>
        <i val="0"/>
        <color auto="1"/>
      </font>
      <fill>
        <patternFill>
          <bgColor rgb="FFFFC000"/>
        </patternFill>
      </fill>
    </dxf>
    <dxf>
      <fill>
        <patternFill>
          <bgColor rgb="FF97FF97"/>
        </patternFill>
      </fill>
    </dxf>
    <dxf>
      <font>
        <b/>
        <i val="0"/>
        <color rgb="FFFFFF00"/>
      </font>
      <fill>
        <patternFill>
          <bgColor rgb="FF0000FF"/>
        </patternFill>
      </fill>
    </dxf>
    <dxf>
      <font>
        <b/>
        <i val="0"/>
        <color theme="0"/>
      </font>
      <fill>
        <patternFill patternType="solid">
          <fgColor auto="1"/>
          <bgColor rgb="FF663300"/>
        </patternFill>
      </fill>
    </dxf>
    <dxf>
      <font>
        <b/>
        <i val="0"/>
      </font>
      <fill>
        <patternFill>
          <bgColor rgb="FF05FF76"/>
        </patternFill>
      </fill>
    </dxf>
    <dxf>
      <fill>
        <patternFill>
          <bgColor rgb="FF00FF00"/>
        </patternFill>
      </fill>
    </dxf>
    <dxf>
      <font>
        <b/>
        <i val="0"/>
        <color theme="0"/>
      </font>
      <fill>
        <patternFill>
          <bgColor rgb="FFFF43FF"/>
        </patternFill>
      </fill>
    </dxf>
    <dxf>
      <fill>
        <patternFill>
          <bgColor rgb="FFFFFF00"/>
        </patternFill>
      </fill>
    </dxf>
    <dxf>
      <font>
        <b/>
        <i val="0"/>
        <color theme="0"/>
      </font>
      <fill>
        <patternFill>
          <bgColor rgb="FFCC6600"/>
        </patternFill>
      </fill>
    </dxf>
    <dxf>
      <font>
        <b/>
        <i val="0"/>
        <color theme="0"/>
      </font>
      <fill>
        <patternFill>
          <bgColor rgb="FF456800"/>
        </patternFill>
      </fill>
    </dxf>
    <dxf>
      <fill>
        <patternFill>
          <bgColor rgb="FFB7E11F"/>
        </patternFill>
      </fill>
    </dxf>
    <dxf>
      <font>
        <color theme="0"/>
      </font>
      <fill>
        <patternFill>
          <bgColor rgb="FF5F5F5F"/>
        </patternFill>
      </fill>
    </dxf>
    <dxf>
      <font>
        <color auto="1"/>
      </font>
      <fill>
        <patternFill>
          <bgColor theme="0" tint="-0.499984740745262"/>
        </patternFill>
      </fill>
    </dxf>
    <dxf>
      <fill>
        <patternFill>
          <bgColor rgb="FFFF0000"/>
        </patternFill>
      </fill>
    </dxf>
    <dxf>
      <fill>
        <patternFill>
          <bgColor rgb="FFFFC000"/>
        </patternFill>
      </fill>
    </dxf>
    <dxf>
      <font>
        <b/>
        <i val="0"/>
      </font>
      <fill>
        <patternFill>
          <bgColor rgb="FFFF43FF"/>
        </patternFill>
      </fill>
    </dxf>
    <dxf>
      <font>
        <b/>
        <i val="0"/>
        <color rgb="FFFF0000"/>
      </font>
      <fill>
        <patternFill>
          <bgColor rgb="FF05FF76"/>
        </patternFill>
      </fill>
    </dxf>
    <dxf>
      <fill>
        <patternFill>
          <bgColor rgb="FFFFFF00"/>
        </patternFill>
      </fill>
    </dxf>
    <dxf>
      <font>
        <color theme="0"/>
      </font>
      <fill>
        <patternFill>
          <bgColor rgb="FF7030A0"/>
        </patternFill>
      </fill>
    </dxf>
    <dxf>
      <fill>
        <patternFill>
          <bgColor rgb="FF00B0F0"/>
        </patternFill>
      </fill>
    </dxf>
    <dxf>
      <font>
        <b/>
        <i val="0"/>
        <color rgb="FF0000FF"/>
      </font>
      <fill>
        <patternFill>
          <bgColor rgb="FF05FF76"/>
        </patternFill>
      </fill>
    </dxf>
  </dxfs>
  <tableStyles count="0" defaultTableStyle="TableStyleMedium2" defaultPivotStyle="PivotStyleLight16"/>
  <colors>
    <mruColors>
      <color rgb="FFFFA357"/>
      <color rgb="FFFF66CC"/>
      <color rgb="FFFD6A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usernames" Target="revisions/userNam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revisionHeaders" Target="revisions/revisionHeader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H%20Pikud%20@%20Maslulim/&#1514;&#1493;&#1499;&#1504;&#1497;&#1514;%20&#1506;&#1489;&#1493;&#1491;&#1492;%20&#1513;&#1504;&#1514;&#1497;&#1514;%202023%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ינואר"/>
      <sheetName val="גליון1"/>
      <sheetName val="פברואר"/>
      <sheetName val="מרץ"/>
      <sheetName val="אפריל"/>
      <sheetName val="מאי"/>
      <sheetName val="יוני"/>
      <sheetName val="יולי"/>
      <sheetName val="אוגוסט"/>
      <sheetName val="ספטמבר"/>
      <sheetName val="אוקטובר"/>
      <sheetName val="נובמבר"/>
      <sheetName val="דצמבר"/>
      <sheetName val="מקר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
          <cell r="B3">
            <v>2</v>
          </cell>
        </row>
        <row r="4">
          <cell r="B4" t="str">
            <v>L</v>
          </cell>
        </row>
        <row r="5">
          <cell r="B5" t="str">
            <v>Y</v>
          </cell>
        </row>
        <row r="6">
          <cell r="B6" t="str">
            <v>אילת</v>
          </cell>
        </row>
        <row r="7">
          <cell r="B7" t="str">
            <v>דב</v>
          </cell>
        </row>
        <row r="8">
          <cell r="B8" t="str">
            <v>הרצליה</v>
          </cell>
        </row>
        <row r="9">
          <cell r="B9" t="str">
            <v>חיפה</v>
          </cell>
        </row>
        <row r="10">
          <cell r="B10" t="str">
            <v>מחניים</v>
          </cell>
        </row>
        <row r="11">
          <cell r="B11" t="str">
            <v>עובדה</v>
          </cell>
        </row>
        <row r="12">
          <cell r="B12" t="str">
            <v>ח</v>
          </cell>
        </row>
        <row r="13">
          <cell r="B13" t="str">
            <v>י</v>
          </cell>
        </row>
        <row r="14">
          <cell r="B14" t="str">
            <v>כ</v>
          </cell>
        </row>
        <row r="15">
          <cell r="B15" t="str">
            <v>כד</v>
          </cell>
        </row>
        <row r="16">
          <cell r="B16" t="str">
            <v>כש</v>
          </cell>
        </row>
        <row r="17">
          <cell r="B17" t="str">
            <v>ל</v>
          </cell>
        </row>
        <row r="18">
          <cell r="B18" t="str">
            <v>ל2</v>
          </cell>
        </row>
        <row r="19">
          <cell r="B19" t="str">
            <v>מיל</v>
          </cell>
        </row>
        <row r="20">
          <cell r="B20" t="str">
            <v>מנוחה</v>
          </cell>
        </row>
        <row r="21">
          <cell r="B21" t="str">
            <v>מחלה</v>
          </cell>
        </row>
        <row r="22">
          <cell r="B22" t="str">
            <v>פ</v>
          </cell>
        </row>
        <row r="23">
          <cell r="B23" t="str">
            <v>ק</v>
          </cell>
        </row>
        <row r="24">
          <cell r="B24" t="str">
            <v>שבת</v>
          </cell>
        </row>
        <row r="25">
          <cell r="B25" t="str">
            <v>שישי</v>
          </cell>
        </row>
        <row r="26">
          <cell r="B26" t="str">
            <v>ת</v>
          </cell>
        </row>
        <row r="27">
          <cell r="B27" t="str">
            <v>רמון</v>
          </cell>
        </row>
        <row r="28">
          <cell r="B28" t="str">
            <v>כמ</v>
          </cell>
        </row>
        <row r="29">
          <cell r="B29" t="str">
            <v>כמש</v>
          </cell>
        </row>
        <row r="30">
          <cell r="B30" t="str">
            <v>PBB</v>
          </cell>
        </row>
        <row r="31">
          <cell r="B31" t="str">
            <v>DMAX</v>
          </cell>
        </row>
      </sheetData>
    </sheetDataSet>
  </externalBook>
</externalLink>
</file>

<file path=xl/revisions/_rels/revisionHeaders.xml.rels><?xml version="1.0" encoding="UTF-8" standalone="yes"?>
<Relationships xmlns="http://schemas.openxmlformats.org/package/2006/relationships"><Relationship Id="rId117" Type="http://schemas.openxmlformats.org/officeDocument/2006/relationships/revisionLog" Target="revisionLog117.xml"/><Relationship Id="rId21" Type="http://schemas.openxmlformats.org/officeDocument/2006/relationships/revisionLog" Target="revisionLog21.xml"/><Relationship Id="rId42" Type="http://schemas.openxmlformats.org/officeDocument/2006/relationships/revisionLog" Target="revisionLog42.xml"/><Relationship Id="rId63" Type="http://schemas.openxmlformats.org/officeDocument/2006/relationships/revisionLog" Target="revisionLog63.xml"/><Relationship Id="rId84" Type="http://schemas.openxmlformats.org/officeDocument/2006/relationships/revisionLog" Target="revisionLog84.xml"/><Relationship Id="rId138" Type="http://schemas.openxmlformats.org/officeDocument/2006/relationships/revisionLog" Target="revisionLog138.xml"/><Relationship Id="rId159" Type="http://schemas.openxmlformats.org/officeDocument/2006/relationships/revisionLog" Target="revisionLog157.xml"/><Relationship Id="rId170" Type="http://schemas.openxmlformats.org/officeDocument/2006/relationships/revisionLog" Target="revisionLog162.xml"/><Relationship Id="rId107" Type="http://schemas.openxmlformats.org/officeDocument/2006/relationships/revisionLog" Target="revisionLog107.xml"/><Relationship Id="rId11" Type="http://schemas.openxmlformats.org/officeDocument/2006/relationships/revisionLog" Target="revisionLog11.xml"/><Relationship Id="rId32" Type="http://schemas.openxmlformats.org/officeDocument/2006/relationships/revisionLog" Target="revisionLog32.xml"/><Relationship Id="rId53" Type="http://schemas.openxmlformats.org/officeDocument/2006/relationships/revisionLog" Target="revisionLog53.xml"/><Relationship Id="rId74" Type="http://schemas.openxmlformats.org/officeDocument/2006/relationships/revisionLog" Target="revisionLog74.xml"/><Relationship Id="rId128" Type="http://schemas.openxmlformats.org/officeDocument/2006/relationships/revisionLog" Target="revisionLog128.xml"/><Relationship Id="rId149" Type="http://schemas.openxmlformats.org/officeDocument/2006/relationships/revisionLog" Target="revisionLog149.xml"/><Relationship Id="rId160" Type="http://schemas.openxmlformats.org/officeDocument/2006/relationships/revisionLog" Target="revisionLog158.xml"/><Relationship Id="rId95" Type="http://schemas.openxmlformats.org/officeDocument/2006/relationships/revisionLog" Target="revisionLog95.xml"/><Relationship Id="rId181" Type="http://schemas.openxmlformats.org/officeDocument/2006/relationships/revisionLog" Target="revisionLog173.xml"/><Relationship Id="rId22" Type="http://schemas.openxmlformats.org/officeDocument/2006/relationships/revisionLog" Target="revisionLog22.xml"/><Relationship Id="rId43" Type="http://schemas.openxmlformats.org/officeDocument/2006/relationships/revisionLog" Target="revisionLog43.xml"/><Relationship Id="rId64" Type="http://schemas.openxmlformats.org/officeDocument/2006/relationships/revisionLog" Target="revisionLog64.xml"/><Relationship Id="rId118" Type="http://schemas.openxmlformats.org/officeDocument/2006/relationships/revisionLog" Target="revisionLog118.xml"/><Relationship Id="rId139" Type="http://schemas.openxmlformats.org/officeDocument/2006/relationships/revisionLog" Target="revisionLog139.xml"/><Relationship Id="rId85" Type="http://schemas.openxmlformats.org/officeDocument/2006/relationships/revisionLog" Target="revisionLog85.xml"/><Relationship Id="rId150" Type="http://schemas.openxmlformats.org/officeDocument/2006/relationships/revisionLog" Target="revisionLog150.xml"/><Relationship Id="rId171" Type="http://schemas.openxmlformats.org/officeDocument/2006/relationships/revisionLog" Target="revisionLog163.xml"/><Relationship Id="rId12" Type="http://schemas.openxmlformats.org/officeDocument/2006/relationships/revisionLog" Target="revisionLog12.xml"/><Relationship Id="rId33" Type="http://schemas.openxmlformats.org/officeDocument/2006/relationships/revisionLog" Target="revisionLog33.xml"/><Relationship Id="rId108" Type="http://schemas.openxmlformats.org/officeDocument/2006/relationships/revisionLog" Target="revisionLog108.xml"/><Relationship Id="rId129" Type="http://schemas.openxmlformats.org/officeDocument/2006/relationships/revisionLog" Target="revisionLog129.xml"/><Relationship Id="rId54" Type="http://schemas.openxmlformats.org/officeDocument/2006/relationships/revisionLog" Target="revisionLog54.xml"/><Relationship Id="rId75" Type="http://schemas.openxmlformats.org/officeDocument/2006/relationships/revisionLog" Target="revisionLog75.xml"/><Relationship Id="rId96" Type="http://schemas.openxmlformats.org/officeDocument/2006/relationships/revisionLog" Target="revisionLog96.xml"/><Relationship Id="rId140" Type="http://schemas.openxmlformats.org/officeDocument/2006/relationships/revisionLog" Target="revisionLog140.xml"/><Relationship Id="rId161" Type="http://schemas.openxmlformats.org/officeDocument/2006/relationships/revisionLog" Target="revisionLog159.xml"/><Relationship Id="rId182" Type="http://schemas.openxmlformats.org/officeDocument/2006/relationships/revisionLog" Target="revisionLog174.xml"/><Relationship Id="rId23" Type="http://schemas.openxmlformats.org/officeDocument/2006/relationships/revisionLog" Target="revisionLog23.xml"/><Relationship Id="rId28" Type="http://schemas.openxmlformats.org/officeDocument/2006/relationships/revisionLog" Target="revisionLog28.xml"/><Relationship Id="rId49" Type="http://schemas.openxmlformats.org/officeDocument/2006/relationships/revisionLog" Target="revisionLog49.xml"/><Relationship Id="rId114" Type="http://schemas.openxmlformats.org/officeDocument/2006/relationships/revisionLog" Target="revisionLog114.xml"/><Relationship Id="rId119" Type="http://schemas.openxmlformats.org/officeDocument/2006/relationships/revisionLog" Target="revisionLog119.xml"/><Relationship Id="rId44" Type="http://schemas.openxmlformats.org/officeDocument/2006/relationships/revisionLog" Target="revisionLog44.xml"/><Relationship Id="rId60" Type="http://schemas.openxmlformats.org/officeDocument/2006/relationships/revisionLog" Target="revisionLog60.xml"/><Relationship Id="rId65" Type="http://schemas.openxmlformats.org/officeDocument/2006/relationships/revisionLog" Target="revisionLog65.xml"/><Relationship Id="rId81" Type="http://schemas.openxmlformats.org/officeDocument/2006/relationships/revisionLog" Target="revisionLog81.xml"/><Relationship Id="rId86" Type="http://schemas.openxmlformats.org/officeDocument/2006/relationships/revisionLog" Target="revisionLog86.xml"/><Relationship Id="rId130" Type="http://schemas.openxmlformats.org/officeDocument/2006/relationships/revisionLog" Target="revisionLog130.xml"/><Relationship Id="rId135" Type="http://schemas.openxmlformats.org/officeDocument/2006/relationships/revisionLog" Target="revisionLog135.xml"/><Relationship Id="rId151" Type="http://schemas.openxmlformats.org/officeDocument/2006/relationships/revisionLog" Target="revisionLog151.xml"/><Relationship Id="rId156" Type="http://schemas.openxmlformats.org/officeDocument/2006/relationships/revisionLog" Target="revisionLog154.xml"/><Relationship Id="rId177" Type="http://schemas.openxmlformats.org/officeDocument/2006/relationships/revisionLog" Target="revisionLog169.xml"/><Relationship Id="rId172" Type="http://schemas.openxmlformats.org/officeDocument/2006/relationships/revisionLog" Target="revisionLog164.xml"/><Relationship Id="rId13" Type="http://schemas.openxmlformats.org/officeDocument/2006/relationships/revisionLog" Target="revisionLog13.xml"/><Relationship Id="rId18" Type="http://schemas.openxmlformats.org/officeDocument/2006/relationships/revisionLog" Target="revisionLog18.xml"/><Relationship Id="rId39" Type="http://schemas.openxmlformats.org/officeDocument/2006/relationships/revisionLog" Target="revisionLog39.xml"/><Relationship Id="rId109" Type="http://schemas.openxmlformats.org/officeDocument/2006/relationships/revisionLog" Target="revisionLog109.xml"/><Relationship Id="rId34" Type="http://schemas.openxmlformats.org/officeDocument/2006/relationships/revisionLog" Target="revisionLog34.xml"/><Relationship Id="rId50" Type="http://schemas.openxmlformats.org/officeDocument/2006/relationships/revisionLog" Target="revisionLog50.xml"/><Relationship Id="rId55" Type="http://schemas.openxmlformats.org/officeDocument/2006/relationships/revisionLog" Target="revisionLog55.xml"/><Relationship Id="rId76" Type="http://schemas.openxmlformats.org/officeDocument/2006/relationships/revisionLog" Target="revisionLog76.xml"/><Relationship Id="rId97" Type="http://schemas.openxmlformats.org/officeDocument/2006/relationships/revisionLog" Target="revisionLog97.xml"/><Relationship Id="rId104" Type="http://schemas.openxmlformats.org/officeDocument/2006/relationships/revisionLog" Target="revisionLog104.xml"/><Relationship Id="rId120" Type="http://schemas.openxmlformats.org/officeDocument/2006/relationships/revisionLog" Target="revisionLog120.xml"/><Relationship Id="rId125" Type="http://schemas.openxmlformats.org/officeDocument/2006/relationships/revisionLog" Target="revisionLog125.xml"/><Relationship Id="rId141" Type="http://schemas.openxmlformats.org/officeDocument/2006/relationships/revisionLog" Target="revisionLog141.xml"/><Relationship Id="rId146" Type="http://schemas.openxmlformats.org/officeDocument/2006/relationships/revisionLog" Target="revisionLog146.xml"/><Relationship Id="rId167" Type="http://schemas.openxmlformats.org/officeDocument/2006/relationships/revisionLog" Target="revisionLog6.xml"/><Relationship Id="rId188" Type="http://schemas.openxmlformats.org/officeDocument/2006/relationships/revisionLog" Target="revisionLog178.xml"/><Relationship Id="rId162" Type="http://schemas.openxmlformats.org/officeDocument/2006/relationships/revisionLog" Target="revisionLog160.xml"/><Relationship Id="rId71" Type="http://schemas.openxmlformats.org/officeDocument/2006/relationships/revisionLog" Target="revisionLog71.xml"/><Relationship Id="rId92" Type="http://schemas.openxmlformats.org/officeDocument/2006/relationships/revisionLog" Target="revisionLog92.xml"/><Relationship Id="rId183" Type="http://schemas.openxmlformats.org/officeDocument/2006/relationships/revisionLog" Target="revisionLog175.xml"/><Relationship Id="rId29" Type="http://schemas.openxmlformats.org/officeDocument/2006/relationships/revisionLog" Target="revisionLog29.xml"/><Relationship Id="rId24" Type="http://schemas.openxmlformats.org/officeDocument/2006/relationships/revisionLog" Target="revisionLog24.xml"/><Relationship Id="rId40" Type="http://schemas.openxmlformats.org/officeDocument/2006/relationships/revisionLog" Target="revisionLog40.xml"/><Relationship Id="rId45" Type="http://schemas.openxmlformats.org/officeDocument/2006/relationships/revisionLog" Target="revisionLog45.xml"/><Relationship Id="rId66" Type="http://schemas.openxmlformats.org/officeDocument/2006/relationships/revisionLog" Target="revisionLog66.xml"/><Relationship Id="rId87" Type="http://schemas.openxmlformats.org/officeDocument/2006/relationships/revisionLog" Target="revisionLog87.xml"/><Relationship Id="rId110" Type="http://schemas.openxmlformats.org/officeDocument/2006/relationships/revisionLog" Target="revisionLog110.xml"/><Relationship Id="rId115" Type="http://schemas.openxmlformats.org/officeDocument/2006/relationships/revisionLog" Target="revisionLog115.xml"/><Relationship Id="rId131" Type="http://schemas.openxmlformats.org/officeDocument/2006/relationships/revisionLog" Target="revisionLog131.xml"/><Relationship Id="rId136" Type="http://schemas.openxmlformats.org/officeDocument/2006/relationships/revisionLog" Target="revisionLog136.xml"/><Relationship Id="rId157" Type="http://schemas.openxmlformats.org/officeDocument/2006/relationships/revisionLog" Target="revisionLog155.xml"/><Relationship Id="rId178" Type="http://schemas.openxmlformats.org/officeDocument/2006/relationships/revisionLog" Target="revisionLog170.xml"/><Relationship Id="rId61" Type="http://schemas.openxmlformats.org/officeDocument/2006/relationships/revisionLog" Target="revisionLog61.xml"/><Relationship Id="rId82" Type="http://schemas.openxmlformats.org/officeDocument/2006/relationships/revisionLog" Target="revisionLog82.xml"/><Relationship Id="rId152" Type="http://schemas.openxmlformats.org/officeDocument/2006/relationships/revisionLog" Target="revisionLog152.xml"/><Relationship Id="rId173" Type="http://schemas.openxmlformats.org/officeDocument/2006/relationships/revisionLog" Target="revisionLog165.xml"/><Relationship Id="rId19" Type="http://schemas.openxmlformats.org/officeDocument/2006/relationships/revisionLog" Target="revisionLog19.xml"/><Relationship Id="rId14" Type="http://schemas.openxmlformats.org/officeDocument/2006/relationships/revisionLog" Target="revisionLog14.xml"/><Relationship Id="rId30" Type="http://schemas.openxmlformats.org/officeDocument/2006/relationships/revisionLog" Target="revisionLog30.xml"/><Relationship Id="rId35" Type="http://schemas.openxmlformats.org/officeDocument/2006/relationships/revisionLog" Target="revisionLog35.xml"/><Relationship Id="rId56" Type="http://schemas.openxmlformats.org/officeDocument/2006/relationships/revisionLog" Target="revisionLog56.xml"/><Relationship Id="rId77" Type="http://schemas.openxmlformats.org/officeDocument/2006/relationships/revisionLog" Target="revisionLog77.xml"/><Relationship Id="rId100" Type="http://schemas.openxmlformats.org/officeDocument/2006/relationships/revisionLog" Target="revisionLog100.xml"/><Relationship Id="rId105" Type="http://schemas.openxmlformats.org/officeDocument/2006/relationships/revisionLog" Target="revisionLog105.xml"/><Relationship Id="rId126" Type="http://schemas.openxmlformats.org/officeDocument/2006/relationships/revisionLog" Target="revisionLog126.xml"/><Relationship Id="rId147" Type="http://schemas.openxmlformats.org/officeDocument/2006/relationships/revisionLog" Target="revisionLog147.xml"/><Relationship Id="rId168" Type="http://schemas.openxmlformats.org/officeDocument/2006/relationships/revisionLog" Target="revisionLog7.xml"/><Relationship Id="rId163" Type="http://schemas.openxmlformats.org/officeDocument/2006/relationships/revisionLog" Target="revisionLog161.xml"/><Relationship Id="rId51" Type="http://schemas.openxmlformats.org/officeDocument/2006/relationships/revisionLog" Target="revisionLog51.xml"/><Relationship Id="rId72" Type="http://schemas.openxmlformats.org/officeDocument/2006/relationships/revisionLog" Target="revisionLog72.xml"/><Relationship Id="rId93" Type="http://schemas.openxmlformats.org/officeDocument/2006/relationships/revisionLog" Target="revisionLog93.xml"/><Relationship Id="rId98" Type="http://schemas.openxmlformats.org/officeDocument/2006/relationships/revisionLog" Target="revisionLog98.xml"/><Relationship Id="rId121" Type="http://schemas.openxmlformats.org/officeDocument/2006/relationships/revisionLog" Target="revisionLog121.xml"/><Relationship Id="rId142" Type="http://schemas.openxmlformats.org/officeDocument/2006/relationships/revisionLog" Target="revisionLog142.xml"/><Relationship Id="rId184" Type="http://schemas.openxmlformats.org/officeDocument/2006/relationships/revisionLog" Target="revisionLog176.xml"/><Relationship Id="rId189" Type="http://schemas.openxmlformats.org/officeDocument/2006/relationships/revisionLog" Target="revisionLog179.xml"/><Relationship Id="rId25" Type="http://schemas.openxmlformats.org/officeDocument/2006/relationships/revisionLog" Target="revisionLog25.xml"/><Relationship Id="rId46" Type="http://schemas.openxmlformats.org/officeDocument/2006/relationships/revisionLog" Target="revisionLog46.xml"/><Relationship Id="rId67" Type="http://schemas.openxmlformats.org/officeDocument/2006/relationships/revisionLog" Target="revisionLog67.xml"/><Relationship Id="rId116" Type="http://schemas.openxmlformats.org/officeDocument/2006/relationships/revisionLog" Target="revisionLog116.xml"/><Relationship Id="rId137" Type="http://schemas.openxmlformats.org/officeDocument/2006/relationships/revisionLog" Target="revisionLog137.xml"/><Relationship Id="rId158" Type="http://schemas.openxmlformats.org/officeDocument/2006/relationships/revisionLog" Target="revisionLog156.xml"/><Relationship Id="rId20" Type="http://schemas.openxmlformats.org/officeDocument/2006/relationships/revisionLog" Target="revisionLog20.xml"/><Relationship Id="rId41" Type="http://schemas.openxmlformats.org/officeDocument/2006/relationships/revisionLog" Target="revisionLog41.xml"/><Relationship Id="rId62" Type="http://schemas.openxmlformats.org/officeDocument/2006/relationships/revisionLog" Target="revisionLog62.xml"/><Relationship Id="rId83" Type="http://schemas.openxmlformats.org/officeDocument/2006/relationships/revisionLog" Target="revisionLog83.xml"/><Relationship Id="rId88" Type="http://schemas.openxmlformats.org/officeDocument/2006/relationships/revisionLog" Target="revisionLog88.xml"/><Relationship Id="rId111" Type="http://schemas.openxmlformats.org/officeDocument/2006/relationships/revisionLog" Target="revisionLog111.xml"/><Relationship Id="rId132" Type="http://schemas.openxmlformats.org/officeDocument/2006/relationships/revisionLog" Target="revisionLog132.xml"/><Relationship Id="rId153" Type="http://schemas.openxmlformats.org/officeDocument/2006/relationships/revisionLog" Target="revisionLog153.xml"/><Relationship Id="rId174" Type="http://schemas.openxmlformats.org/officeDocument/2006/relationships/revisionLog" Target="revisionLog166.xml"/><Relationship Id="rId179" Type="http://schemas.openxmlformats.org/officeDocument/2006/relationships/revisionLog" Target="revisionLog171.xml"/><Relationship Id="rId15" Type="http://schemas.openxmlformats.org/officeDocument/2006/relationships/revisionLog" Target="revisionLog15.xml"/><Relationship Id="rId36" Type="http://schemas.openxmlformats.org/officeDocument/2006/relationships/revisionLog" Target="revisionLog36.xml"/><Relationship Id="rId57" Type="http://schemas.openxmlformats.org/officeDocument/2006/relationships/revisionLog" Target="revisionLog57.xml"/><Relationship Id="rId106" Type="http://schemas.openxmlformats.org/officeDocument/2006/relationships/revisionLog" Target="revisionLog106.xml"/><Relationship Id="rId127" Type="http://schemas.openxmlformats.org/officeDocument/2006/relationships/revisionLog" Target="revisionLog127.xml"/><Relationship Id="rId169" Type="http://schemas.openxmlformats.org/officeDocument/2006/relationships/revisionLog" Target="revisionLog8.xml"/><Relationship Id="rId31" Type="http://schemas.openxmlformats.org/officeDocument/2006/relationships/revisionLog" Target="revisionLog31.xml"/><Relationship Id="rId52" Type="http://schemas.openxmlformats.org/officeDocument/2006/relationships/revisionLog" Target="revisionLog52.xml"/><Relationship Id="rId73" Type="http://schemas.openxmlformats.org/officeDocument/2006/relationships/revisionLog" Target="revisionLog73.xml"/><Relationship Id="rId78" Type="http://schemas.openxmlformats.org/officeDocument/2006/relationships/revisionLog" Target="revisionLog78.xml"/><Relationship Id="rId94" Type="http://schemas.openxmlformats.org/officeDocument/2006/relationships/revisionLog" Target="revisionLog94.xml"/><Relationship Id="rId99" Type="http://schemas.openxmlformats.org/officeDocument/2006/relationships/revisionLog" Target="revisionLog99.xml"/><Relationship Id="rId101" Type="http://schemas.openxmlformats.org/officeDocument/2006/relationships/revisionLog" Target="revisionLog101.xml"/><Relationship Id="rId122" Type="http://schemas.openxmlformats.org/officeDocument/2006/relationships/revisionLog" Target="revisionLog122.xml"/><Relationship Id="rId143" Type="http://schemas.openxmlformats.org/officeDocument/2006/relationships/revisionLog" Target="revisionLog143.xml"/><Relationship Id="rId148" Type="http://schemas.openxmlformats.org/officeDocument/2006/relationships/revisionLog" Target="revisionLog148.xml"/><Relationship Id="rId164" Type="http://schemas.openxmlformats.org/officeDocument/2006/relationships/revisionLog" Target="revisionLog3.xml"/><Relationship Id="rId185" Type="http://schemas.openxmlformats.org/officeDocument/2006/relationships/revisionLog" Target="revisionLog9.xml"/><Relationship Id="rId180" Type="http://schemas.openxmlformats.org/officeDocument/2006/relationships/revisionLog" Target="revisionLog172.xml"/><Relationship Id="rId26" Type="http://schemas.openxmlformats.org/officeDocument/2006/relationships/revisionLog" Target="revisionLog26.xml"/><Relationship Id="rId47" Type="http://schemas.openxmlformats.org/officeDocument/2006/relationships/revisionLog" Target="revisionLog47.xml"/><Relationship Id="rId68" Type="http://schemas.openxmlformats.org/officeDocument/2006/relationships/revisionLog" Target="revisionLog68.xml"/><Relationship Id="rId89" Type="http://schemas.openxmlformats.org/officeDocument/2006/relationships/revisionLog" Target="revisionLog89.xml"/><Relationship Id="rId112" Type="http://schemas.openxmlformats.org/officeDocument/2006/relationships/revisionLog" Target="revisionLog112.xml"/><Relationship Id="rId133" Type="http://schemas.openxmlformats.org/officeDocument/2006/relationships/revisionLog" Target="revisionLog133.xml"/><Relationship Id="rId154" Type="http://schemas.openxmlformats.org/officeDocument/2006/relationships/revisionLog" Target="revisionLog1.xml"/><Relationship Id="rId175" Type="http://schemas.openxmlformats.org/officeDocument/2006/relationships/revisionLog" Target="revisionLog167.xml"/><Relationship Id="rId16" Type="http://schemas.openxmlformats.org/officeDocument/2006/relationships/revisionLog" Target="revisionLog16.xml"/><Relationship Id="rId37" Type="http://schemas.openxmlformats.org/officeDocument/2006/relationships/revisionLog" Target="revisionLog37.xml"/><Relationship Id="rId58" Type="http://schemas.openxmlformats.org/officeDocument/2006/relationships/revisionLog" Target="revisionLog58.xml"/><Relationship Id="rId79" Type="http://schemas.openxmlformats.org/officeDocument/2006/relationships/revisionLog" Target="revisionLog79.xml"/><Relationship Id="rId102" Type="http://schemas.openxmlformats.org/officeDocument/2006/relationships/revisionLog" Target="revisionLog102.xml"/><Relationship Id="rId123" Type="http://schemas.openxmlformats.org/officeDocument/2006/relationships/revisionLog" Target="revisionLog123.xml"/><Relationship Id="rId144" Type="http://schemas.openxmlformats.org/officeDocument/2006/relationships/revisionLog" Target="revisionLog144.xml"/><Relationship Id="rId90" Type="http://schemas.openxmlformats.org/officeDocument/2006/relationships/revisionLog" Target="revisionLog90.xml"/><Relationship Id="rId165" Type="http://schemas.openxmlformats.org/officeDocument/2006/relationships/revisionLog" Target="revisionLog4.xml"/><Relationship Id="rId186" Type="http://schemas.openxmlformats.org/officeDocument/2006/relationships/revisionLog" Target="revisionLog10.xml"/><Relationship Id="rId27" Type="http://schemas.openxmlformats.org/officeDocument/2006/relationships/revisionLog" Target="revisionLog27.xml"/><Relationship Id="rId48" Type="http://schemas.openxmlformats.org/officeDocument/2006/relationships/revisionLog" Target="revisionLog48.xml"/><Relationship Id="rId69" Type="http://schemas.openxmlformats.org/officeDocument/2006/relationships/revisionLog" Target="revisionLog69.xml"/><Relationship Id="rId113" Type="http://schemas.openxmlformats.org/officeDocument/2006/relationships/revisionLog" Target="revisionLog113.xml"/><Relationship Id="rId134" Type="http://schemas.openxmlformats.org/officeDocument/2006/relationships/revisionLog" Target="revisionLog134.xml"/><Relationship Id="rId80" Type="http://schemas.openxmlformats.org/officeDocument/2006/relationships/revisionLog" Target="revisionLog80.xml"/><Relationship Id="rId155" Type="http://schemas.openxmlformats.org/officeDocument/2006/relationships/revisionLog" Target="revisionLog2.xml"/><Relationship Id="rId176" Type="http://schemas.openxmlformats.org/officeDocument/2006/relationships/revisionLog" Target="revisionLog168.xml"/><Relationship Id="rId17" Type="http://schemas.openxmlformats.org/officeDocument/2006/relationships/revisionLog" Target="revisionLog17.xml"/><Relationship Id="rId38" Type="http://schemas.openxmlformats.org/officeDocument/2006/relationships/revisionLog" Target="revisionLog38.xml"/><Relationship Id="rId59" Type="http://schemas.openxmlformats.org/officeDocument/2006/relationships/revisionLog" Target="revisionLog59.xml"/><Relationship Id="rId103" Type="http://schemas.openxmlformats.org/officeDocument/2006/relationships/revisionLog" Target="revisionLog103.xml"/><Relationship Id="rId124" Type="http://schemas.openxmlformats.org/officeDocument/2006/relationships/revisionLog" Target="revisionLog124.xml"/><Relationship Id="rId70" Type="http://schemas.openxmlformats.org/officeDocument/2006/relationships/revisionLog" Target="revisionLog70.xml"/><Relationship Id="rId91" Type="http://schemas.openxmlformats.org/officeDocument/2006/relationships/revisionLog" Target="revisionLog91.xml"/><Relationship Id="rId145" Type="http://schemas.openxmlformats.org/officeDocument/2006/relationships/revisionLog" Target="revisionLog145.xml"/><Relationship Id="rId166" Type="http://schemas.openxmlformats.org/officeDocument/2006/relationships/revisionLog" Target="revisionLog5.xml"/><Relationship Id="rId187" Type="http://schemas.openxmlformats.org/officeDocument/2006/relationships/revisionLog" Target="revisionLog177.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7C0A91B5-0A58-4DC3-A934-641B418E6AA8}" diskRevisions="1" revisionId="723" version="189">
  <header guid="{222E8026-75EA-4DDE-8DC8-4BD10F6C5F21}" dateTime="2026-04-06T08:14:27" maxSheetId="15" userName="Merabi Kricheli" r:id="rId11">
    <sheetIdMap count="14">
      <sheetId val="1"/>
      <sheetId val="2"/>
      <sheetId val="3"/>
      <sheetId val="4"/>
      <sheetId val="5"/>
      <sheetId val="6"/>
      <sheetId val="7"/>
      <sheetId val="8"/>
      <sheetId val="9"/>
      <sheetId val="10"/>
      <sheetId val="11"/>
      <sheetId val="12"/>
      <sheetId val="13"/>
      <sheetId val="14"/>
    </sheetIdMap>
  </header>
  <header guid="{14F0DEA4-2B6C-4A9F-A7F8-5B95751DE5E4}" dateTime="2026-04-06T17:20:31" maxSheetId="15" userName="Merabi Kricheli" r:id="rId12" minRId="13" maxRId="14">
    <sheetIdMap count="14">
      <sheetId val="1"/>
      <sheetId val="2"/>
      <sheetId val="3"/>
      <sheetId val="4"/>
      <sheetId val="5"/>
      <sheetId val="6"/>
      <sheetId val="7"/>
      <sheetId val="8"/>
      <sheetId val="9"/>
      <sheetId val="10"/>
      <sheetId val="11"/>
      <sheetId val="12"/>
      <sheetId val="13"/>
      <sheetId val="14"/>
    </sheetIdMap>
  </header>
  <header guid="{3C84064B-D639-4ACD-BD83-A84ACA120E54}" dateTime="2026-04-06T17:21:33" maxSheetId="15" userName="Merabi Kricheli" r:id="rId13">
    <sheetIdMap count="14">
      <sheetId val="1"/>
      <sheetId val="2"/>
      <sheetId val="3"/>
      <sheetId val="4"/>
      <sheetId val="5"/>
      <sheetId val="6"/>
      <sheetId val="7"/>
      <sheetId val="8"/>
      <sheetId val="9"/>
      <sheetId val="10"/>
      <sheetId val="11"/>
      <sheetId val="12"/>
      <sheetId val="13"/>
      <sheetId val="14"/>
    </sheetIdMap>
  </header>
  <header guid="{C4EB3B31-7708-4CF9-912E-272B0DAAB119}" dateTime="2026-04-06T17:23:46" maxSheetId="15" userName="Merabi Kricheli" r:id="rId14">
    <sheetIdMap count="14">
      <sheetId val="1"/>
      <sheetId val="2"/>
      <sheetId val="3"/>
      <sheetId val="4"/>
      <sheetId val="5"/>
      <sheetId val="6"/>
      <sheetId val="7"/>
      <sheetId val="8"/>
      <sheetId val="9"/>
      <sheetId val="10"/>
      <sheetId val="11"/>
      <sheetId val="12"/>
      <sheetId val="13"/>
      <sheetId val="14"/>
    </sheetIdMap>
  </header>
  <header guid="{61118533-20E1-4E43-AF1C-0E598F02D208}" dateTime="2026-04-10T11:12:23" maxSheetId="15" userName="Merabi Kricheli" r:id="rId15" minRId="15">
    <sheetIdMap count="14">
      <sheetId val="1"/>
      <sheetId val="2"/>
      <sheetId val="3"/>
      <sheetId val="4"/>
      <sheetId val="5"/>
      <sheetId val="6"/>
      <sheetId val="7"/>
      <sheetId val="8"/>
      <sheetId val="9"/>
      <sheetId val="10"/>
      <sheetId val="11"/>
      <sheetId val="12"/>
      <sheetId val="13"/>
      <sheetId val="14"/>
    </sheetIdMap>
  </header>
  <header guid="{5F4B9C27-7A9C-46E2-BE8E-DA58E434D89B}" dateTime="2026-04-10T11:18:21" maxSheetId="15" userName="Merabi Kricheli" r:id="rId16" minRId="16" maxRId="21">
    <sheetIdMap count="14">
      <sheetId val="1"/>
      <sheetId val="2"/>
      <sheetId val="3"/>
      <sheetId val="4"/>
      <sheetId val="5"/>
      <sheetId val="6"/>
      <sheetId val="7"/>
      <sheetId val="8"/>
      <sheetId val="9"/>
      <sheetId val="10"/>
      <sheetId val="11"/>
      <sheetId val="12"/>
      <sheetId val="13"/>
      <sheetId val="14"/>
    </sheetIdMap>
  </header>
  <header guid="{80CA39B5-6D06-4BF7-ACEA-AD3C15184EE2}" dateTime="2026-04-10T11:21:19" maxSheetId="15" userName="Merabi Kricheli" r:id="rId17" minRId="22" maxRId="23">
    <sheetIdMap count="14">
      <sheetId val="1"/>
      <sheetId val="2"/>
      <sheetId val="3"/>
      <sheetId val="4"/>
      <sheetId val="5"/>
      <sheetId val="6"/>
      <sheetId val="7"/>
      <sheetId val="8"/>
      <sheetId val="9"/>
      <sheetId val="10"/>
      <sheetId val="11"/>
      <sheetId val="12"/>
      <sheetId val="13"/>
      <sheetId val="14"/>
    </sheetIdMap>
  </header>
  <header guid="{7AB40E4D-FFEE-4272-AFDA-9D9A3C00458A}" dateTime="2026-04-10T11:22:13" maxSheetId="15" userName="Merabi Kricheli" r:id="rId18" minRId="24">
    <sheetIdMap count="14">
      <sheetId val="1"/>
      <sheetId val="2"/>
      <sheetId val="3"/>
      <sheetId val="4"/>
      <sheetId val="5"/>
      <sheetId val="6"/>
      <sheetId val="7"/>
      <sheetId val="8"/>
      <sheetId val="9"/>
      <sheetId val="10"/>
      <sheetId val="11"/>
      <sheetId val="12"/>
      <sheetId val="13"/>
      <sheetId val="14"/>
    </sheetIdMap>
  </header>
  <header guid="{61D24C7A-25C2-43E1-8B19-F3B4A853787E}" dateTime="2026-04-10T11:23:31" maxSheetId="15" userName="Merabi Kricheli" r:id="rId19" minRId="25" maxRId="26">
    <sheetIdMap count="14">
      <sheetId val="1"/>
      <sheetId val="2"/>
      <sheetId val="3"/>
      <sheetId val="4"/>
      <sheetId val="5"/>
      <sheetId val="6"/>
      <sheetId val="7"/>
      <sheetId val="8"/>
      <sheetId val="9"/>
      <sheetId val="10"/>
      <sheetId val="11"/>
      <sheetId val="12"/>
      <sheetId val="13"/>
      <sheetId val="14"/>
    </sheetIdMap>
  </header>
  <header guid="{5428AA94-8CBD-4B6C-BC0A-9BF572D2DF6B}" dateTime="2026-04-10T16:44:21" maxSheetId="15" userName="Merabi Kricheli" r:id="rId20" minRId="27" maxRId="32">
    <sheetIdMap count="14">
      <sheetId val="1"/>
      <sheetId val="2"/>
      <sheetId val="3"/>
      <sheetId val="4"/>
      <sheetId val="5"/>
      <sheetId val="6"/>
      <sheetId val="7"/>
      <sheetId val="8"/>
      <sheetId val="9"/>
      <sheetId val="10"/>
      <sheetId val="11"/>
      <sheetId val="12"/>
      <sheetId val="13"/>
      <sheetId val="14"/>
    </sheetIdMap>
  </header>
  <header guid="{7BF48B53-391C-481C-A70A-9464F84CBA97}" dateTime="2026-04-10T17:28:29" maxSheetId="15" userName="Merabi Kricheli" r:id="rId21">
    <sheetIdMap count="14">
      <sheetId val="1"/>
      <sheetId val="2"/>
      <sheetId val="3"/>
      <sheetId val="4"/>
      <sheetId val="5"/>
      <sheetId val="6"/>
      <sheetId val="7"/>
      <sheetId val="8"/>
      <sheetId val="9"/>
      <sheetId val="10"/>
      <sheetId val="11"/>
      <sheetId val="12"/>
      <sheetId val="13"/>
      <sheetId val="14"/>
    </sheetIdMap>
  </header>
  <header guid="{823444BA-7421-447C-9DCB-82D9F83AB9B2}" dateTime="2026-04-10T18:37:15" maxSheetId="15" userName="Merabi Kricheli" r:id="rId22" minRId="33">
    <sheetIdMap count="14">
      <sheetId val="1"/>
      <sheetId val="2"/>
      <sheetId val="3"/>
      <sheetId val="4"/>
      <sheetId val="5"/>
      <sheetId val="6"/>
      <sheetId val="7"/>
      <sheetId val="8"/>
      <sheetId val="9"/>
      <sheetId val="10"/>
      <sheetId val="11"/>
      <sheetId val="12"/>
      <sheetId val="13"/>
      <sheetId val="14"/>
    </sheetIdMap>
  </header>
  <header guid="{E8B4E5F7-A778-4384-B577-B0F5E14B8B95}" dateTime="2026-04-11T20:45:39" maxSheetId="15" userName="Merabi Kricheli" r:id="rId23" minRId="34" maxRId="36">
    <sheetIdMap count="14">
      <sheetId val="1"/>
      <sheetId val="2"/>
      <sheetId val="3"/>
      <sheetId val="4"/>
      <sheetId val="5"/>
      <sheetId val="6"/>
      <sheetId val="7"/>
      <sheetId val="8"/>
      <sheetId val="9"/>
      <sheetId val="10"/>
      <sheetId val="11"/>
      <sheetId val="12"/>
      <sheetId val="13"/>
      <sheetId val="14"/>
    </sheetIdMap>
  </header>
  <header guid="{C5B188CC-B599-4757-B5B5-D27C38CE308A}" dateTime="2026-04-12T07:49:48" maxSheetId="15" userName="Merabi Kricheli" r:id="rId24" minRId="37">
    <sheetIdMap count="14">
      <sheetId val="1"/>
      <sheetId val="2"/>
      <sheetId val="3"/>
      <sheetId val="4"/>
      <sheetId val="5"/>
      <sheetId val="6"/>
      <sheetId val="7"/>
      <sheetId val="8"/>
      <sheetId val="9"/>
      <sheetId val="10"/>
      <sheetId val="11"/>
      <sheetId val="12"/>
      <sheetId val="13"/>
      <sheetId val="14"/>
    </sheetIdMap>
  </header>
  <header guid="{7850CC14-2F73-4DF7-9E1C-BBB6D0266708}" dateTime="2026-04-12T08:01:30" maxSheetId="15" userName="Shmuel Fogel" r:id="rId25" minRId="38" maxRId="43">
    <sheetIdMap count="14">
      <sheetId val="1"/>
      <sheetId val="2"/>
      <sheetId val="3"/>
      <sheetId val="4"/>
      <sheetId val="5"/>
      <sheetId val="6"/>
      <sheetId val="7"/>
      <sheetId val="8"/>
      <sheetId val="9"/>
      <sheetId val="10"/>
      <sheetId val="11"/>
      <sheetId val="12"/>
      <sheetId val="13"/>
      <sheetId val="14"/>
    </sheetIdMap>
  </header>
  <header guid="{471C543B-DE50-4C3A-B7F7-00462C3F9756}" dateTime="2026-04-12T09:42:49" maxSheetId="15" userName="Izhak Aframashvili" r:id="rId26">
    <sheetIdMap count="14">
      <sheetId val="1"/>
      <sheetId val="2"/>
      <sheetId val="3"/>
      <sheetId val="4"/>
      <sheetId val="5"/>
      <sheetId val="6"/>
      <sheetId val="7"/>
      <sheetId val="8"/>
      <sheetId val="9"/>
      <sheetId val="10"/>
      <sheetId val="11"/>
      <sheetId val="12"/>
      <sheetId val="13"/>
      <sheetId val="14"/>
    </sheetIdMap>
  </header>
  <header guid="{A6AF1D6A-0359-4F3B-9853-CA735D438501}" dateTime="2026-04-12T10:05:23" maxSheetId="15" userName="Avi Manorr" r:id="rId27">
    <sheetIdMap count="14">
      <sheetId val="1"/>
      <sheetId val="2"/>
      <sheetId val="3"/>
      <sheetId val="4"/>
      <sheetId val="5"/>
      <sheetId val="6"/>
      <sheetId val="7"/>
      <sheetId val="8"/>
      <sheetId val="9"/>
      <sheetId val="10"/>
      <sheetId val="11"/>
      <sheetId val="12"/>
      <sheetId val="13"/>
      <sheetId val="14"/>
    </sheetIdMap>
  </header>
  <header guid="{663A1029-284D-4E6A-8632-CF13A1AF010B}" dateTime="2026-04-12T13:21:50" maxSheetId="15" userName="Avi Manorr" r:id="rId28" minRId="44">
    <sheetIdMap count="14">
      <sheetId val="1"/>
      <sheetId val="2"/>
      <sheetId val="3"/>
      <sheetId val="4"/>
      <sheetId val="5"/>
      <sheetId val="6"/>
      <sheetId val="7"/>
      <sheetId val="8"/>
      <sheetId val="9"/>
      <sheetId val="10"/>
      <sheetId val="11"/>
      <sheetId val="12"/>
      <sheetId val="13"/>
      <sheetId val="14"/>
    </sheetIdMap>
  </header>
  <header guid="{7645B53D-DE3C-41F1-8318-017D1D1294FF}" dateTime="2026-04-12T13:22:57" maxSheetId="15" userName="Avi Manorr" r:id="rId29" minRId="45" maxRId="51">
    <sheetIdMap count="14">
      <sheetId val="1"/>
      <sheetId val="2"/>
      <sheetId val="3"/>
      <sheetId val="4"/>
      <sheetId val="5"/>
      <sheetId val="6"/>
      <sheetId val="7"/>
      <sheetId val="8"/>
      <sheetId val="9"/>
      <sheetId val="10"/>
      <sheetId val="11"/>
      <sheetId val="12"/>
      <sheetId val="13"/>
      <sheetId val="14"/>
    </sheetIdMap>
  </header>
  <header guid="{D295E5C8-AD39-4909-8846-954DF208652C}" dateTime="2026-04-12T13:23:27" maxSheetId="15" userName="Avi Manorr" r:id="rId30" minRId="52" maxRId="53">
    <sheetIdMap count="14">
      <sheetId val="1"/>
      <sheetId val="2"/>
      <sheetId val="3"/>
      <sheetId val="4"/>
      <sheetId val="5"/>
      <sheetId val="6"/>
      <sheetId val="7"/>
      <sheetId val="8"/>
      <sheetId val="9"/>
      <sheetId val="10"/>
      <sheetId val="11"/>
      <sheetId val="12"/>
      <sheetId val="13"/>
      <sheetId val="14"/>
    </sheetIdMap>
  </header>
  <header guid="{09C6B849-07F1-417C-A7E8-E5B9E8B863A6}" dateTime="2026-04-12T13:26:50" maxSheetId="15" userName="Avi Manorr" r:id="rId31" minRId="54" maxRId="56">
    <sheetIdMap count="14">
      <sheetId val="1"/>
      <sheetId val="2"/>
      <sheetId val="3"/>
      <sheetId val="4"/>
      <sheetId val="5"/>
      <sheetId val="6"/>
      <sheetId val="7"/>
      <sheetId val="8"/>
      <sheetId val="9"/>
      <sheetId val="10"/>
      <sheetId val="11"/>
      <sheetId val="12"/>
      <sheetId val="13"/>
      <sheetId val="14"/>
    </sheetIdMap>
  </header>
  <header guid="{0EA7E76C-1BC9-45B3-9D0A-3C9DACB898D3}" dateTime="2026-04-12T13:53:44" maxSheetId="15" userName="Avi Manorr" r:id="rId32" minRId="57" maxRId="60">
    <sheetIdMap count="14">
      <sheetId val="1"/>
      <sheetId val="2"/>
      <sheetId val="3"/>
      <sheetId val="4"/>
      <sheetId val="5"/>
      <sheetId val="6"/>
      <sheetId val="7"/>
      <sheetId val="8"/>
      <sheetId val="9"/>
      <sheetId val="10"/>
      <sheetId val="11"/>
      <sheetId val="12"/>
      <sheetId val="13"/>
      <sheetId val="14"/>
    </sheetIdMap>
  </header>
  <header guid="{2D4B340E-6D92-4D1D-82ED-5731FF21E0AF}" dateTime="2026-04-12T14:03:36" maxSheetId="15" userName="Shmuel Fogel" r:id="rId33" minRId="61" maxRId="62">
    <sheetIdMap count="14">
      <sheetId val="1"/>
      <sheetId val="2"/>
      <sheetId val="3"/>
      <sheetId val="4"/>
      <sheetId val="5"/>
      <sheetId val="6"/>
      <sheetId val="7"/>
      <sheetId val="8"/>
      <sheetId val="9"/>
      <sheetId val="10"/>
      <sheetId val="11"/>
      <sheetId val="12"/>
      <sheetId val="13"/>
      <sheetId val="14"/>
    </sheetIdMap>
  </header>
  <header guid="{2070B71C-D6DE-4E88-B071-1C853A2F676D}" dateTime="2026-04-12T14:05:36" maxSheetId="15" userName="Avi Manorr" r:id="rId34" minRId="63" maxRId="68">
    <sheetIdMap count="14">
      <sheetId val="1"/>
      <sheetId val="2"/>
      <sheetId val="3"/>
      <sheetId val="4"/>
      <sheetId val="5"/>
      <sheetId val="6"/>
      <sheetId val="7"/>
      <sheetId val="8"/>
      <sheetId val="9"/>
      <sheetId val="10"/>
      <sheetId val="11"/>
      <sheetId val="12"/>
      <sheetId val="13"/>
      <sheetId val="14"/>
    </sheetIdMap>
  </header>
  <header guid="{6627709E-5B04-4980-B35E-B7C03E9E9C5C}" dateTime="2026-04-12T14:08:43" maxSheetId="15" userName="Avi Manorr" r:id="rId35" minRId="69" maxRId="98">
    <sheetIdMap count="14">
      <sheetId val="1"/>
      <sheetId val="2"/>
      <sheetId val="3"/>
      <sheetId val="4"/>
      <sheetId val="5"/>
      <sheetId val="6"/>
      <sheetId val="7"/>
      <sheetId val="8"/>
      <sheetId val="9"/>
      <sheetId val="10"/>
      <sheetId val="11"/>
      <sheetId val="12"/>
      <sheetId val="13"/>
      <sheetId val="14"/>
    </sheetIdMap>
  </header>
  <header guid="{8CA03916-37CA-4782-A47B-27B349E3937E}" dateTime="2026-04-12T14:09:02" maxSheetId="15" userName="Avi Manorr" r:id="rId36" minRId="99" maxRId="117">
    <sheetIdMap count="14">
      <sheetId val="1"/>
      <sheetId val="2"/>
      <sheetId val="3"/>
      <sheetId val="4"/>
      <sheetId val="5"/>
      <sheetId val="6"/>
      <sheetId val="7"/>
      <sheetId val="8"/>
      <sheetId val="9"/>
      <sheetId val="10"/>
      <sheetId val="11"/>
      <sheetId val="12"/>
      <sheetId val="13"/>
      <sheetId val="14"/>
    </sheetIdMap>
  </header>
  <header guid="{3517285D-7A86-432A-8E11-E2BD7ADC19CF}" dateTime="2026-04-12T14:11:31" maxSheetId="15" userName="Avi Manorr" r:id="rId37">
    <sheetIdMap count="14">
      <sheetId val="1"/>
      <sheetId val="2"/>
      <sheetId val="3"/>
      <sheetId val="4"/>
      <sheetId val="5"/>
      <sheetId val="6"/>
      <sheetId val="7"/>
      <sheetId val="8"/>
      <sheetId val="9"/>
      <sheetId val="10"/>
      <sheetId val="11"/>
      <sheetId val="12"/>
      <sheetId val="13"/>
      <sheetId val="14"/>
    </sheetIdMap>
  </header>
  <header guid="{065ACCB0-2E59-45D8-8803-916F7508226F}" dateTime="2026-04-12T15:11:31" maxSheetId="15" userName="David Mahalu" r:id="rId38" minRId="118">
    <sheetIdMap count="14">
      <sheetId val="1"/>
      <sheetId val="2"/>
      <sheetId val="3"/>
      <sheetId val="4"/>
      <sheetId val="5"/>
      <sheetId val="6"/>
      <sheetId val="7"/>
      <sheetId val="8"/>
      <sheetId val="9"/>
      <sheetId val="10"/>
      <sheetId val="11"/>
      <sheetId val="12"/>
      <sheetId val="13"/>
      <sheetId val="14"/>
    </sheetIdMap>
  </header>
  <header guid="{310D3E7A-5C00-4C40-BCD1-264D91990BB1}" dateTime="2026-04-12T15:14:46" maxSheetId="15" userName="David Mahalu" r:id="rId39" minRId="119">
    <sheetIdMap count="14">
      <sheetId val="1"/>
      <sheetId val="2"/>
      <sheetId val="3"/>
      <sheetId val="4"/>
      <sheetId val="5"/>
      <sheetId val="6"/>
      <sheetId val="7"/>
      <sheetId val="8"/>
      <sheetId val="9"/>
      <sheetId val="10"/>
      <sheetId val="11"/>
      <sheetId val="12"/>
      <sheetId val="13"/>
      <sheetId val="14"/>
    </sheetIdMap>
  </header>
  <header guid="{2E28ECE2-0986-499C-B216-9B759BA27B8B}" dateTime="2026-04-12T15:14:54" maxSheetId="15" userName="David Mahalu" r:id="rId40" minRId="120">
    <sheetIdMap count="14">
      <sheetId val="1"/>
      <sheetId val="2"/>
      <sheetId val="3"/>
      <sheetId val="4"/>
      <sheetId val="5"/>
      <sheetId val="6"/>
      <sheetId val="7"/>
      <sheetId val="8"/>
      <sheetId val="9"/>
      <sheetId val="10"/>
      <sheetId val="11"/>
      <sheetId val="12"/>
      <sheetId val="13"/>
      <sheetId val="14"/>
    </sheetIdMap>
  </header>
  <header guid="{E788DD72-E4B2-40EC-A4EA-5EF06DBBAF00}" dateTime="2026-04-13T07:37:42" maxSheetId="15" userName="Avi Manorr" r:id="rId41" minRId="121" maxRId="123">
    <sheetIdMap count="14">
      <sheetId val="1"/>
      <sheetId val="2"/>
      <sheetId val="3"/>
      <sheetId val="4"/>
      <sheetId val="5"/>
      <sheetId val="6"/>
      <sheetId val="7"/>
      <sheetId val="8"/>
      <sheetId val="9"/>
      <sheetId val="10"/>
      <sheetId val="11"/>
      <sheetId val="12"/>
      <sheetId val="13"/>
      <sheetId val="14"/>
    </sheetIdMap>
  </header>
  <header guid="{9EF58F1A-496F-4F62-A699-42C6CBF96DBC}" dateTime="2026-04-13T07:38:00" maxSheetId="15" userName="Avi Manorr" r:id="rId42">
    <sheetIdMap count="14">
      <sheetId val="1"/>
      <sheetId val="2"/>
      <sheetId val="3"/>
      <sheetId val="4"/>
      <sheetId val="5"/>
      <sheetId val="6"/>
      <sheetId val="7"/>
      <sheetId val="8"/>
      <sheetId val="9"/>
      <sheetId val="10"/>
      <sheetId val="11"/>
      <sheetId val="12"/>
      <sheetId val="13"/>
      <sheetId val="14"/>
    </sheetIdMap>
  </header>
  <header guid="{1153C226-39DD-44E9-9B44-B6A83A1CEBFA}" dateTime="2026-04-13T07:38:51" maxSheetId="15" userName="Avi Manorr" r:id="rId43" minRId="124">
    <sheetIdMap count="14">
      <sheetId val="1"/>
      <sheetId val="2"/>
      <sheetId val="3"/>
      <sheetId val="4"/>
      <sheetId val="5"/>
      <sheetId val="6"/>
      <sheetId val="7"/>
      <sheetId val="8"/>
      <sheetId val="9"/>
      <sheetId val="10"/>
      <sheetId val="11"/>
      <sheetId val="12"/>
      <sheetId val="13"/>
      <sheetId val="14"/>
    </sheetIdMap>
  </header>
  <header guid="{CBFBDB6D-BC67-443B-B5C7-1FE9EAC5DC6B}" dateTime="2026-04-13T08:34:43" maxSheetId="15" userName="Avi Manorr" r:id="rId44" minRId="125" maxRId="128">
    <sheetIdMap count="14">
      <sheetId val="1"/>
      <sheetId val="2"/>
      <sheetId val="3"/>
      <sheetId val="4"/>
      <sheetId val="5"/>
      <sheetId val="6"/>
      <sheetId val="7"/>
      <sheetId val="8"/>
      <sheetId val="9"/>
      <sheetId val="10"/>
      <sheetId val="11"/>
      <sheetId val="12"/>
      <sheetId val="13"/>
      <sheetId val="14"/>
    </sheetIdMap>
  </header>
  <header guid="{745BA024-02EF-4686-BC11-E8A166E7A1F6}" dateTime="2026-04-13T09:57:50" maxSheetId="15" userName="Avi Manorr" r:id="rId45" minRId="129" maxRId="132">
    <sheetIdMap count="14">
      <sheetId val="1"/>
      <sheetId val="2"/>
      <sheetId val="3"/>
      <sheetId val="4"/>
      <sheetId val="5"/>
      <sheetId val="6"/>
      <sheetId val="7"/>
      <sheetId val="8"/>
      <sheetId val="9"/>
      <sheetId val="10"/>
      <sheetId val="11"/>
      <sheetId val="12"/>
      <sheetId val="13"/>
      <sheetId val="14"/>
    </sheetIdMap>
  </header>
  <header guid="{66D6365D-7801-4B38-93F7-FFFF6D6AAE95}" dateTime="2026-04-13T09:58:02" maxSheetId="15" userName="Avi Manorr" r:id="rId46" minRId="133">
    <sheetIdMap count="14">
      <sheetId val="1"/>
      <sheetId val="2"/>
      <sheetId val="3"/>
      <sheetId val="4"/>
      <sheetId val="5"/>
      <sheetId val="6"/>
      <sheetId val="7"/>
      <sheetId val="8"/>
      <sheetId val="9"/>
      <sheetId val="10"/>
      <sheetId val="11"/>
      <sheetId val="12"/>
      <sheetId val="13"/>
      <sheetId val="14"/>
    </sheetIdMap>
  </header>
  <header guid="{EF8A6B9B-7A81-4C84-913B-5BE9AC0FAB6B}" dateTime="2026-04-13T09:59:34" maxSheetId="15" userName="Avi Manorr" r:id="rId47">
    <sheetIdMap count="14">
      <sheetId val="1"/>
      <sheetId val="2"/>
      <sheetId val="3"/>
      <sheetId val="4"/>
      <sheetId val="5"/>
      <sheetId val="6"/>
      <sheetId val="7"/>
      <sheetId val="8"/>
      <sheetId val="9"/>
      <sheetId val="10"/>
      <sheetId val="11"/>
      <sheetId val="12"/>
      <sheetId val="13"/>
      <sheetId val="14"/>
    </sheetIdMap>
  </header>
  <header guid="{8846225B-5872-467E-B711-CE5550887DC8}" dateTime="2026-04-13T10:12:49" maxSheetId="15" userName="Avi Manorr" r:id="rId48" minRId="134" maxRId="136">
    <sheetIdMap count="14">
      <sheetId val="1"/>
      <sheetId val="2"/>
      <sheetId val="3"/>
      <sheetId val="4"/>
      <sheetId val="5"/>
      <sheetId val="6"/>
      <sheetId val="7"/>
      <sheetId val="8"/>
      <sheetId val="9"/>
      <sheetId val="10"/>
      <sheetId val="11"/>
      <sheetId val="12"/>
      <sheetId val="13"/>
      <sheetId val="14"/>
    </sheetIdMap>
  </header>
  <header guid="{ACAF07AF-3802-4957-B15B-781F60CA2F10}" dateTime="2026-04-13T12:00:19" maxSheetId="15" userName="David Mahalu" r:id="rId49" minRId="137" maxRId="139">
    <sheetIdMap count="14">
      <sheetId val="1"/>
      <sheetId val="2"/>
      <sheetId val="3"/>
      <sheetId val="4"/>
      <sheetId val="5"/>
      <sheetId val="6"/>
      <sheetId val="7"/>
      <sheetId val="8"/>
      <sheetId val="9"/>
      <sheetId val="10"/>
      <sheetId val="11"/>
      <sheetId val="12"/>
      <sheetId val="13"/>
      <sheetId val="14"/>
    </sheetIdMap>
  </header>
  <header guid="{8902C7FD-4D31-4543-AA13-B3DB50053F34}" dateTime="2026-04-13T12:00:54" maxSheetId="15" userName="David Mahalu" r:id="rId50">
    <sheetIdMap count="14">
      <sheetId val="1"/>
      <sheetId val="2"/>
      <sheetId val="3"/>
      <sheetId val="4"/>
      <sheetId val="5"/>
      <sheetId val="6"/>
      <sheetId val="7"/>
      <sheetId val="8"/>
      <sheetId val="9"/>
      <sheetId val="10"/>
      <sheetId val="11"/>
      <sheetId val="12"/>
      <sheetId val="13"/>
      <sheetId val="14"/>
    </sheetIdMap>
  </header>
  <header guid="{45FD4225-93DD-403E-B37C-1178D2DE6B3D}" dateTime="2026-04-13T12:01:13" maxSheetId="15" userName="David Mahalu" r:id="rId51">
    <sheetIdMap count="14">
      <sheetId val="1"/>
      <sheetId val="2"/>
      <sheetId val="3"/>
      <sheetId val="4"/>
      <sheetId val="5"/>
      <sheetId val="6"/>
      <sheetId val="7"/>
      <sheetId val="8"/>
      <sheetId val="9"/>
      <sheetId val="10"/>
      <sheetId val="11"/>
      <sheetId val="12"/>
      <sheetId val="13"/>
      <sheetId val="14"/>
    </sheetIdMap>
  </header>
  <header guid="{E5115CF7-EDA2-41EC-BD4C-F0CE3F20D290}" dateTime="2026-04-13T13:21:44" maxSheetId="15" userName="Avi Manorr" r:id="rId52" minRId="140">
    <sheetIdMap count="14">
      <sheetId val="1"/>
      <sheetId val="2"/>
      <sheetId val="3"/>
      <sheetId val="4"/>
      <sheetId val="5"/>
      <sheetId val="6"/>
      <sheetId val="7"/>
      <sheetId val="8"/>
      <sheetId val="9"/>
      <sheetId val="10"/>
      <sheetId val="11"/>
      <sheetId val="12"/>
      <sheetId val="13"/>
      <sheetId val="14"/>
    </sheetIdMap>
  </header>
  <header guid="{CF06380C-02DA-4FB6-9C94-48E11A661170}" dateTime="2026-04-13T13:36:39" maxSheetId="15" userName="David Mahalu" r:id="rId53">
    <sheetIdMap count="14">
      <sheetId val="1"/>
      <sheetId val="2"/>
      <sheetId val="3"/>
      <sheetId val="4"/>
      <sheetId val="5"/>
      <sheetId val="6"/>
      <sheetId val="7"/>
      <sheetId val="8"/>
      <sheetId val="9"/>
      <sheetId val="10"/>
      <sheetId val="11"/>
      <sheetId val="12"/>
      <sheetId val="13"/>
      <sheetId val="14"/>
    </sheetIdMap>
  </header>
  <header guid="{ED93B5C2-8A66-43F7-9131-71D43F4DD3FF}" dateTime="2026-04-14T07:28:47" maxSheetId="15" userName="Avi Manorr" r:id="rId54" minRId="141" maxRId="169">
    <sheetIdMap count="14">
      <sheetId val="1"/>
      <sheetId val="2"/>
      <sheetId val="3"/>
      <sheetId val="4"/>
      <sheetId val="5"/>
      <sheetId val="6"/>
      <sheetId val="7"/>
      <sheetId val="8"/>
      <sheetId val="9"/>
      <sheetId val="10"/>
      <sheetId val="11"/>
      <sheetId val="12"/>
      <sheetId val="13"/>
      <sheetId val="14"/>
    </sheetIdMap>
  </header>
  <header guid="{7399335B-5AD9-445E-8518-E60DA1BB801B}" dateTime="2026-04-14T08:11:25" maxSheetId="15" userName="Merabi Kricheli" r:id="rId55" minRId="170" maxRId="172">
    <sheetIdMap count="14">
      <sheetId val="1"/>
      <sheetId val="2"/>
      <sheetId val="3"/>
      <sheetId val="4"/>
      <sheetId val="5"/>
      <sheetId val="6"/>
      <sheetId val="7"/>
      <sheetId val="8"/>
      <sheetId val="9"/>
      <sheetId val="10"/>
      <sheetId val="11"/>
      <sheetId val="12"/>
      <sheetId val="13"/>
      <sheetId val="14"/>
    </sheetIdMap>
  </header>
  <header guid="{F5BE3AA2-59DF-40C6-A392-1D48BBA3C4AF}" dateTime="2026-04-14T08:11:50" maxSheetId="15" userName="Merabi Kricheli" r:id="rId56" minRId="173">
    <sheetIdMap count="14">
      <sheetId val="1"/>
      <sheetId val="2"/>
      <sheetId val="3"/>
      <sheetId val="4"/>
      <sheetId val="5"/>
      <sheetId val="6"/>
      <sheetId val="7"/>
      <sheetId val="8"/>
      <sheetId val="9"/>
      <sheetId val="10"/>
      <sheetId val="11"/>
      <sheetId val="12"/>
      <sheetId val="13"/>
      <sheetId val="14"/>
    </sheetIdMap>
  </header>
  <header guid="{3CB4248A-0880-4806-8E67-095DEA8DBDE2}" dateTime="2026-04-14T08:16:27" maxSheetId="15" userName="Merabi Kricheli" r:id="rId57" minRId="174" maxRId="194">
    <sheetIdMap count="14">
      <sheetId val="1"/>
      <sheetId val="2"/>
      <sheetId val="3"/>
      <sheetId val="4"/>
      <sheetId val="5"/>
      <sheetId val="6"/>
      <sheetId val="7"/>
      <sheetId val="8"/>
      <sheetId val="9"/>
      <sheetId val="10"/>
      <sheetId val="11"/>
      <sheetId val="12"/>
      <sheetId val="13"/>
      <sheetId val="14"/>
    </sheetIdMap>
  </header>
  <header guid="{A47A1394-D32D-4D95-BEA7-D8534DF0237B}" dateTime="2026-04-14T08:35:41" maxSheetId="15" userName="Merabi Kricheli" r:id="rId58" minRId="195" maxRId="198">
    <sheetIdMap count="14">
      <sheetId val="1"/>
      <sheetId val="2"/>
      <sheetId val="3"/>
      <sheetId val="4"/>
      <sheetId val="5"/>
      <sheetId val="6"/>
      <sheetId val="7"/>
      <sheetId val="8"/>
      <sheetId val="9"/>
      <sheetId val="10"/>
      <sheetId val="11"/>
      <sheetId val="12"/>
      <sheetId val="13"/>
      <sheetId val="14"/>
    </sheetIdMap>
  </header>
  <header guid="{060F7486-AFC7-4D01-B11B-7134D913626D}" dateTime="2026-04-14T10:18:55" maxSheetId="15" userName="Merabi Kricheli" r:id="rId59" minRId="199" maxRId="200">
    <sheetIdMap count="14">
      <sheetId val="1"/>
      <sheetId val="2"/>
      <sheetId val="3"/>
      <sheetId val="4"/>
      <sheetId val="5"/>
      <sheetId val="6"/>
      <sheetId val="7"/>
      <sheetId val="8"/>
      <sheetId val="9"/>
      <sheetId val="10"/>
      <sheetId val="11"/>
      <sheetId val="12"/>
      <sheetId val="13"/>
      <sheetId val="14"/>
    </sheetIdMap>
  </header>
  <header guid="{0FE9A45B-EAC7-4B03-B840-ECF2697BAEAD}" dateTime="2026-04-14T14:55:35" maxSheetId="15" userName="Izhak Aframashvili" r:id="rId60" minRId="201" maxRId="262">
    <sheetIdMap count="14">
      <sheetId val="1"/>
      <sheetId val="2"/>
      <sheetId val="3"/>
      <sheetId val="4"/>
      <sheetId val="5"/>
      <sheetId val="6"/>
      <sheetId val="7"/>
      <sheetId val="8"/>
      <sheetId val="9"/>
      <sheetId val="10"/>
      <sheetId val="11"/>
      <sheetId val="12"/>
      <sheetId val="13"/>
      <sheetId val="14"/>
    </sheetIdMap>
  </header>
  <header guid="{3DE842AA-D64E-4D77-8C45-2A904974F6C0}" dateTime="2026-04-14T14:58:05" maxSheetId="15" userName="Avi Manorr" r:id="rId61" minRId="263" maxRId="279">
    <sheetIdMap count="14">
      <sheetId val="1"/>
      <sheetId val="2"/>
      <sheetId val="3"/>
      <sheetId val="4"/>
      <sheetId val="5"/>
      <sheetId val="6"/>
      <sheetId val="7"/>
      <sheetId val="8"/>
      <sheetId val="9"/>
      <sheetId val="10"/>
      <sheetId val="11"/>
      <sheetId val="12"/>
      <sheetId val="13"/>
      <sheetId val="14"/>
    </sheetIdMap>
  </header>
  <header guid="{816D192D-F7A6-4F70-B94F-089931CC4C9A}" dateTime="2026-04-14T15:35:45" maxSheetId="15" userName="Shmuel Fogel" r:id="rId62" minRId="280" maxRId="283">
    <sheetIdMap count="14">
      <sheetId val="1"/>
      <sheetId val="2"/>
      <sheetId val="3"/>
      <sheetId val="4"/>
      <sheetId val="5"/>
      <sheetId val="6"/>
      <sheetId val="7"/>
      <sheetId val="8"/>
      <sheetId val="9"/>
      <sheetId val="10"/>
      <sheetId val="11"/>
      <sheetId val="12"/>
      <sheetId val="13"/>
      <sheetId val="14"/>
    </sheetIdMap>
  </header>
  <header guid="{20CA205A-90AA-42C6-8D70-A3E4C0DD31BD}" dateTime="2026-04-15T07:56:26" maxSheetId="15" userName="Shmuel Fogel" r:id="rId63" minRId="284" maxRId="286">
    <sheetIdMap count="14">
      <sheetId val="1"/>
      <sheetId val="2"/>
      <sheetId val="3"/>
      <sheetId val="4"/>
      <sheetId val="5"/>
      <sheetId val="6"/>
      <sheetId val="7"/>
      <sheetId val="8"/>
      <sheetId val="9"/>
      <sheetId val="10"/>
      <sheetId val="11"/>
      <sheetId val="12"/>
      <sheetId val="13"/>
      <sheetId val="14"/>
    </sheetIdMap>
  </header>
  <header guid="{1B1B806A-550D-4F34-8A43-0C989681EE62}" dateTime="2026-04-15T07:56:59" maxSheetId="15" userName="Shmuel Fogel" r:id="rId64" minRId="287">
    <sheetIdMap count="14">
      <sheetId val="1"/>
      <sheetId val="2"/>
      <sheetId val="3"/>
      <sheetId val="4"/>
      <sheetId val="5"/>
      <sheetId val="6"/>
      <sheetId val="7"/>
      <sheetId val="8"/>
      <sheetId val="9"/>
      <sheetId val="10"/>
      <sheetId val="11"/>
      <sheetId val="12"/>
      <sheetId val="13"/>
      <sheetId val="14"/>
    </sheetIdMap>
  </header>
  <header guid="{E79A48E4-4FD7-468B-94CF-E87ACD07B677}" dateTime="2026-04-15T23:05:04" maxSheetId="15" userName="Merabi Kricheli" r:id="rId65" minRId="288" maxRId="289">
    <sheetIdMap count="14">
      <sheetId val="1"/>
      <sheetId val="2"/>
      <sheetId val="3"/>
      <sheetId val="4"/>
      <sheetId val="5"/>
      <sheetId val="6"/>
      <sheetId val="7"/>
      <sheetId val="8"/>
      <sheetId val="9"/>
      <sheetId val="10"/>
      <sheetId val="11"/>
      <sheetId val="12"/>
      <sheetId val="13"/>
      <sheetId val="14"/>
    </sheetIdMap>
  </header>
  <header guid="{8FC91B07-1DCB-4E3D-BD76-0E35CCEA1C06}" dateTime="2026-04-16T07:42:31" maxSheetId="15" userName="Shmuel Fogel" r:id="rId66" minRId="290" maxRId="293">
    <sheetIdMap count="14">
      <sheetId val="1"/>
      <sheetId val="2"/>
      <sheetId val="3"/>
      <sheetId val="4"/>
      <sheetId val="5"/>
      <sheetId val="6"/>
      <sheetId val="7"/>
      <sheetId val="8"/>
      <sheetId val="9"/>
      <sheetId val="10"/>
      <sheetId val="11"/>
      <sheetId val="12"/>
      <sheetId val="13"/>
      <sheetId val="14"/>
    </sheetIdMap>
  </header>
  <header guid="{CC742137-DD0B-42DD-B994-227D968A7260}" dateTime="2026-04-16T11:51:46" maxSheetId="15" userName="Shmuel Fogel" r:id="rId67" minRId="294" maxRId="297">
    <sheetIdMap count="14">
      <sheetId val="1"/>
      <sheetId val="2"/>
      <sheetId val="3"/>
      <sheetId val="4"/>
      <sheetId val="5"/>
      <sheetId val="6"/>
      <sheetId val="7"/>
      <sheetId val="8"/>
      <sheetId val="9"/>
      <sheetId val="10"/>
      <sheetId val="11"/>
      <sheetId val="12"/>
      <sheetId val="13"/>
      <sheetId val="14"/>
    </sheetIdMap>
  </header>
  <header guid="{7BC6823E-584D-49B0-9512-DC76AA7AEB2B}" dateTime="2026-04-16T13:27:32" maxSheetId="15" userName="Shmuel Fogel" r:id="rId68">
    <sheetIdMap count="14">
      <sheetId val="1"/>
      <sheetId val="2"/>
      <sheetId val="3"/>
      <sheetId val="4"/>
      <sheetId val="5"/>
      <sheetId val="6"/>
      <sheetId val="7"/>
      <sheetId val="8"/>
      <sheetId val="9"/>
      <sheetId val="10"/>
      <sheetId val="11"/>
      <sheetId val="12"/>
      <sheetId val="13"/>
      <sheetId val="14"/>
    </sheetIdMap>
  </header>
  <header guid="{0957498C-7271-4C08-A7B4-A6C11A506292}" dateTime="2026-04-18T12:09:22" maxSheetId="15" userName="Merabi Kricheli" r:id="rId69" minRId="298">
    <sheetIdMap count="14">
      <sheetId val="1"/>
      <sheetId val="2"/>
      <sheetId val="3"/>
      <sheetId val="4"/>
      <sheetId val="5"/>
      <sheetId val="6"/>
      <sheetId val="7"/>
      <sheetId val="8"/>
      <sheetId val="9"/>
      <sheetId val="10"/>
      <sheetId val="11"/>
      <sheetId val="12"/>
      <sheetId val="13"/>
      <sheetId val="14"/>
    </sheetIdMap>
  </header>
  <header guid="{A9AB46B1-052E-45D1-A334-E91ACFB699F0}" dateTime="2026-04-18T12:12:54" maxSheetId="15" userName="Merabi Kricheli" r:id="rId70" minRId="299">
    <sheetIdMap count="14">
      <sheetId val="1"/>
      <sheetId val="2"/>
      <sheetId val="3"/>
      <sheetId val="4"/>
      <sheetId val="5"/>
      <sheetId val="6"/>
      <sheetId val="7"/>
      <sheetId val="8"/>
      <sheetId val="9"/>
      <sheetId val="10"/>
      <sheetId val="11"/>
      <sheetId val="12"/>
      <sheetId val="13"/>
      <sheetId val="14"/>
    </sheetIdMap>
  </header>
  <header guid="{3D0B875E-2242-4BA3-A248-0C18A6ECBDF8}" dateTime="2026-04-18T12:16:25" maxSheetId="15" userName="Merabi Kricheli" r:id="rId71">
    <sheetIdMap count="14">
      <sheetId val="1"/>
      <sheetId val="2"/>
      <sheetId val="3"/>
      <sheetId val="4"/>
      <sheetId val="5"/>
      <sheetId val="6"/>
      <sheetId val="7"/>
      <sheetId val="8"/>
      <sheetId val="9"/>
      <sheetId val="10"/>
      <sheetId val="11"/>
      <sheetId val="12"/>
      <sheetId val="13"/>
      <sheetId val="14"/>
    </sheetIdMap>
  </header>
  <header guid="{AFB9FFD5-7371-4359-84D6-DFB13716216D}" dateTime="2026-04-19T08:15:30" maxSheetId="15" userName="Avi Manorr" r:id="rId72" minRId="300">
    <sheetIdMap count="14">
      <sheetId val="1"/>
      <sheetId val="2"/>
      <sheetId val="3"/>
      <sheetId val="4"/>
      <sheetId val="5"/>
      <sheetId val="6"/>
      <sheetId val="7"/>
      <sheetId val="8"/>
      <sheetId val="9"/>
      <sheetId val="10"/>
      <sheetId val="11"/>
      <sheetId val="12"/>
      <sheetId val="13"/>
      <sheetId val="14"/>
    </sheetIdMap>
  </header>
  <header guid="{72FDAE4B-05D6-487D-AEB5-9A55D669CC2F}" dateTime="2026-04-19T08:29:48" maxSheetId="15" userName="Avi Manorr" r:id="rId73" minRId="301" maxRId="302">
    <sheetIdMap count="14">
      <sheetId val="1"/>
      <sheetId val="2"/>
      <sheetId val="3"/>
      <sheetId val="4"/>
      <sheetId val="5"/>
      <sheetId val="6"/>
      <sheetId val="7"/>
      <sheetId val="8"/>
      <sheetId val="9"/>
      <sheetId val="10"/>
      <sheetId val="11"/>
      <sheetId val="12"/>
      <sheetId val="13"/>
      <sheetId val="14"/>
    </sheetIdMap>
  </header>
  <header guid="{9B86D247-9619-4DCC-B20C-EC0E05664525}" dateTime="2026-04-19T08:31:29" maxSheetId="15" userName="Avi Manorr" r:id="rId74" minRId="303">
    <sheetIdMap count="14">
      <sheetId val="1"/>
      <sheetId val="2"/>
      <sheetId val="3"/>
      <sheetId val="4"/>
      <sheetId val="5"/>
      <sheetId val="6"/>
      <sheetId val="7"/>
      <sheetId val="8"/>
      <sheetId val="9"/>
      <sheetId val="10"/>
      <sheetId val="11"/>
      <sheetId val="12"/>
      <sheetId val="13"/>
      <sheetId val="14"/>
    </sheetIdMap>
  </header>
  <header guid="{6D111A7C-AEF8-4BFD-90BE-BD1D2952DCC8}" dateTime="2026-04-19T21:47:17" maxSheetId="15" userName="Merabi Kricheli" r:id="rId75" minRId="304" maxRId="308">
    <sheetIdMap count="14">
      <sheetId val="1"/>
      <sheetId val="2"/>
      <sheetId val="3"/>
      <sheetId val="4"/>
      <sheetId val="5"/>
      <sheetId val="6"/>
      <sheetId val="7"/>
      <sheetId val="8"/>
      <sheetId val="9"/>
      <sheetId val="10"/>
      <sheetId val="11"/>
      <sheetId val="12"/>
      <sheetId val="13"/>
      <sheetId val="14"/>
    </sheetIdMap>
  </header>
  <header guid="{04325083-0908-4AD0-9931-4AE4CE0B9882}" dateTime="2026-04-19T21:49:17" maxSheetId="15" userName="Merabi Kricheli" r:id="rId76" minRId="309">
    <sheetIdMap count="14">
      <sheetId val="1"/>
      <sheetId val="2"/>
      <sheetId val="3"/>
      <sheetId val="4"/>
      <sheetId val="5"/>
      <sheetId val="6"/>
      <sheetId val="7"/>
      <sheetId val="8"/>
      <sheetId val="9"/>
      <sheetId val="10"/>
      <sheetId val="11"/>
      <sheetId val="12"/>
      <sheetId val="13"/>
      <sheetId val="14"/>
    </sheetIdMap>
  </header>
  <header guid="{19EE9A0C-2D1C-4B76-8FD6-92A73B17BD40}" dateTime="2026-04-19T21:52:44" maxSheetId="15" userName="Merabi Kricheli" r:id="rId77" minRId="310" maxRId="316">
    <sheetIdMap count="14">
      <sheetId val="1"/>
      <sheetId val="2"/>
      <sheetId val="3"/>
      <sheetId val="4"/>
      <sheetId val="5"/>
      <sheetId val="6"/>
      <sheetId val="7"/>
      <sheetId val="8"/>
      <sheetId val="9"/>
      <sheetId val="10"/>
      <sheetId val="11"/>
      <sheetId val="12"/>
      <sheetId val="13"/>
      <sheetId val="14"/>
    </sheetIdMap>
  </header>
  <header guid="{42762100-D969-4DEA-8FAD-CC0EC461266B}" dateTime="2026-04-19T21:54:17" maxSheetId="15" userName="Merabi Kricheli" r:id="rId78" minRId="317" maxRId="318">
    <sheetIdMap count="14">
      <sheetId val="1"/>
      <sheetId val="2"/>
      <sheetId val="3"/>
      <sheetId val="4"/>
      <sheetId val="5"/>
      <sheetId val="6"/>
      <sheetId val="7"/>
      <sheetId val="8"/>
      <sheetId val="9"/>
      <sheetId val="10"/>
      <sheetId val="11"/>
      <sheetId val="12"/>
      <sheetId val="13"/>
      <sheetId val="14"/>
    </sheetIdMap>
  </header>
  <header guid="{FFA3010C-E19F-4E88-9BEB-9394411FC1E4}" dateTime="2026-04-19T22:15:21" maxSheetId="15" userName="Merabi Kricheli" r:id="rId79" minRId="319" maxRId="321">
    <sheetIdMap count="14">
      <sheetId val="1"/>
      <sheetId val="2"/>
      <sheetId val="3"/>
      <sheetId val="4"/>
      <sheetId val="5"/>
      <sheetId val="6"/>
      <sheetId val="7"/>
      <sheetId val="8"/>
      <sheetId val="9"/>
      <sheetId val="10"/>
      <sheetId val="11"/>
      <sheetId val="12"/>
      <sheetId val="13"/>
      <sheetId val="14"/>
    </sheetIdMap>
  </header>
  <header guid="{69C8352D-21FF-4219-AEF7-6C20F7B95C7A}" dateTime="2026-04-20T07:16:41" maxSheetId="15" userName="Merabi Kricheli" r:id="rId80" minRId="322" maxRId="326">
    <sheetIdMap count="14">
      <sheetId val="1"/>
      <sheetId val="2"/>
      <sheetId val="3"/>
      <sheetId val="4"/>
      <sheetId val="5"/>
      <sheetId val="6"/>
      <sheetId val="7"/>
      <sheetId val="8"/>
      <sheetId val="9"/>
      <sheetId val="10"/>
      <sheetId val="11"/>
      <sheetId val="12"/>
      <sheetId val="13"/>
      <sheetId val="14"/>
    </sheetIdMap>
  </header>
  <header guid="{D0EE2170-C067-4159-A6B5-F528E6F2F6FD}" dateTime="2026-04-20T07:51:45" maxSheetId="15" userName="Avi Manorr" r:id="rId81" minRId="327" maxRId="328">
    <sheetIdMap count="14">
      <sheetId val="1"/>
      <sheetId val="2"/>
      <sheetId val="3"/>
      <sheetId val="4"/>
      <sheetId val="5"/>
      <sheetId val="6"/>
      <sheetId val="7"/>
      <sheetId val="8"/>
      <sheetId val="9"/>
      <sheetId val="10"/>
      <sheetId val="11"/>
      <sheetId val="12"/>
      <sheetId val="13"/>
      <sheetId val="14"/>
    </sheetIdMap>
  </header>
  <header guid="{E607ABE3-D2C7-4F9C-A19A-48F916919F8D}" dateTime="2026-04-20T08:17:14" maxSheetId="15" userName="Merabi Kricheli" r:id="rId82" minRId="329" maxRId="332">
    <sheetIdMap count="14">
      <sheetId val="1"/>
      <sheetId val="2"/>
      <sheetId val="3"/>
      <sheetId val="4"/>
      <sheetId val="5"/>
      <sheetId val="6"/>
      <sheetId val="7"/>
      <sheetId val="8"/>
      <sheetId val="9"/>
      <sheetId val="10"/>
      <sheetId val="11"/>
      <sheetId val="12"/>
      <sheetId val="13"/>
      <sheetId val="14"/>
    </sheetIdMap>
  </header>
  <header guid="{07F1D20B-9E5B-493B-BB7D-C9091058488F}" dateTime="2026-04-20T09:49:56" maxSheetId="15" userName="Shmuel Fogel" r:id="rId83" minRId="333" maxRId="335">
    <sheetIdMap count="14">
      <sheetId val="1"/>
      <sheetId val="2"/>
      <sheetId val="3"/>
      <sheetId val="4"/>
      <sheetId val="5"/>
      <sheetId val="6"/>
      <sheetId val="7"/>
      <sheetId val="8"/>
      <sheetId val="9"/>
      <sheetId val="10"/>
      <sheetId val="11"/>
      <sheetId val="12"/>
      <sheetId val="13"/>
      <sheetId val="14"/>
    </sheetIdMap>
  </header>
  <header guid="{32C4256F-55CA-4B62-B506-90B3780A04EB}" dateTime="2026-04-20T09:51:51" maxSheetId="15" userName="Shmuel Fogel" r:id="rId84" minRId="336" maxRId="337">
    <sheetIdMap count="14">
      <sheetId val="1"/>
      <sheetId val="2"/>
      <sheetId val="3"/>
      <sheetId val="4"/>
      <sheetId val="5"/>
      <sheetId val="6"/>
      <sheetId val="7"/>
      <sheetId val="8"/>
      <sheetId val="9"/>
      <sheetId val="10"/>
      <sheetId val="11"/>
      <sheetId val="12"/>
      <sheetId val="13"/>
      <sheetId val="14"/>
    </sheetIdMap>
  </header>
  <header guid="{F8A51073-43FC-42B1-A5DA-70CD20A094F7}" dateTime="2026-04-20T11:52:33" maxSheetId="15" userName="Shmuel Fogel" r:id="rId85" minRId="338">
    <sheetIdMap count="14">
      <sheetId val="1"/>
      <sheetId val="2"/>
      <sheetId val="3"/>
      <sheetId val="4"/>
      <sheetId val="5"/>
      <sheetId val="6"/>
      <sheetId val="7"/>
      <sheetId val="8"/>
      <sheetId val="9"/>
      <sheetId val="10"/>
      <sheetId val="11"/>
      <sheetId val="12"/>
      <sheetId val="13"/>
      <sheetId val="14"/>
    </sheetIdMap>
  </header>
  <header guid="{FB8D9BE5-0E40-4A29-A633-95D4EE199721}" dateTime="2026-04-21T06:14:32" maxSheetId="15" userName="Avi Manorr" r:id="rId86" minRId="339">
    <sheetIdMap count="14">
      <sheetId val="1"/>
      <sheetId val="2"/>
      <sheetId val="3"/>
      <sheetId val="4"/>
      <sheetId val="5"/>
      <sheetId val="6"/>
      <sheetId val="7"/>
      <sheetId val="8"/>
      <sheetId val="9"/>
      <sheetId val="10"/>
      <sheetId val="11"/>
      <sheetId val="12"/>
      <sheetId val="13"/>
      <sheetId val="14"/>
    </sheetIdMap>
  </header>
  <header guid="{9B04D2C6-8D2D-4389-835F-3D2550ED7DD4}" dateTime="2026-04-21T06:14:55" maxSheetId="15" userName="Avi Manorr" r:id="rId87" minRId="340">
    <sheetIdMap count="14">
      <sheetId val="1"/>
      <sheetId val="2"/>
      <sheetId val="3"/>
      <sheetId val="4"/>
      <sheetId val="5"/>
      <sheetId val="6"/>
      <sheetId val="7"/>
      <sheetId val="8"/>
      <sheetId val="9"/>
      <sheetId val="10"/>
      <sheetId val="11"/>
      <sheetId val="12"/>
      <sheetId val="13"/>
      <sheetId val="14"/>
    </sheetIdMap>
  </header>
  <header guid="{4304044F-F26E-4747-9C02-CCA41A134FA3}" dateTime="2026-04-21T06:50:08" maxSheetId="15" userName="Avi Manorr" r:id="rId88" minRId="341">
    <sheetIdMap count="14">
      <sheetId val="1"/>
      <sheetId val="2"/>
      <sheetId val="3"/>
      <sheetId val="4"/>
      <sheetId val="5"/>
      <sheetId val="6"/>
      <sheetId val="7"/>
      <sheetId val="8"/>
      <sheetId val="9"/>
      <sheetId val="10"/>
      <sheetId val="11"/>
      <sheetId val="12"/>
      <sheetId val="13"/>
      <sheetId val="14"/>
    </sheetIdMap>
  </header>
  <header guid="{756DB579-CD35-47EE-BF8C-D0D31A3CBB3D}" dateTime="2026-04-21T06:50:42" maxSheetId="15" userName="Avi Manorr" r:id="rId89" minRId="342" maxRId="344">
    <sheetIdMap count="14">
      <sheetId val="1"/>
      <sheetId val="2"/>
      <sheetId val="3"/>
      <sheetId val="4"/>
      <sheetId val="5"/>
      <sheetId val="6"/>
      <sheetId val="7"/>
      <sheetId val="8"/>
      <sheetId val="9"/>
      <sheetId val="10"/>
      <sheetId val="11"/>
      <sheetId val="12"/>
      <sheetId val="13"/>
      <sheetId val="14"/>
    </sheetIdMap>
  </header>
  <header guid="{3A0F21C0-23BA-43A8-97A8-01C5A984D881}" dateTime="2026-04-21T08:16:46" maxSheetId="15" userName="Avi Manorr" r:id="rId90" minRId="345" maxRId="347">
    <sheetIdMap count="14">
      <sheetId val="1"/>
      <sheetId val="2"/>
      <sheetId val="3"/>
      <sheetId val="4"/>
      <sheetId val="5"/>
      <sheetId val="6"/>
      <sheetId val="7"/>
      <sheetId val="8"/>
      <sheetId val="9"/>
      <sheetId val="10"/>
      <sheetId val="11"/>
      <sheetId val="12"/>
      <sheetId val="13"/>
      <sheetId val="14"/>
    </sheetIdMap>
  </header>
  <header guid="{B3799A0A-1F42-41BB-BB52-38D8163E068E}" dateTime="2026-04-21T10:10:39" maxSheetId="15" userName="Avi Manorr" r:id="rId91" minRId="348" maxRId="351">
    <sheetIdMap count="14">
      <sheetId val="1"/>
      <sheetId val="2"/>
      <sheetId val="3"/>
      <sheetId val="4"/>
      <sheetId val="5"/>
      <sheetId val="6"/>
      <sheetId val="7"/>
      <sheetId val="8"/>
      <sheetId val="9"/>
      <sheetId val="10"/>
      <sheetId val="11"/>
      <sheetId val="12"/>
      <sheetId val="13"/>
      <sheetId val="14"/>
    </sheetIdMap>
  </header>
  <header guid="{309A3058-15A7-4B29-932D-126E5D9063E2}" dateTime="2026-04-21T10:12:12" maxSheetId="15" userName="Avi Shmueli" r:id="rId92">
    <sheetIdMap count="14">
      <sheetId val="1"/>
      <sheetId val="2"/>
      <sheetId val="3"/>
      <sheetId val="4"/>
      <sheetId val="5"/>
      <sheetId val="6"/>
      <sheetId val="7"/>
      <sheetId val="8"/>
      <sheetId val="9"/>
      <sheetId val="10"/>
      <sheetId val="11"/>
      <sheetId val="12"/>
      <sheetId val="13"/>
      <sheetId val="14"/>
    </sheetIdMap>
  </header>
  <header guid="{0099F5FA-4723-44EA-94E1-BCCEB72D2484}" dateTime="2026-04-21T10:13:27" maxSheetId="15" userName="Avi Manorr" r:id="rId93" minRId="352" maxRId="354">
    <sheetIdMap count="14">
      <sheetId val="1"/>
      <sheetId val="2"/>
      <sheetId val="3"/>
      <sheetId val="4"/>
      <sheetId val="5"/>
      <sheetId val="6"/>
      <sheetId val="7"/>
      <sheetId val="8"/>
      <sheetId val="9"/>
      <sheetId val="10"/>
      <sheetId val="11"/>
      <sheetId val="12"/>
      <sheetId val="13"/>
      <sheetId val="14"/>
    </sheetIdMap>
  </header>
  <header guid="{C63C7DCD-E9C6-4CD4-802C-417732841FB5}" dateTime="2026-04-21T10:17:54" maxSheetId="15" userName="Avi Manorr" r:id="rId94" minRId="355" maxRId="356">
    <sheetIdMap count="14">
      <sheetId val="1"/>
      <sheetId val="2"/>
      <sheetId val="3"/>
      <sheetId val="4"/>
      <sheetId val="5"/>
      <sheetId val="6"/>
      <sheetId val="7"/>
      <sheetId val="8"/>
      <sheetId val="9"/>
      <sheetId val="10"/>
      <sheetId val="11"/>
      <sheetId val="12"/>
      <sheetId val="13"/>
      <sheetId val="14"/>
    </sheetIdMap>
  </header>
  <header guid="{0E8D95EF-7E0B-4D60-995F-D98C00037A02}" dateTime="2026-04-21T10:19:28" maxSheetId="15" userName="Avi Manorr" r:id="rId95" minRId="357" maxRId="358">
    <sheetIdMap count="14">
      <sheetId val="1"/>
      <sheetId val="2"/>
      <sheetId val="3"/>
      <sheetId val="4"/>
      <sheetId val="5"/>
      <sheetId val="6"/>
      <sheetId val="7"/>
      <sheetId val="8"/>
      <sheetId val="9"/>
      <sheetId val="10"/>
      <sheetId val="11"/>
      <sheetId val="12"/>
      <sheetId val="13"/>
      <sheetId val="14"/>
    </sheetIdMap>
  </header>
  <header guid="{DB0B6B65-510E-4A0E-B45F-E42082F5E16F}" dateTime="2026-04-21T12:42:27" maxSheetId="15" userName="Avi Manorr" r:id="rId96">
    <sheetIdMap count="14">
      <sheetId val="1"/>
      <sheetId val="2"/>
      <sheetId val="3"/>
      <sheetId val="4"/>
      <sheetId val="5"/>
      <sheetId val="6"/>
      <sheetId val="7"/>
      <sheetId val="8"/>
      <sheetId val="9"/>
      <sheetId val="10"/>
      <sheetId val="11"/>
      <sheetId val="12"/>
      <sheetId val="13"/>
      <sheetId val="14"/>
    </sheetIdMap>
  </header>
  <header guid="{2C214215-A08F-4E1D-9AE9-06994C163F0A}" dateTime="2026-04-22T09:04:24" maxSheetId="15" userName="Merabi Kricheli" r:id="rId97">
    <sheetIdMap count="14">
      <sheetId val="1"/>
      <sheetId val="2"/>
      <sheetId val="3"/>
      <sheetId val="4"/>
      <sheetId val="5"/>
      <sheetId val="6"/>
      <sheetId val="7"/>
      <sheetId val="8"/>
      <sheetId val="9"/>
      <sheetId val="10"/>
      <sheetId val="11"/>
      <sheetId val="12"/>
      <sheetId val="13"/>
      <sheetId val="14"/>
    </sheetIdMap>
  </header>
  <header guid="{55C38AA5-98FD-4509-ABF3-5F70E4F64C2C}" dateTime="2026-04-22T09:10:05" maxSheetId="15" userName="Merabi Kricheli" r:id="rId98">
    <sheetIdMap count="14">
      <sheetId val="1"/>
      <sheetId val="2"/>
      <sheetId val="3"/>
      <sheetId val="4"/>
      <sheetId val="5"/>
      <sheetId val="6"/>
      <sheetId val="7"/>
      <sheetId val="8"/>
      <sheetId val="9"/>
      <sheetId val="10"/>
      <sheetId val="11"/>
      <sheetId val="12"/>
      <sheetId val="13"/>
      <sheetId val="14"/>
    </sheetIdMap>
  </header>
  <header guid="{0EADF6C6-86E7-4613-8B89-05DAD733412C}" dateTime="2026-04-22T09:14:24" maxSheetId="15" userName="Merabi Kricheli" r:id="rId99" minRId="359" maxRId="414">
    <sheetIdMap count="14">
      <sheetId val="1"/>
      <sheetId val="2"/>
      <sheetId val="3"/>
      <sheetId val="4"/>
      <sheetId val="5"/>
      <sheetId val="6"/>
      <sheetId val="7"/>
      <sheetId val="8"/>
      <sheetId val="9"/>
      <sheetId val="10"/>
      <sheetId val="11"/>
      <sheetId val="12"/>
      <sheetId val="13"/>
      <sheetId val="14"/>
    </sheetIdMap>
  </header>
  <header guid="{3348F4E2-90FD-4A7F-8454-446E5483934D}" dateTime="2026-04-22T10:02:04" maxSheetId="15" userName="Merabi Kricheli" r:id="rId100" minRId="415" maxRId="418">
    <sheetIdMap count="14">
      <sheetId val="1"/>
      <sheetId val="2"/>
      <sheetId val="3"/>
      <sheetId val="4"/>
      <sheetId val="5"/>
      <sheetId val="6"/>
      <sheetId val="7"/>
      <sheetId val="8"/>
      <sheetId val="9"/>
      <sheetId val="10"/>
      <sheetId val="11"/>
      <sheetId val="12"/>
      <sheetId val="13"/>
      <sheetId val="14"/>
    </sheetIdMap>
  </header>
  <header guid="{69851AF6-54BA-4144-A578-3DC049B320FE}" dateTime="2026-04-23T09:48:06" maxSheetId="15" userName="Avi Manorr" r:id="rId101" minRId="419" maxRId="421">
    <sheetIdMap count="14">
      <sheetId val="1"/>
      <sheetId val="2"/>
      <sheetId val="3"/>
      <sheetId val="4"/>
      <sheetId val="5"/>
      <sheetId val="6"/>
      <sheetId val="7"/>
      <sheetId val="8"/>
      <sheetId val="9"/>
      <sheetId val="10"/>
      <sheetId val="11"/>
      <sheetId val="12"/>
      <sheetId val="13"/>
      <sheetId val="14"/>
    </sheetIdMap>
  </header>
  <header guid="{13668E57-2DAE-44A9-93E7-594C21678DF1}" dateTime="2026-04-23T09:48:28" maxSheetId="15" userName="Avi Manorr" r:id="rId102" minRId="422">
    <sheetIdMap count="14">
      <sheetId val="1"/>
      <sheetId val="2"/>
      <sheetId val="3"/>
      <sheetId val="4"/>
      <sheetId val="5"/>
      <sheetId val="6"/>
      <sheetId val="7"/>
      <sheetId val="8"/>
      <sheetId val="9"/>
      <sheetId val="10"/>
      <sheetId val="11"/>
      <sheetId val="12"/>
      <sheetId val="13"/>
      <sheetId val="14"/>
    </sheetIdMap>
  </header>
  <header guid="{2BC5318E-0356-4C09-9BDE-26C3319478EE}" dateTime="2026-04-23T14:39:28" maxSheetId="15" userName="Avi Manorr" r:id="rId103" minRId="423" maxRId="424">
    <sheetIdMap count="14">
      <sheetId val="1"/>
      <sheetId val="2"/>
      <sheetId val="3"/>
      <sheetId val="4"/>
      <sheetId val="5"/>
      <sheetId val="6"/>
      <sheetId val="7"/>
      <sheetId val="8"/>
      <sheetId val="9"/>
      <sheetId val="10"/>
      <sheetId val="11"/>
      <sheetId val="12"/>
      <sheetId val="13"/>
      <sheetId val="14"/>
    </sheetIdMap>
  </header>
  <header guid="{75D14389-D168-461F-AEDB-36522799B2A1}" dateTime="2026-04-23T21:17:37" maxSheetId="15" userName="Merabi Kricheli" r:id="rId104" minRId="425">
    <sheetIdMap count="14">
      <sheetId val="1"/>
      <sheetId val="2"/>
      <sheetId val="3"/>
      <sheetId val="4"/>
      <sheetId val="5"/>
      <sheetId val="6"/>
      <sheetId val="7"/>
      <sheetId val="8"/>
      <sheetId val="9"/>
      <sheetId val="10"/>
      <sheetId val="11"/>
      <sheetId val="12"/>
      <sheetId val="13"/>
      <sheetId val="14"/>
    </sheetIdMap>
  </header>
  <header guid="{DEE27942-6CF6-4D70-8FC4-6C7A709760E8}" dateTime="2026-04-23T23:35:59" maxSheetId="15" userName="Merabi Kricheli" r:id="rId105" minRId="426" maxRId="428">
    <sheetIdMap count="14">
      <sheetId val="1"/>
      <sheetId val="2"/>
      <sheetId val="3"/>
      <sheetId val="4"/>
      <sheetId val="5"/>
      <sheetId val="6"/>
      <sheetId val="7"/>
      <sheetId val="8"/>
      <sheetId val="9"/>
      <sheetId val="10"/>
      <sheetId val="11"/>
      <sheetId val="12"/>
      <sheetId val="13"/>
      <sheetId val="14"/>
    </sheetIdMap>
  </header>
  <header guid="{E399DDED-CF10-47E5-9A96-EF5231901FA0}" dateTime="2026-04-23T23:37:17" maxSheetId="15" userName="Merabi Kricheli" r:id="rId106" minRId="429" maxRId="430">
    <sheetIdMap count="14">
      <sheetId val="1"/>
      <sheetId val="2"/>
      <sheetId val="3"/>
      <sheetId val="4"/>
      <sheetId val="5"/>
      <sheetId val="6"/>
      <sheetId val="7"/>
      <sheetId val="8"/>
      <sheetId val="9"/>
      <sheetId val="10"/>
      <sheetId val="11"/>
      <sheetId val="12"/>
      <sheetId val="13"/>
      <sheetId val="14"/>
    </sheetIdMap>
  </header>
  <header guid="{E3B69A41-843A-4CEB-A968-26819A47C949}" dateTime="2026-04-24T08:00:54" maxSheetId="15" userName="Merabi Kricheli" r:id="rId107">
    <sheetIdMap count="14">
      <sheetId val="1"/>
      <sheetId val="2"/>
      <sheetId val="3"/>
      <sheetId val="4"/>
      <sheetId val="5"/>
      <sheetId val="6"/>
      <sheetId val="7"/>
      <sheetId val="8"/>
      <sheetId val="9"/>
      <sheetId val="10"/>
      <sheetId val="11"/>
      <sheetId val="12"/>
      <sheetId val="13"/>
      <sheetId val="14"/>
    </sheetIdMap>
  </header>
  <header guid="{E024DCEB-EF32-4407-9D90-8634A9341D23}" dateTime="2026-04-26T07:03:32" maxSheetId="15" userName="Avi Manorr" r:id="rId108" minRId="431" maxRId="434">
    <sheetIdMap count="14">
      <sheetId val="1"/>
      <sheetId val="2"/>
      <sheetId val="3"/>
      <sheetId val="4"/>
      <sheetId val="5"/>
      <sheetId val="6"/>
      <sheetId val="7"/>
      <sheetId val="8"/>
      <sheetId val="9"/>
      <sheetId val="10"/>
      <sheetId val="11"/>
      <sheetId val="12"/>
      <sheetId val="13"/>
      <sheetId val="14"/>
    </sheetIdMap>
  </header>
  <header guid="{835941E8-C683-4ADE-A3EB-48B2F2B65659}" dateTime="2026-04-26T09:51:43" maxSheetId="15" userName="Merabi Kricheli" r:id="rId109" minRId="435" maxRId="437">
    <sheetIdMap count="14">
      <sheetId val="1"/>
      <sheetId val="2"/>
      <sheetId val="3"/>
      <sheetId val="4"/>
      <sheetId val="5"/>
      <sheetId val="6"/>
      <sheetId val="7"/>
      <sheetId val="8"/>
      <sheetId val="9"/>
      <sheetId val="10"/>
      <sheetId val="11"/>
      <sheetId val="12"/>
      <sheetId val="13"/>
      <sheetId val="14"/>
    </sheetIdMap>
  </header>
  <header guid="{CBBE34C6-A994-4F77-AEA8-F64171479D15}" dateTime="2026-04-26T11:12:46" maxSheetId="15" userName="Merabi Kricheli" r:id="rId110" minRId="438">
    <sheetIdMap count="14">
      <sheetId val="1"/>
      <sheetId val="2"/>
      <sheetId val="3"/>
      <sheetId val="4"/>
      <sheetId val="5"/>
      <sheetId val="6"/>
      <sheetId val="7"/>
      <sheetId val="8"/>
      <sheetId val="9"/>
      <sheetId val="10"/>
      <sheetId val="11"/>
      <sheetId val="12"/>
      <sheetId val="13"/>
      <sheetId val="14"/>
    </sheetIdMap>
  </header>
  <header guid="{4084B9AE-0FF4-4762-9382-1ECC1916A74E}" dateTime="2026-04-26T11:13:48" maxSheetId="15" userName="Merabi Kricheli" r:id="rId111">
    <sheetIdMap count="14">
      <sheetId val="1"/>
      <sheetId val="2"/>
      <sheetId val="3"/>
      <sheetId val="4"/>
      <sheetId val="5"/>
      <sheetId val="6"/>
      <sheetId val="7"/>
      <sheetId val="8"/>
      <sheetId val="9"/>
      <sheetId val="10"/>
      <sheetId val="11"/>
      <sheetId val="12"/>
      <sheetId val="13"/>
      <sheetId val="14"/>
    </sheetIdMap>
  </header>
  <header guid="{3CAC5E02-AD16-4F69-86EF-0D5CC64BA44D}" dateTime="2026-04-26T12:38:34" maxSheetId="15" userName="Merabi Kricheli" r:id="rId112">
    <sheetIdMap count="14">
      <sheetId val="1"/>
      <sheetId val="2"/>
      <sheetId val="3"/>
      <sheetId val="4"/>
      <sheetId val="5"/>
      <sheetId val="6"/>
      <sheetId val="7"/>
      <sheetId val="8"/>
      <sheetId val="9"/>
      <sheetId val="10"/>
      <sheetId val="11"/>
      <sheetId val="12"/>
      <sheetId val="13"/>
      <sheetId val="14"/>
    </sheetIdMap>
  </header>
  <header guid="{630E97F6-A28A-4140-91F2-FD000D31084D}" dateTime="2026-04-26T13:47:46" maxSheetId="15" userName="Merabi Kricheli" r:id="rId113" minRId="439">
    <sheetIdMap count="14">
      <sheetId val="1"/>
      <sheetId val="2"/>
      <sheetId val="3"/>
      <sheetId val="4"/>
      <sheetId val="5"/>
      <sheetId val="6"/>
      <sheetId val="7"/>
      <sheetId val="8"/>
      <sheetId val="9"/>
      <sheetId val="10"/>
      <sheetId val="11"/>
      <sheetId val="12"/>
      <sheetId val="13"/>
      <sheetId val="14"/>
    </sheetIdMap>
  </header>
  <header guid="{34A95444-E244-4825-9B12-8A25CE58EECC}" dateTime="2026-04-26T13:47:57" maxSheetId="15" userName="Merabi Kricheli" r:id="rId114" minRId="440">
    <sheetIdMap count="14">
      <sheetId val="1"/>
      <sheetId val="2"/>
      <sheetId val="3"/>
      <sheetId val="4"/>
      <sheetId val="5"/>
      <sheetId val="6"/>
      <sheetId val="7"/>
      <sheetId val="8"/>
      <sheetId val="9"/>
      <sheetId val="10"/>
      <sheetId val="11"/>
      <sheetId val="12"/>
      <sheetId val="13"/>
      <sheetId val="14"/>
    </sheetIdMap>
  </header>
  <header guid="{9A8F5109-1DD6-4330-B094-31F25A984C5E}" dateTime="2026-04-26T16:16:47" maxSheetId="15" userName="Avi Shmueli" r:id="rId115" minRId="441">
    <sheetIdMap count="14">
      <sheetId val="1"/>
      <sheetId val="2"/>
      <sheetId val="3"/>
      <sheetId val="4"/>
      <sheetId val="5"/>
      <sheetId val="6"/>
      <sheetId val="7"/>
      <sheetId val="8"/>
      <sheetId val="9"/>
      <sheetId val="10"/>
      <sheetId val="11"/>
      <sheetId val="12"/>
      <sheetId val="13"/>
      <sheetId val="14"/>
    </sheetIdMap>
  </header>
  <header guid="{157C5643-519B-468E-B13A-97106E446A9C}" dateTime="2026-04-27T07:53:35" maxSheetId="15" userName="Avi Manorr" r:id="rId116" minRId="442">
    <sheetIdMap count="14">
      <sheetId val="1"/>
      <sheetId val="2"/>
      <sheetId val="3"/>
      <sheetId val="4"/>
      <sheetId val="5"/>
      <sheetId val="6"/>
      <sheetId val="7"/>
      <sheetId val="8"/>
      <sheetId val="9"/>
      <sheetId val="10"/>
      <sheetId val="11"/>
      <sheetId val="12"/>
      <sheetId val="13"/>
      <sheetId val="14"/>
    </sheetIdMap>
  </header>
  <header guid="{900664A3-72BA-463C-8D3E-19A3682E17C1}" dateTime="2026-04-27T08:29:49" maxSheetId="15" userName="Avi Manorr" r:id="rId117" minRId="443" maxRId="444">
    <sheetIdMap count="14">
      <sheetId val="1"/>
      <sheetId val="2"/>
      <sheetId val="3"/>
      <sheetId val="4"/>
      <sheetId val="5"/>
      <sheetId val="6"/>
      <sheetId val="7"/>
      <sheetId val="8"/>
      <sheetId val="9"/>
      <sheetId val="10"/>
      <sheetId val="11"/>
      <sheetId val="12"/>
      <sheetId val="13"/>
      <sheetId val="14"/>
    </sheetIdMap>
  </header>
  <header guid="{AEB2D73B-9E05-40B2-AEFF-164E3B044C05}" dateTime="2026-04-27T08:34:39" maxSheetId="15" userName="Avi Shmueli" r:id="rId118" minRId="445" maxRId="450">
    <sheetIdMap count="14">
      <sheetId val="1"/>
      <sheetId val="2"/>
      <sheetId val="3"/>
      <sheetId val="4"/>
      <sheetId val="5"/>
      <sheetId val="6"/>
      <sheetId val="7"/>
      <sheetId val="8"/>
      <sheetId val="9"/>
      <sheetId val="10"/>
      <sheetId val="11"/>
      <sheetId val="12"/>
      <sheetId val="13"/>
      <sheetId val="14"/>
    </sheetIdMap>
  </header>
  <header guid="{F5F10CEA-162A-4EF3-9009-9210B42295ED}" dateTime="2026-04-27T08:50:01" maxSheetId="15" userName="Avi Manorr" r:id="rId119" minRId="451" maxRId="470">
    <sheetIdMap count="14">
      <sheetId val="1"/>
      <sheetId val="2"/>
      <sheetId val="3"/>
      <sheetId val="4"/>
      <sheetId val="5"/>
      <sheetId val="6"/>
      <sheetId val="7"/>
      <sheetId val="8"/>
      <sheetId val="9"/>
      <sheetId val="10"/>
      <sheetId val="11"/>
      <sheetId val="12"/>
      <sheetId val="13"/>
      <sheetId val="14"/>
    </sheetIdMap>
  </header>
  <header guid="{8229B1D0-9EB5-4923-AA07-526CA62E6100}" dateTime="2026-04-27T08:50:50" maxSheetId="15" userName="Avi Manorr" r:id="rId120" minRId="471" maxRId="490">
    <sheetIdMap count="14">
      <sheetId val="1"/>
      <sheetId val="2"/>
      <sheetId val="3"/>
      <sheetId val="4"/>
      <sheetId val="5"/>
      <sheetId val="6"/>
      <sheetId val="7"/>
      <sheetId val="8"/>
      <sheetId val="9"/>
      <sheetId val="10"/>
      <sheetId val="11"/>
      <sheetId val="12"/>
      <sheetId val="13"/>
      <sheetId val="14"/>
    </sheetIdMap>
  </header>
  <header guid="{A2166D82-88B2-4090-9C3C-1F67E467EAB6}" dateTime="2026-04-27T08:51:24" maxSheetId="15" userName="Avi Manorr" r:id="rId121" minRId="491" maxRId="499">
    <sheetIdMap count="14">
      <sheetId val="1"/>
      <sheetId val="2"/>
      <sheetId val="3"/>
      <sheetId val="4"/>
      <sheetId val="5"/>
      <sheetId val="6"/>
      <sheetId val="7"/>
      <sheetId val="8"/>
      <sheetId val="9"/>
      <sheetId val="10"/>
      <sheetId val="11"/>
      <sheetId val="12"/>
      <sheetId val="13"/>
      <sheetId val="14"/>
    </sheetIdMap>
  </header>
  <header guid="{A54A1077-3F15-4930-9D9D-9010FD9EE9AF}" dateTime="2026-04-27T09:58:21" maxSheetId="15" userName="Avi Manorr" r:id="rId122" minRId="500" maxRId="501">
    <sheetIdMap count="14">
      <sheetId val="1"/>
      <sheetId val="2"/>
      <sheetId val="3"/>
      <sheetId val="4"/>
      <sheetId val="5"/>
      <sheetId val="6"/>
      <sheetId val="7"/>
      <sheetId val="8"/>
      <sheetId val="9"/>
      <sheetId val="10"/>
      <sheetId val="11"/>
      <sheetId val="12"/>
      <sheetId val="13"/>
      <sheetId val="14"/>
    </sheetIdMap>
  </header>
  <header guid="{D18D6615-DCB5-4570-8406-CDB978B15864}" dateTime="2026-04-27T09:59:02" maxSheetId="15" userName="Avi Manorr" r:id="rId123" minRId="502" maxRId="505">
    <sheetIdMap count="14">
      <sheetId val="1"/>
      <sheetId val="2"/>
      <sheetId val="3"/>
      <sheetId val="4"/>
      <sheetId val="5"/>
      <sheetId val="6"/>
      <sheetId val="7"/>
      <sheetId val="8"/>
      <sheetId val="9"/>
      <sheetId val="10"/>
      <sheetId val="11"/>
      <sheetId val="12"/>
      <sheetId val="13"/>
      <sheetId val="14"/>
    </sheetIdMap>
  </header>
  <header guid="{21292E8E-A8EA-458D-8196-647BD302EB8B}" dateTime="2026-04-27T10:01:47" maxSheetId="15" userName="Avi Manorr" r:id="rId124" minRId="506" maxRId="515">
    <sheetIdMap count="14">
      <sheetId val="1"/>
      <sheetId val="2"/>
      <sheetId val="3"/>
      <sheetId val="4"/>
      <sheetId val="5"/>
      <sheetId val="6"/>
      <sheetId val="7"/>
      <sheetId val="8"/>
      <sheetId val="9"/>
      <sheetId val="10"/>
      <sheetId val="11"/>
      <sheetId val="12"/>
      <sheetId val="13"/>
      <sheetId val="14"/>
    </sheetIdMap>
  </header>
  <header guid="{590FC505-5369-4284-BAC2-0318646DC433}" dateTime="2026-04-27T13:01:25" maxSheetId="15" userName="Yoav Bardugo" r:id="rId125" minRId="516" maxRId="521">
    <sheetIdMap count="14">
      <sheetId val="1"/>
      <sheetId val="2"/>
      <sheetId val="3"/>
      <sheetId val="4"/>
      <sheetId val="5"/>
      <sheetId val="6"/>
      <sheetId val="7"/>
      <sheetId val="8"/>
      <sheetId val="9"/>
      <sheetId val="10"/>
      <sheetId val="11"/>
      <sheetId val="12"/>
      <sheetId val="13"/>
      <sheetId val="14"/>
    </sheetIdMap>
  </header>
  <header guid="{3D495484-E2F8-4016-BAC2-F97FDEA1C4D7}" dateTime="2026-04-27T13:04:04" maxSheetId="15" userName="Avi Manorr" r:id="rId126">
    <sheetIdMap count="14">
      <sheetId val="1"/>
      <sheetId val="2"/>
      <sheetId val="3"/>
      <sheetId val="4"/>
      <sheetId val="5"/>
      <sheetId val="6"/>
      <sheetId val="7"/>
      <sheetId val="8"/>
      <sheetId val="9"/>
      <sheetId val="10"/>
      <sheetId val="11"/>
      <sheetId val="12"/>
      <sheetId val="13"/>
      <sheetId val="14"/>
    </sheetIdMap>
  </header>
  <header guid="{AB1B4D6E-C476-44F9-BB85-D4B8F60460B8}" dateTime="2026-04-27T13:04:27" maxSheetId="15" userName="Avi Manorr" r:id="rId127" minRId="522" maxRId="524">
    <sheetIdMap count="14">
      <sheetId val="1"/>
      <sheetId val="2"/>
      <sheetId val="3"/>
      <sheetId val="4"/>
      <sheetId val="5"/>
      <sheetId val="6"/>
      <sheetId val="7"/>
      <sheetId val="8"/>
      <sheetId val="9"/>
      <sheetId val="10"/>
      <sheetId val="11"/>
      <sheetId val="12"/>
      <sheetId val="13"/>
      <sheetId val="14"/>
    </sheetIdMap>
  </header>
  <header guid="{3B38E0BD-9326-40DD-92D9-3B151539E473}" dateTime="2026-04-27T13:15:55" maxSheetId="15" userName="Avi Manorr" r:id="rId128" minRId="525">
    <sheetIdMap count="14">
      <sheetId val="1"/>
      <sheetId val="2"/>
      <sheetId val="3"/>
      <sheetId val="4"/>
      <sheetId val="5"/>
      <sheetId val="6"/>
      <sheetId val="7"/>
      <sheetId val="8"/>
      <sheetId val="9"/>
      <sheetId val="10"/>
      <sheetId val="11"/>
      <sheetId val="12"/>
      <sheetId val="13"/>
      <sheetId val="14"/>
    </sheetIdMap>
  </header>
  <header guid="{81EA1870-3F98-4C45-9EE5-C77ECFC7323B}" dateTime="2026-04-27T13:16:03" maxSheetId="15" userName="Avi Manorr" r:id="rId129" minRId="526">
    <sheetIdMap count="14">
      <sheetId val="1"/>
      <sheetId val="2"/>
      <sheetId val="3"/>
      <sheetId val="4"/>
      <sheetId val="5"/>
      <sheetId val="6"/>
      <sheetId val="7"/>
      <sheetId val="8"/>
      <sheetId val="9"/>
      <sheetId val="10"/>
      <sheetId val="11"/>
      <sheetId val="12"/>
      <sheetId val="13"/>
      <sheetId val="14"/>
    </sheetIdMap>
  </header>
  <header guid="{2DE49080-1F9F-4126-8EEB-80237E6BDB56}" dateTime="2026-04-27T13:32:58" maxSheetId="15" userName="Avi Manorr" r:id="rId130" minRId="527" maxRId="546">
    <sheetIdMap count="14">
      <sheetId val="1"/>
      <sheetId val="2"/>
      <sheetId val="3"/>
      <sheetId val="4"/>
      <sheetId val="5"/>
      <sheetId val="6"/>
      <sheetId val="7"/>
      <sheetId val="8"/>
      <sheetId val="9"/>
      <sheetId val="10"/>
      <sheetId val="11"/>
      <sheetId val="12"/>
      <sheetId val="13"/>
      <sheetId val="14"/>
    </sheetIdMap>
  </header>
  <header guid="{47910946-3487-4118-9079-781FC7012080}" dateTime="2026-04-27T13:34:33" maxSheetId="15" userName="Avi Manorr" r:id="rId131" minRId="547" maxRId="549">
    <sheetIdMap count="14">
      <sheetId val="1"/>
      <sheetId val="2"/>
      <sheetId val="3"/>
      <sheetId val="4"/>
      <sheetId val="5"/>
      <sheetId val="6"/>
      <sheetId val="7"/>
      <sheetId val="8"/>
      <sheetId val="9"/>
      <sheetId val="10"/>
      <sheetId val="11"/>
      <sheetId val="12"/>
      <sheetId val="13"/>
      <sheetId val="14"/>
    </sheetIdMap>
  </header>
  <header guid="{8A20F379-7014-429F-AAEF-EA0832DFFE40}" dateTime="2026-04-27T13:35:30" maxSheetId="15" userName="Avi Manorr" r:id="rId132" minRId="550" maxRId="552">
    <sheetIdMap count="14">
      <sheetId val="1"/>
      <sheetId val="2"/>
      <sheetId val="3"/>
      <sheetId val="4"/>
      <sheetId val="5"/>
      <sheetId val="6"/>
      <sheetId val="7"/>
      <sheetId val="8"/>
      <sheetId val="9"/>
      <sheetId val="10"/>
      <sheetId val="11"/>
      <sheetId val="12"/>
      <sheetId val="13"/>
      <sheetId val="14"/>
    </sheetIdMap>
  </header>
  <header guid="{26151BD3-862C-49F6-96EB-4D1F453CBE6D}" dateTime="2026-04-27T13:38:12" maxSheetId="15" userName="Avi Manorr" r:id="rId133">
    <sheetIdMap count="14">
      <sheetId val="1"/>
      <sheetId val="2"/>
      <sheetId val="3"/>
      <sheetId val="4"/>
      <sheetId val="5"/>
      <sheetId val="6"/>
      <sheetId val="7"/>
      <sheetId val="8"/>
      <sheetId val="9"/>
      <sheetId val="10"/>
      <sheetId val="11"/>
      <sheetId val="12"/>
      <sheetId val="13"/>
      <sheetId val="14"/>
    </sheetIdMap>
  </header>
  <header guid="{3BFB6191-97F9-47A7-BAE6-0B71EA26341F}" dateTime="2026-04-27T13:40:12" maxSheetId="15" userName="Avi Manorr" r:id="rId134" minRId="553" maxRId="554">
    <sheetIdMap count="14">
      <sheetId val="1"/>
      <sheetId val="2"/>
      <sheetId val="3"/>
      <sheetId val="4"/>
      <sheetId val="5"/>
      <sheetId val="6"/>
      <sheetId val="7"/>
      <sheetId val="8"/>
      <sheetId val="9"/>
      <sheetId val="10"/>
      <sheetId val="11"/>
      <sheetId val="12"/>
      <sheetId val="13"/>
      <sheetId val="14"/>
    </sheetIdMap>
  </header>
  <header guid="{3D8FA88C-53F4-477C-9E7B-E59E317429D7}" dateTime="2026-04-27T14:09:55" maxSheetId="15" userName="Shmuel Fogel" r:id="rId135" minRId="555" maxRId="558">
    <sheetIdMap count="14">
      <sheetId val="1"/>
      <sheetId val="2"/>
      <sheetId val="3"/>
      <sheetId val="4"/>
      <sheetId val="5"/>
      <sheetId val="6"/>
      <sheetId val="7"/>
      <sheetId val="8"/>
      <sheetId val="9"/>
      <sheetId val="10"/>
      <sheetId val="11"/>
      <sheetId val="12"/>
      <sheetId val="13"/>
      <sheetId val="14"/>
    </sheetIdMap>
  </header>
  <header guid="{8E81CFD8-2DE1-44C7-86F1-4A5805D12320}" dateTime="2026-04-27T14:11:19" maxSheetId="15" userName="Shmuel Fogel" r:id="rId136" minRId="559" maxRId="562">
    <sheetIdMap count="14">
      <sheetId val="1"/>
      <sheetId val="2"/>
      <sheetId val="3"/>
      <sheetId val="4"/>
      <sheetId val="5"/>
      <sheetId val="6"/>
      <sheetId val="7"/>
      <sheetId val="8"/>
      <sheetId val="9"/>
      <sheetId val="10"/>
      <sheetId val="11"/>
      <sheetId val="12"/>
      <sheetId val="13"/>
      <sheetId val="14"/>
    </sheetIdMap>
  </header>
  <header guid="{FE0E999B-52B7-4274-84D2-457D443068DA}" dateTime="2026-04-27T14:41:48" maxSheetId="15" userName="Avi Manorr" r:id="rId137" minRId="563">
    <sheetIdMap count="14">
      <sheetId val="1"/>
      <sheetId val="2"/>
      <sheetId val="3"/>
      <sheetId val="4"/>
      <sheetId val="5"/>
      <sheetId val="6"/>
      <sheetId val="7"/>
      <sheetId val="8"/>
      <sheetId val="9"/>
      <sheetId val="10"/>
      <sheetId val="11"/>
      <sheetId val="12"/>
      <sheetId val="13"/>
      <sheetId val="14"/>
    </sheetIdMap>
  </header>
  <header guid="{56B8FBE0-1546-4EC3-96B9-1B00688DCC35}" dateTime="2026-04-27T14:42:51" maxSheetId="15" userName="Avi Manorr" r:id="rId138" minRId="564" maxRId="572">
    <sheetIdMap count="14">
      <sheetId val="1"/>
      <sheetId val="2"/>
      <sheetId val="3"/>
      <sheetId val="4"/>
      <sheetId val="5"/>
      <sheetId val="6"/>
      <sheetId val="7"/>
      <sheetId val="8"/>
      <sheetId val="9"/>
      <sheetId val="10"/>
      <sheetId val="11"/>
      <sheetId val="12"/>
      <sheetId val="13"/>
      <sheetId val="14"/>
    </sheetIdMap>
  </header>
  <header guid="{00E398F8-DE20-480D-A81E-E60568152D84}" dateTime="2026-04-27T14:43:09" maxSheetId="15" userName="Avi Manorr" r:id="rId139" minRId="573" maxRId="575">
    <sheetIdMap count="14">
      <sheetId val="1"/>
      <sheetId val="2"/>
      <sheetId val="3"/>
      <sheetId val="4"/>
      <sheetId val="5"/>
      <sheetId val="6"/>
      <sheetId val="7"/>
      <sheetId val="8"/>
      <sheetId val="9"/>
      <sheetId val="10"/>
      <sheetId val="11"/>
      <sheetId val="12"/>
      <sheetId val="13"/>
      <sheetId val="14"/>
    </sheetIdMap>
  </header>
  <header guid="{A25FE711-47F1-4E05-9AD2-9D24D8D34181}" dateTime="2026-04-27T14:43:57" maxSheetId="15" userName="Avi Manorr" r:id="rId140" minRId="576" maxRId="580">
    <sheetIdMap count="14">
      <sheetId val="1"/>
      <sheetId val="2"/>
      <sheetId val="3"/>
      <sheetId val="4"/>
      <sheetId val="5"/>
      <sheetId val="6"/>
      <sheetId val="7"/>
      <sheetId val="8"/>
      <sheetId val="9"/>
      <sheetId val="10"/>
      <sheetId val="11"/>
      <sheetId val="12"/>
      <sheetId val="13"/>
      <sheetId val="14"/>
    </sheetIdMap>
  </header>
  <header guid="{311CA4A6-8870-4252-BDF4-FF65FC123F88}" dateTime="2026-04-27T14:49:39" maxSheetId="15" userName="Avi Manorr" r:id="rId141" minRId="581" maxRId="584">
    <sheetIdMap count="14">
      <sheetId val="1"/>
      <sheetId val="2"/>
      <sheetId val="3"/>
      <sheetId val="4"/>
      <sheetId val="5"/>
      <sheetId val="6"/>
      <sheetId val="7"/>
      <sheetId val="8"/>
      <sheetId val="9"/>
      <sheetId val="10"/>
      <sheetId val="11"/>
      <sheetId val="12"/>
      <sheetId val="13"/>
      <sheetId val="14"/>
    </sheetIdMap>
  </header>
  <header guid="{08E33D56-ADC6-48C2-9163-89CA09728783}" dateTime="2026-04-27T14:52:06" maxSheetId="15" userName="Avi Manorr" r:id="rId142" minRId="585">
    <sheetIdMap count="14">
      <sheetId val="1"/>
      <sheetId val="2"/>
      <sheetId val="3"/>
      <sheetId val="4"/>
      <sheetId val="5"/>
      <sheetId val="6"/>
      <sheetId val="7"/>
      <sheetId val="8"/>
      <sheetId val="9"/>
      <sheetId val="10"/>
      <sheetId val="11"/>
      <sheetId val="12"/>
      <sheetId val="13"/>
      <sheetId val="14"/>
    </sheetIdMap>
  </header>
  <header guid="{C36A60F5-1E6B-459F-A092-4CB3CF797218}" dateTime="2026-04-27T14:53:20" maxSheetId="15" userName="Avi Manorr" r:id="rId143" minRId="586" maxRId="595">
    <sheetIdMap count="14">
      <sheetId val="1"/>
      <sheetId val="2"/>
      <sheetId val="3"/>
      <sheetId val="4"/>
      <sheetId val="5"/>
      <sheetId val="6"/>
      <sheetId val="7"/>
      <sheetId val="8"/>
      <sheetId val="9"/>
      <sheetId val="10"/>
      <sheetId val="11"/>
      <sheetId val="12"/>
      <sheetId val="13"/>
      <sheetId val="14"/>
    </sheetIdMap>
  </header>
  <header guid="{30357715-FE9D-4861-ADC5-9B35D4FBA7FE}" dateTime="2026-04-27T14:54:01" maxSheetId="15" userName="Avi Manorr" r:id="rId144" minRId="596" maxRId="599">
    <sheetIdMap count="14">
      <sheetId val="1"/>
      <sheetId val="2"/>
      <sheetId val="3"/>
      <sheetId val="4"/>
      <sheetId val="5"/>
      <sheetId val="6"/>
      <sheetId val="7"/>
      <sheetId val="8"/>
      <sheetId val="9"/>
      <sheetId val="10"/>
      <sheetId val="11"/>
      <sheetId val="12"/>
      <sheetId val="13"/>
      <sheetId val="14"/>
    </sheetIdMap>
  </header>
  <header guid="{85E2FC63-E7B1-413F-BA12-F3FEDC2D4A94}" dateTime="2026-04-27T14:56:01" maxSheetId="15" userName="Avi Manorr" r:id="rId145" minRId="600" maxRId="604">
    <sheetIdMap count="14">
      <sheetId val="1"/>
      <sheetId val="2"/>
      <sheetId val="3"/>
      <sheetId val="4"/>
      <sheetId val="5"/>
      <sheetId val="6"/>
      <sheetId val="7"/>
      <sheetId val="8"/>
      <sheetId val="9"/>
      <sheetId val="10"/>
      <sheetId val="11"/>
      <sheetId val="12"/>
      <sheetId val="13"/>
      <sheetId val="14"/>
    </sheetIdMap>
  </header>
  <header guid="{22FE77BB-5288-4469-AE6A-A5FD31689F92}" dateTime="2026-04-27T14:58:55" maxSheetId="15" userName="Avi Shmueli" r:id="rId146" minRId="605" maxRId="610">
    <sheetIdMap count="14">
      <sheetId val="1"/>
      <sheetId val="2"/>
      <sheetId val="3"/>
      <sheetId val="4"/>
      <sheetId val="5"/>
      <sheetId val="6"/>
      <sheetId val="7"/>
      <sheetId val="8"/>
      <sheetId val="9"/>
      <sheetId val="10"/>
      <sheetId val="11"/>
      <sheetId val="12"/>
      <sheetId val="13"/>
      <sheetId val="14"/>
    </sheetIdMap>
  </header>
  <header guid="{34DF3BF9-0416-4B19-8EA9-6E1FA5584E51}" dateTime="2026-04-27T14:58:57" maxSheetId="15" userName="Avi Manorr" r:id="rId147" minRId="611" maxRId="615">
    <sheetIdMap count="14">
      <sheetId val="1"/>
      <sheetId val="2"/>
      <sheetId val="3"/>
      <sheetId val="4"/>
      <sheetId val="5"/>
      <sheetId val="6"/>
      <sheetId val="7"/>
      <sheetId val="8"/>
      <sheetId val="9"/>
      <sheetId val="10"/>
      <sheetId val="11"/>
      <sheetId val="12"/>
      <sheetId val="13"/>
      <sheetId val="14"/>
    </sheetIdMap>
  </header>
  <header guid="{A9A4F578-8020-426F-9F8B-38C9F85140E6}" dateTime="2026-04-27T14:59:47" maxSheetId="15" userName="Avi Shmueli" r:id="rId148" minRId="616" maxRId="617">
    <sheetIdMap count="14">
      <sheetId val="1"/>
      <sheetId val="2"/>
      <sheetId val="3"/>
      <sheetId val="4"/>
      <sheetId val="5"/>
      <sheetId val="6"/>
      <sheetId val="7"/>
      <sheetId val="8"/>
      <sheetId val="9"/>
      <sheetId val="10"/>
      <sheetId val="11"/>
      <sheetId val="12"/>
      <sheetId val="13"/>
      <sheetId val="14"/>
    </sheetIdMap>
  </header>
  <header guid="{DE96B4BA-4D93-4EB3-9F90-399FA417F589}" dateTime="2026-04-27T15:02:08" maxSheetId="15" userName="Avi Manorr" r:id="rId149">
    <sheetIdMap count="14">
      <sheetId val="1"/>
      <sheetId val="2"/>
      <sheetId val="3"/>
      <sheetId val="4"/>
      <sheetId val="5"/>
      <sheetId val="6"/>
      <sheetId val="7"/>
      <sheetId val="8"/>
      <sheetId val="9"/>
      <sheetId val="10"/>
      <sheetId val="11"/>
      <sheetId val="12"/>
      <sheetId val="13"/>
      <sheetId val="14"/>
    </sheetIdMap>
  </header>
  <header guid="{7C7C0675-AD8A-41E5-87C2-C4F937EDA1A1}" dateTime="2026-04-27T20:40:13" maxSheetId="15" userName="Merabi Kricheli" r:id="rId150" minRId="618" maxRId="619">
    <sheetIdMap count="14">
      <sheetId val="1"/>
      <sheetId val="2"/>
      <sheetId val="3"/>
      <sheetId val="4"/>
      <sheetId val="5"/>
      <sheetId val="6"/>
      <sheetId val="7"/>
      <sheetId val="8"/>
      <sheetId val="9"/>
      <sheetId val="10"/>
      <sheetId val="11"/>
      <sheetId val="12"/>
      <sheetId val="13"/>
      <sheetId val="14"/>
    </sheetIdMap>
  </header>
  <header guid="{93084A13-80EB-4B54-9133-42C06B53B140}" dateTime="2026-04-27T21:40:42" maxSheetId="15" userName="Merabi Kricheli" r:id="rId151" minRId="620" maxRId="624">
    <sheetIdMap count="14">
      <sheetId val="1"/>
      <sheetId val="2"/>
      <sheetId val="3"/>
      <sheetId val="4"/>
      <sheetId val="5"/>
      <sheetId val="6"/>
      <sheetId val="7"/>
      <sheetId val="8"/>
      <sheetId val="9"/>
      <sheetId val="10"/>
      <sheetId val="11"/>
      <sheetId val="12"/>
      <sheetId val="13"/>
      <sheetId val="14"/>
    </sheetIdMap>
  </header>
  <header guid="{8027E2D6-5798-4C3C-A69D-0B892EAAA371}" dateTime="2026-04-27T21:53:26" maxSheetId="15" userName="Merabi Kricheli" r:id="rId152" minRId="625">
    <sheetIdMap count="14">
      <sheetId val="1"/>
      <sheetId val="2"/>
      <sheetId val="3"/>
      <sheetId val="4"/>
      <sheetId val="5"/>
      <sheetId val="6"/>
      <sheetId val="7"/>
      <sheetId val="8"/>
      <sheetId val="9"/>
      <sheetId val="10"/>
      <sheetId val="11"/>
      <sheetId val="12"/>
      <sheetId val="13"/>
      <sheetId val="14"/>
    </sheetIdMap>
  </header>
  <header guid="{C2A3948F-DCF0-4C72-A254-60B2F28C0D13}" dateTime="2026-04-28T00:13:09" maxSheetId="15" userName="Merabi Kricheli" r:id="rId153" minRId="626">
    <sheetIdMap count="14">
      <sheetId val="1"/>
      <sheetId val="2"/>
      <sheetId val="3"/>
      <sheetId val="4"/>
      <sheetId val="5"/>
      <sheetId val="6"/>
      <sheetId val="7"/>
      <sheetId val="8"/>
      <sheetId val="9"/>
      <sheetId val="10"/>
      <sheetId val="11"/>
      <sheetId val="12"/>
      <sheetId val="13"/>
      <sheetId val="14"/>
    </sheetIdMap>
  </header>
  <header guid="{1E41F172-8A53-42C5-93F4-BA656045512D}" dateTime="2026-04-28T08:33:22" maxSheetId="15" userName="Avi Manorr" r:id="rId154" minRId="627" maxRId="631">
    <sheetIdMap count="14">
      <sheetId val="1"/>
      <sheetId val="2"/>
      <sheetId val="3"/>
      <sheetId val="4"/>
      <sheetId val="5"/>
      <sheetId val="6"/>
      <sheetId val="7"/>
      <sheetId val="8"/>
      <sheetId val="9"/>
      <sheetId val="10"/>
      <sheetId val="11"/>
      <sheetId val="12"/>
      <sheetId val="13"/>
      <sheetId val="14"/>
    </sheetIdMap>
  </header>
  <header guid="{01077229-0C06-4CFB-9928-0A427B5AA375}" dateTime="2026-04-28T08:48:13" maxSheetId="15" userName="Avi Manorr" r:id="rId155" minRId="632" maxRId="639">
    <sheetIdMap count="14">
      <sheetId val="1"/>
      <sheetId val="2"/>
      <sheetId val="3"/>
      <sheetId val="4"/>
      <sheetId val="5"/>
      <sheetId val="6"/>
      <sheetId val="7"/>
      <sheetId val="8"/>
      <sheetId val="9"/>
      <sheetId val="10"/>
      <sheetId val="11"/>
      <sheetId val="12"/>
      <sheetId val="13"/>
      <sheetId val="14"/>
    </sheetIdMap>
  </header>
  <header guid="{FEF01218-21C0-4AD7-A015-FCE750A365CB}" dateTime="2026-04-28T09:28:58" maxSheetId="15" userName="Moti Halfon" r:id="rId156" minRId="640" maxRId="641">
    <sheetIdMap count="14">
      <sheetId val="1"/>
      <sheetId val="2"/>
      <sheetId val="3"/>
      <sheetId val="4"/>
      <sheetId val="5"/>
      <sheetId val="6"/>
      <sheetId val="7"/>
      <sheetId val="8"/>
      <sheetId val="9"/>
      <sheetId val="10"/>
      <sheetId val="11"/>
      <sheetId val="12"/>
      <sheetId val="13"/>
      <sheetId val="14"/>
    </sheetIdMap>
  </header>
  <header guid="{1BE2DCD7-80C8-440A-9D93-7ABBB83435D7}" dateTime="2026-04-28T13:45:45" maxSheetId="15" userName="Avi Manorr" r:id="rId157" minRId="642" maxRId="644">
    <sheetIdMap count="14">
      <sheetId val="1"/>
      <sheetId val="2"/>
      <sheetId val="3"/>
      <sheetId val="4"/>
      <sheetId val="5"/>
      <sheetId val="6"/>
      <sheetId val="7"/>
      <sheetId val="8"/>
      <sheetId val="9"/>
      <sheetId val="10"/>
      <sheetId val="11"/>
      <sheetId val="12"/>
      <sheetId val="13"/>
      <sheetId val="14"/>
    </sheetIdMap>
  </header>
  <header guid="{D3F1BAF5-50EA-47B8-A453-3431B7183266}" dateTime="2026-04-28T14:00:12" maxSheetId="15" userName="Avi Manorr" r:id="rId158" minRId="645" maxRId="646">
    <sheetIdMap count="14">
      <sheetId val="1"/>
      <sheetId val="2"/>
      <sheetId val="3"/>
      <sheetId val="4"/>
      <sheetId val="5"/>
      <sheetId val="6"/>
      <sheetId val="7"/>
      <sheetId val="8"/>
      <sheetId val="9"/>
      <sheetId val="10"/>
      <sheetId val="11"/>
      <sheetId val="12"/>
      <sheetId val="13"/>
      <sheetId val="14"/>
    </sheetIdMap>
  </header>
  <header guid="{95EDC1AD-AFAB-4CD7-B6FD-B04E7AED82C0}" dateTime="2026-04-28T14:02:45" maxSheetId="15" userName="Avi Manorr" r:id="rId159" minRId="647">
    <sheetIdMap count="14">
      <sheetId val="1"/>
      <sheetId val="2"/>
      <sheetId val="3"/>
      <sheetId val="4"/>
      <sheetId val="5"/>
      <sheetId val="6"/>
      <sheetId val="7"/>
      <sheetId val="8"/>
      <sheetId val="9"/>
      <sheetId val="10"/>
      <sheetId val="11"/>
      <sheetId val="12"/>
      <sheetId val="13"/>
      <sheetId val="14"/>
    </sheetIdMap>
  </header>
  <header guid="{EC93DCAA-9277-49FB-A7AE-BB4E667BF3F4}" dateTime="2026-04-28T14:18:09" maxSheetId="15" userName="Shmuel Fogel" r:id="rId160" minRId="648" maxRId="657">
    <sheetIdMap count="14">
      <sheetId val="1"/>
      <sheetId val="2"/>
      <sheetId val="3"/>
      <sheetId val="4"/>
      <sheetId val="5"/>
      <sheetId val="6"/>
      <sheetId val="7"/>
      <sheetId val="8"/>
      <sheetId val="9"/>
      <sheetId val="10"/>
      <sheetId val="11"/>
      <sheetId val="12"/>
      <sheetId val="13"/>
      <sheetId val="14"/>
    </sheetIdMap>
  </header>
  <header guid="{4AAECCA9-958A-47ED-AF12-1807968AFFCA}" dateTime="2026-04-28T14:22:21" maxSheetId="15" userName="Shmuel Fogel" r:id="rId161">
    <sheetIdMap count="14">
      <sheetId val="1"/>
      <sheetId val="2"/>
      <sheetId val="3"/>
      <sheetId val="4"/>
      <sheetId val="5"/>
      <sheetId val="6"/>
      <sheetId val="7"/>
      <sheetId val="8"/>
      <sheetId val="9"/>
      <sheetId val="10"/>
      <sheetId val="11"/>
      <sheetId val="12"/>
      <sheetId val="13"/>
      <sheetId val="14"/>
    </sheetIdMap>
  </header>
  <header guid="{0ECBCBA4-B8A8-4542-9AF7-F14B799B5D42}" dateTime="2026-04-28T14:45:14" maxSheetId="15" userName="Avi Manorr" r:id="rId162" minRId="658" maxRId="663">
    <sheetIdMap count="14">
      <sheetId val="1"/>
      <sheetId val="2"/>
      <sheetId val="3"/>
      <sheetId val="4"/>
      <sheetId val="5"/>
      <sheetId val="6"/>
      <sheetId val="7"/>
      <sheetId val="8"/>
      <sheetId val="9"/>
      <sheetId val="10"/>
      <sheetId val="11"/>
      <sheetId val="12"/>
      <sheetId val="13"/>
      <sheetId val="14"/>
    </sheetIdMap>
  </header>
  <header guid="{B3592C4A-FA84-43C4-8405-2FE93A5AEB50}" dateTime="2026-04-28T14:50:02" maxSheetId="15" userName="Avi Manorr" r:id="rId163" minRId="664" maxRId="671">
    <sheetIdMap count="14">
      <sheetId val="1"/>
      <sheetId val="2"/>
      <sheetId val="3"/>
      <sheetId val="4"/>
      <sheetId val="5"/>
      <sheetId val="6"/>
      <sheetId val="7"/>
      <sheetId val="8"/>
      <sheetId val="9"/>
      <sheetId val="10"/>
      <sheetId val="11"/>
      <sheetId val="12"/>
      <sheetId val="13"/>
      <sheetId val="14"/>
    </sheetIdMap>
  </header>
  <header guid="{404369CA-C69E-42FE-A77F-52CA685E6465}" dateTime="2026-04-29T10:52:19" maxSheetId="15" userName="David Mahalu" r:id="rId164">
    <sheetIdMap count="14">
      <sheetId val="1"/>
      <sheetId val="2"/>
      <sheetId val="3"/>
      <sheetId val="4"/>
      <sheetId val="5"/>
      <sheetId val="6"/>
      <sheetId val="7"/>
      <sheetId val="8"/>
      <sheetId val="9"/>
      <sheetId val="10"/>
      <sheetId val="11"/>
      <sheetId val="12"/>
      <sheetId val="13"/>
      <sheetId val="14"/>
    </sheetIdMap>
  </header>
  <header guid="{23ABFBB0-44B1-4EE5-9ED4-A1C643A065F4}" dateTime="2026-04-29T14:55:25" maxSheetId="15" userName="Avi Manorr" r:id="rId165" minRId="672" maxRId="673">
    <sheetIdMap count="14">
      <sheetId val="1"/>
      <sheetId val="2"/>
      <sheetId val="3"/>
      <sheetId val="4"/>
      <sheetId val="5"/>
      <sheetId val="6"/>
      <sheetId val="7"/>
      <sheetId val="8"/>
      <sheetId val="9"/>
      <sheetId val="10"/>
      <sheetId val="11"/>
      <sheetId val="12"/>
      <sheetId val="13"/>
      <sheetId val="14"/>
    </sheetIdMap>
  </header>
  <header guid="{A02BD778-5589-4F7F-B156-657DCE0A47BA}" dateTime="2026-04-30T07:46:11" maxSheetId="15" userName="Avi Manorr" r:id="rId166" minRId="674" maxRId="676">
    <sheetIdMap count="14">
      <sheetId val="1"/>
      <sheetId val="2"/>
      <sheetId val="3"/>
      <sheetId val="4"/>
      <sheetId val="5"/>
      <sheetId val="6"/>
      <sheetId val="7"/>
      <sheetId val="8"/>
      <sheetId val="9"/>
      <sheetId val="10"/>
      <sheetId val="11"/>
      <sheetId val="12"/>
      <sheetId val="13"/>
      <sheetId val="14"/>
    </sheetIdMap>
  </header>
  <header guid="{5204CDC7-1818-4191-946A-E46D053A0FD4}" dateTime="2026-04-30T07:46:38" maxSheetId="15" userName="Avi Manorr" r:id="rId167">
    <sheetIdMap count="14">
      <sheetId val="1"/>
      <sheetId val="2"/>
      <sheetId val="3"/>
      <sheetId val="4"/>
      <sheetId val="5"/>
      <sheetId val="6"/>
      <sheetId val="7"/>
      <sheetId val="8"/>
      <sheetId val="9"/>
      <sheetId val="10"/>
      <sheetId val="11"/>
      <sheetId val="12"/>
      <sheetId val="13"/>
      <sheetId val="14"/>
    </sheetIdMap>
  </header>
  <header guid="{9C6E7F4F-DA2C-48C5-821F-B4385DCB7A3C}" dateTime="2026-04-30T07:48:03" maxSheetId="15" userName="Avi Manorr" r:id="rId168">
    <sheetIdMap count="14">
      <sheetId val="1"/>
      <sheetId val="2"/>
      <sheetId val="3"/>
      <sheetId val="4"/>
      <sheetId val="5"/>
      <sheetId val="6"/>
      <sheetId val="7"/>
      <sheetId val="8"/>
      <sheetId val="9"/>
      <sheetId val="10"/>
      <sheetId val="11"/>
      <sheetId val="12"/>
      <sheetId val="13"/>
      <sheetId val="14"/>
    </sheetIdMap>
  </header>
  <header guid="{6C42AA79-7E56-469F-87BA-15FF83F0FE49}" dateTime="2026-04-30T07:52:25" maxSheetId="15" userName="David Mahalu" r:id="rId169" minRId="677" maxRId="678">
    <sheetIdMap count="14">
      <sheetId val="1"/>
      <sheetId val="2"/>
      <sheetId val="3"/>
      <sheetId val="4"/>
      <sheetId val="5"/>
      <sheetId val="6"/>
      <sheetId val="7"/>
      <sheetId val="8"/>
      <sheetId val="9"/>
      <sheetId val="10"/>
      <sheetId val="11"/>
      <sheetId val="12"/>
      <sheetId val="13"/>
      <sheetId val="14"/>
    </sheetIdMap>
  </header>
  <header guid="{0EACB7D3-5F46-4F01-8B79-D165043A154D}" dateTime="2026-04-30T07:55:56" maxSheetId="15" userName="Avi Manorr" r:id="rId170">
    <sheetIdMap count="14">
      <sheetId val="1"/>
      <sheetId val="2"/>
      <sheetId val="3"/>
      <sheetId val="4"/>
      <sheetId val="5"/>
      <sheetId val="6"/>
      <sheetId val="7"/>
      <sheetId val="8"/>
      <sheetId val="9"/>
      <sheetId val="10"/>
      <sheetId val="11"/>
      <sheetId val="12"/>
      <sheetId val="13"/>
      <sheetId val="14"/>
    </sheetIdMap>
  </header>
  <header guid="{90AFF1AE-DAD1-4CD4-A89E-E7E796825BF2}" dateTime="2026-04-30T08:07:07" maxSheetId="15" userName="Avi Manorr" r:id="rId171" minRId="679" maxRId="680">
    <sheetIdMap count="14">
      <sheetId val="1"/>
      <sheetId val="2"/>
      <sheetId val="3"/>
      <sheetId val="4"/>
      <sheetId val="5"/>
      <sheetId val="6"/>
      <sheetId val="7"/>
      <sheetId val="8"/>
      <sheetId val="9"/>
      <sheetId val="10"/>
      <sheetId val="11"/>
      <sheetId val="12"/>
      <sheetId val="13"/>
      <sheetId val="14"/>
    </sheetIdMap>
  </header>
  <header guid="{650869DF-5AAF-428A-A5C9-93FE8DDC9E69}" dateTime="2026-04-30T08:09:46" maxSheetId="15" userName="Avi Manorr" r:id="rId172" minRId="681" maxRId="686">
    <sheetIdMap count="14">
      <sheetId val="1"/>
      <sheetId val="2"/>
      <sheetId val="3"/>
      <sheetId val="4"/>
      <sheetId val="5"/>
      <sheetId val="6"/>
      <sheetId val="7"/>
      <sheetId val="8"/>
      <sheetId val="9"/>
      <sheetId val="10"/>
      <sheetId val="11"/>
      <sheetId val="12"/>
      <sheetId val="13"/>
      <sheetId val="14"/>
    </sheetIdMap>
  </header>
  <header guid="{1EEDBFB1-4785-40AF-BE57-9E94CDA1A52F}" dateTime="2026-04-30T08:11:05" maxSheetId="15" userName="Avi Manorr" r:id="rId173" minRId="687" maxRId="688">
    <sheetIdMap count="14">
      <sheetId val="1"/>
      <sheetId val="2"/>
      <sheetId val="3"/>
      <sheetId val="4"/>
      <sheetId val="5"/>
      <sheetId val="6"/>
      <sheetId val="7"/>
      <sheetId val="8"/>
      <sheetId val="9"/>
      <sheetId val="10"/>
      <sheetId val="11"/>
      <sheetId val="12"/>
      <sheetId val="13"/>
      <sheetId val="14"/>
    </sheetIdMap>
  </header>
  <header guid="{AB37A4C8-2173-4EE4-9497-898B453E80A1}" dateTime="2026-04-30T08:15:11" maxSheetId="15" userName="Avi Manorr" r:id="rId174" minRId="689">
    <sheetIdMap count="14">
      <sheetId val="1"/>
      <sheetId val="2"/>
      <sheetId val="3"/>
      <sheetId val="4"/>
      <sheetId val="5"/>
      <sheetId val="6"/>
      <sheetId val="7"/>
      <sheetId val="8"/>
      <sheetId val="9"/>
      <sheetId val="10"/>
      <sheetId val="11"/>
      <sheetId val="12"/>
      <sheetId val="13"/>
      <sheetId val="14"/>
    </sheetIdMap>
  </header>
  <header guid="{D5A126A3-D23D-4608-96D3-25A25FA0A25B}" dateTime="2026-04-30T08:17:49" maxSheetId="15" userName="Avi Manorr" r:id="rId175" minRId="690" maxRId="696">
    <sheetIdMap count="14">
      <sheetId val="1"/>
      <sheetId val="2"/>
      <sheetId val="3"/>
      <sheetId val="4"/>
      <sheetId val="5"/>
      <sheetId val="6"/>
      <sheetId val="7"/>
      <sheetId val="8"/>
      <sheetId val="9"/>
      <sheetId val="10"/>
      <sheetId val="11"/>
      <sheetId val="12"/>
      <sheetId val="13"/>
      <sheetId val="14"/>
    </sheetIdMap>
  </header>
  <header guid="{C2F26704-4672-4F27-9F75-D1D7D1E583C9}" dateTime="2026-04-30T08:18:05" maxSheetId="15" userName="Avi Manorr" r:id="rId176">
    <sheetIdMap count="14">
      <sheetId val="1"/>
      <sheetId val="2"/>
      <sheetId val="3"/>
      <sheetId val="4"/>
      <sheetId val="5"/>
      <sheetId val="6"/>
      <sheetId val="7"/>
      <sheetId val="8"/>
      <sheetId val="9"/>
      <sheetId val="10"/>
      <sheetId val="11"/>
      <sheetId val="12"/>
      <sheetId val="13"/>
      <sheetId val="14"/>
    </sheetIdMap>
  </header>
  <header guid="{A25DA5F8-31C8-4D86-A7CD-D9B58421679F}" dateTime="2026-04-30T08:21:02" maxSheetId="15" userName="Avi Manorr" r:id="rId177" minRId="697" maxRId="699">
    <sheetIdMap count="14">
      <sheetId val="1"/>
      <sheetId val="2"/>
      <sheetId val="3"/>
      <sheetId val="4"/>
      <sheetId val="5"/>
      <sheetId val="6"/>
      <sheetId val="7"/>
      <sheetId val="8"/>
      <sheetId val="9"/>
      <sheetId val="10"/>
      <sheetId val="11"/>
      <sheetId val="12"/>
      <sheetId val="13"/>
      <sheetId val="14"/>
    </sheetIdMap>
  </header>
  <header guid="{4F949A98-7CF6-4F50-A3D6-B01F2F52B665}" dateTime="2026-04-30T08:22:13" maxSheetId="15" userName="Avi Manorr" r:id="rId178" minRId="700" maxRId="702">
    <sheetIdMap count="14">
      <sheetId val="1"/>
      <sheetId val="2"/>
      <sheetId val="3"/>
      <sheetId val="4"/>
      <sheetId val="5"/>
      <sheetId val="6"/>
      <sheetId val="7"/>
      <sheetId val="8"/>
      <sheetId val="9"/>
      <sheetId val="10"/>
      <sheetId val="11"/>
      <sheetId val="12"/>
      <sheetId val="13"/>
      <sheetId val="14"/>
    </sheetIdMap>
  </header>
  <header guid="{E4F5A43E-CE6B-43A7-A95C-F686FAED2F5E}" dateTime="2026-04-30T08:33:16" maxSheetId="15" userName="Avi Manorr" r:id="rId179" minRId="703" maxRId="704">
    <sheetIdMap count="14">
      <sheetId val="1"/>
      <sheetId val="2"/>
      <sheetId val="3"/>
      <sheetId val="4"/>
      <sheetId val="5"/>
      <sheetId val="6"/>
      <sheetId val="7"/>
      <sheetId val="8"/>
      <sheetId val="9"/>
      <sheetId val="10"/>
      <sheetId val="11"/>
      <sheetId val="12"/>
      <sheetId val="13"/>
      <sheetId val="14"/>
    </sheetIdMap>
  </header>
  <header guid="{78C586BC-CF67-4F91-A498-0F09FA6953FB}" dateTime="2026-04-30T08:55:14" maxSheetId="15" userName="Tomer Saar" r:id="rId180" minRId="705">
    <sheetIdMap count="14">
      <sheetId val="1"/>
      <sheetId val="2"/>
      <sheetId val="3"/>
      <sheetId val="4"/>
      <sheetId val="5"/>
      <sheetId val="6"/>
      <sheetId val="7"/>
      <sheetId val="8"/>
      <sheetId val="9"/>
      <sheetId val="10"/>
      <sheetId val="11"/>
      <sheetId val="12"/>
      <sheetId val="13"/>
      <sheetId val="14"/>
    </sheetIdMap>
  </header>
  <header guid="{A7C8A516-DBF7-4AF9-8D83-5BDF9B085CC3}" dateTime="2026-04-30T10:11:26" maxSheetId="15" userName="Avi Manorr" r:id="rId181" minRId="706" maxRId="708">
    <sheetIdMap count="14">
      <sheetId val="1"/>
      <sheetId val="2"/>
      <sheetId val="3"/>
      <sheetId val="4"/>
      <sheetId val="5"/>
      <sheetId val="6"/>
      <sheetId val="7"/>
      <sheetId val="8"/>
      <sheetId val="9"/>
      <sheetId val="10"/>
      <sheetId val="11"/>
      <sheetId val="12"/>
      <sheetId val="13"/>
      <sheetId val="14"/>
    </sheetIdMap>
  </header>
  <header guid="{8226CB3C-3ED7-438F-B8D6-0CF2070D74C0}" dateTime="2026-04-30T13:57:36" maxSheetId="15" userName="Avi Manorr" r:id="rId182" minRId="709" maxRId="711">
    <sheetIdMap count="14">
      <sheetId val="1"/>
      <sheetId val="2"/>
      <sheetId val="3"/>
      <sheetId val="4"/>
      <sheetId val="5"/>
      <sheetId val="6"/>
      <sheetId val="7"/>
      <sheetId val="8"/>
      <sheetId val="9"/>
      <sheetId val="10"/>
      <sheetId val="11"/>
      <sheetId val="12"/>
      <sheetId val="13"/>
      <sheetId val="14"/>
    </sheetIdMap>
  </header>
  <header guid="{7473C6CF-E34B-48DE-ABEB-58343717C317}" dateTime="2026-04-30T14:35:43" maxSheetId="15" userName="Shmuel Fogel" r:id="rId183" minRId="712">
    <sheetIdMap count="14">
      <sheetId val="1"/>
      <sheetId val="2"/>
      <sheetId val="3"/>
      <sheetId val="4"/>
      <sheetId val="5"/>
      <sheetId val="6"/>
      <sheetId val="7"/>
      <sheetId val="8"/>
      <sheetId val="9"/>
      <sheetId val="10"/>
      <sheetId val="11"/>
      <sheetId val="12"/>
      <sheetId val="13"/>
      <sheetId val="14"/>
    </sheetIdMap>
  </header>
  <header guid="{26199614-2F44-4E4D-AF53-F1CAF83B4D8D}" dateTime="2026-04-30T14:37:03" maxSheetId="15" userName="Shmuel Fogel" r:id="rId184" minRId="713">
    <sheetIdMap count="14">
      <sheetId val="1"/>
      <sheetId val="2"/>
      <sheetId val="3"/>
      <sheetId val="4"/>
      <sheetId val="5"/>
      <sheetId val="6"/>
      <sheetId val="7"/>
      <sheetId val="8"/>
      <sheetId val="9"/>
      <sheetId val="10"/>
      <sheetId val="11"/>
      <sheetId val="12"/>
      <sheetId val="13"/>
      <sheetId val="14"/>
    </sheetIdMap>
  </header>
  <header guid="{807BFB09-A993-43F6-B889-505E7A7E6791}" dateTime="2026-05-03T07:25:13" maxSheetId="15" userName="Yoav Bardugo" r:id="rId185">
    <sheetIdMap count="14">
      <sheetId val="1"/>
      <sheetId val="2"/>
      <sheetId val="3"/>
      <sheetId val="4"/>
      <sheetId val="5"/>
      <sheetId val="6"/>
      <sheetId val="7"/>
      <sheetId val="8"/>
      <sheetId val="9"/>
      <sheetId val="10"/>
      <sheetId val="11"/>
      <sheetId val="12"/>
      <sheetId val="13"/>
      <sheetId val="14"/>
    </sheetIdMap>
  </header>
  <header guid="{AA7106E4-62EF-46AF-811E-4DC1CAFFA44C}" dateTime="2026-05-03T09:40:22" maxSheetId="15" userName="Avi Shmueli" r:id="rId186">
    <sheetIdMap count="14">
      <sheetId val="1"/>
      <sheetId val="2"/>
      <sheetId val="3"/>
      <sheetId val="4"/>
      <sheetId val="5"/>
      <sheetId val="6"/>
      <sheetId val="7"/>
      <sheetId val="8"/>
      <sheetId val="9"/>
      <sheetId val="10"/>
      <sheetId val="11"/>
      <sheetId val="12"/>
      <sheetId val="13"/>
      <sheetId val="14"/>
    </sheetIdMap>
  </header>
  <header guid="{3B364B9A-6E7B-4789-B7B3-060187E52CCB}" dateTime="2026-05-03T14:11:10" maxSheetId="15" userName="Avi Manorr" r:id="rId187" minRId="714" maxRId="717">
    <sheetIdMap count="14">
      <sheetId val="1"/>
      <sheetId val="2"/>
      <sheetId val="3"/>
      <sheetId val="4"/>
      <sheetId val="5"/>
      <sheetId val="6"/>
      <sheetId val="7"/>
      <sheetId val="8"/>
      <sheetId val="9"/>
      <sheetId val="10"/>
      <sheetId val="11"/>
      <sheetId val="12"/>
      <sheetId val="13"/>
      <sheetId val="14"/>
    </sheetIdMap>
  </header>
  <header guid="{F022A36D-186A-4B6F-B83B-9C9419FF1BA8}" dateTime="2026-05-03T14:12:06" maxSheetId="15" userName="Avi Manorr" r:id="rId188" minRId="718" maxRId="722">
    <sheetIdMap count="14">
      <sheetId val="1"/>
      <sheetId val="2"/>
      <sheetId val="3"/>
      <sheetId val="4"/>
      <sheetId val="5"/>
      <sheetId val="6"/>
      <sheetId val="7"/>
      <sheetId val="8"/>
      <sheetId val="9"/>
      <sheetId val="10"/>
      <sheetId val="11"/>
      <sheetId val="12"/>
      <sheetId val="13"/>
      <sheetId val="14"/>
    </sheetIdMap>
  </header>
  <header guid="{7C0A91B5-0A58-4DC3-A934-641B418E6AA8}" dateTime="2026-05-03T14:14:43" maxSheetId="15" userName="Avi Manorr" r:id="rId189" minRId="723">
    <sheetIdMap count="14">
      <sheetId val="1"/>
      <sheetId val="2"/>
      <sheetId val="3"/>
      <sheetId val="4"/>
      <sheetId val="5"/>
      <sheetId val="6"/>
      <sheetId val="7"/>
      <sheetId val="8"/>
      <sheetId val="9"/>
      <sheetId val="10"/>
      <sheetId val="11"/>
      <sheetId val="12"/>
      <sheetId val="13"/>
      <sheetId val="14"/>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7" sId="4">
    <nc r="W32" t="inlineStr">
      <is>
        <t>כ</t>
      </is>
    </nc>
  </rcc>
  <rcc rId="628" sId="4">
    <oc r="W33" t="inlineStr">
      <is>
        <t>כ</t>
      </is>
    </oc>
    <nc r="W33"/>
  </rcc>
  <rcc rId="629" sId="4">
    <oc r="M32" t="inlineStr">
      <is>
        <t>כ</t>
      </is>
    </oc>
    <nc r="M32"/>
  </rcc>
  <rcc rId="630" sId="4">
    <nc r="M33" t="inlineStr">
      <is>
        <t>כ</t>
      </is>
    </nc>
  </rcc>
  <rcc rId="631" sId="4">
    <nc r="V33" t="inlineStr">
      <is>
        <t>מיל</t>
      </is>
    </nc>
  </rcc>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2" sId="4">
    <nc r="D32" t="inlineStr">
      <is>
        <t>תיעוד</t>
      </is>
    </nc>
  </rcc>
  <rcc rId="633" sId="4">
    <nc r="H32" t="inlineStr">
      <is>
        <t>דס"ל</t>
      </is>
    </nc>
  </rcc>
  <rcc rId="634" sId="4">
    <nc r="J32" t="inlineStr">
      <is>
        <t>AVDGS</t>
      </is>
    </nc>
  </rcc>
  <rcc rId="635" sId="4">
    <nc r="L32" t="inlineStr">
      <is>
        <t>PBB</t>
      </is>
    </nc>
  </rcc>
  <rcc rId="636" sId="4">
    <nc r="P32" t="inlineStr">
      <is>
        <t>CRM</t>
      </is>
    </nc>
  </rcc>
  <rcc rId="637" sId="4">
    <nc r="T32" t="inlineStr">
      <is>
        <t>AVDGS</t>
      </is>
    </nc>
  </rcc>
  <rcc rId="638" sId="4">
    <nc r="V32" t="inlineStr">
      <is>
        <t>PBB</t>
      </is>
    </nc>
  </rcc>
  <rcc rId="639" sId="4">
    <nc r="AL32" t="inlineStr">
      <is>
        <t>PBB</t>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O5:O35" start="0" length="0">
    <dxf>
      <border>
        <right style="medium">
          <color indexed="64"/>
        </right>
      </border>
    </dxf>
  </rfmt>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2" sId="5">
    <nc r="F7" t="inlineStr">
      <is>
        <t>ח</t>
      </is>
    </nc>
  </rcc>
  <rcc rId="673" sId="5">
    <nc r="F8" t="inlineStr">
      <is>
        <t>ח</t>
      </is>
    </nc>
  </rcc>
  <rcv guid="{C6961C98-214A-4770-9A2D-B399A95C6C8B}" action="delete"/>
  <rcv guid="{C6961C98-214A-4770-9A2D-B399A95C6C8B}"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4" sId="4">
    <nc r="T34" t="inlineStr">
      <is>
        <t>ח</t>
      </is>
    </nc>
  </rcc>
  <rcc rId="675" sId="4">
    <nc r="V34" t="inlineStr">
      <is>
        <t>מיל</t>
      </is>
    </nc>
  </rcc>
  <rcc rId="676" sId="5">
    <nc r="V7" t="inlineStr">
      <is>
        <t>מיל</t>
      </is>
    </nc>
  </rcc>
  <rfmt sheetId="5" sqref="V7" start="0" length="2147483647">
    <dxf>
      <font>
        <sz val="10"/>
      </font>
    </dxf>
  </rfmt>
  <rfmt sheetId="5" sqref="V7" start="0" length="2147483647">
    <dxf>
      <font>
        <sz val="11"/>
      </font>
    </dxf>
  </rfmt>
  <rfmt sheetId="5" sqref="V7" start="0" length="2147483647">
    <dxf>
      <font>
        <sz val="12"/>
      </font>
    </dxf>
  </rfmt>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V14" start="0" length="0">
    <dxf>
      <font>
        <sz val="9"/>
        <color auto="1"/>
      </font>
    </dxf>
  </rfmt>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J30" start="0" length="0">
    <dxf>
      <font>
        <sz val="5"/>
        <color auto="1"/>
      </font>
    </dxf>
  </rfmt>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7" sId="5">
    <oc r="F9" t="inlineStr">
      <is>
        <t>חיפה</t>
      </is>
    </oc>
    <nc r="F9" t="inlineStr">
      <is>
        <t>ח</t>
      </is>
    </nc>
  </rcc>
  <rcc rId="678" sId="5" odxf="1" dxf="1">
    <nc r="P9" t="inlineStr">
      <is>
        <t>חיפה</t>
      </is>
    </nc>
    <odxf>
      <fill>
        <patternFill>
          <bgColor theme="9" tint="0.79998168889431442"/>
        </patternFill>
      </fill>
    </odxf>
    <ndxf>
      <fill>
        <patternFill>
          <bgColor rgb="FFFFFF00"/>
        </patternFill>
      </fill>
    </ndxf>
  </rcc>
  <rcv guid="{A704065A-5B6F-476C-AE5F-F67C013164B0}" action="delete"/>
  <rcv guid="{A704065A-5B6F-476C-AE5F-F67C013164B0}"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X30" start="0" length="2147483647">
    <dxf>
      <font>
        <sz val="12"/>
      </font>
    </dxf>
  </rfmt>
  <rcv guid="{03CD1AFD-FDA7-4904-966E-FB90CD2C490F}" action="delete"/>
  <rcv guid="{03CD1AFD-FDA7-4904-966E-FB90CD2C490F}" action="add"/>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AD22">
    <dxf>
      <fill>
        <patternFill>
          <bgColor rgb="FFFFA357"/>
        </patternFill>
      </fill>
    </dxf>
  </rfmt>
  <rcmt sheetId="5" cell="AD22" guid="{B548622E-4CE3-435B-BE23-8E4AA25511FD}" author="Avi Shmueli" newLength="38"/>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4" cell="BT11" guid="{A3C0CA92-F39B-4C6B-9C74-0AC628C95968}" author="Merabi Kricheli" newLength="35"/>
  <rcmt sheetId="4" cell="BT12" guid="{C2977112-9D99-4C19-AA36-E1CF62B26BCB}" author="Merabi Kricheli" newLength="29"/>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 sId="9" odxf="1" dxf="1">
    <oc r="BF15" t="inlineStr">
      <is>
        <t>פ</t>
      </is>
    </oc>
    <nc r="BF15"/>
    <odxf>
      <fill>
        <patternFill>
          <bgColor theme="9" tint="0.79998168889431442"/>
        </patternFill>
      </fill>
      <border outline="0">
        <top/>
      </border>
    </odxf>
    <ndxf>
      <fill>
        <patternFill>
          <bgColor theme="9" tint="0.39997558519241921"/>
        </patternFill>
      </fill>
      <border outline="0">
        <top style="thin">
          <color indexed="64"/>
        </top>
      </border>
    </ndxf>
  </rcc>
  <rcc rId="14" sId="9" odxf="1" dxf="1">
    <oc r="BF16" t="inlineStr">
      <is>
        <t>פ</t>
      </is>
    </oc>
    <nc r="BF16"/>
    <odxf>
      <fill>
        <patternFill>
          <bgColor theme="9" tint="0.79998168889431442"/>
        </patternFill>
      </fill>
      <border outline="0">
        <top/>
      </border>
    </odxf>
    <ndxf>
      <fill>
        <patternFill>
          <bgColor theme="9" tint="0.39997558519241921"/>
        </patternFill>
      </fill>
      <border outline="0">
        <top style="thin">
          <color indexed="64"/>
        </top>
      </border>
    </ndxf>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9" cell="BF21" guid="{87696F45-B82B-4376-8DA7-9208C9EA1532}" author="Merabi Kricheli" newLength="17"/>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4" cell="BF14" guid="{00000000-0000-0000-0000-000000000000}" action="delete" author="Merabi Kricheli"/>
  <rcmt sheetId="4" cell="BF14" guid="{2E8E8C9C-F7E2-49F5-9946-75ED53FD073D}" author="Merabi Kricheli" newLength="37"/>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 sId="4">
    <oc r="AZ13" t="inlineStr">
      <is>
        <t>י</t>
      </is>
    </oc>
    <nc r="AZ13" t="inlineStr">
      <is>
        <t>ח</t>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 sId="4" odxf="1" dxf="1">
    <nc r="CI16" t="inlineStr">
      <is>
        <t>מסלול</t>
      </is>
    </nc>
    <odxf>
      <fill>
        <patternFill>
          <bgColor theme="7" tint="0.79998168889431442"/>
        </patternFill>
      </fill>
    </odxf>
    <ndxf>
      <fill>
        <patternFill>
          <bgColor theme="0" tint="-0.249977111117893"/>
        </patternFill>
      </fill>
    </ndxf>
  </rcc>
  <rcc rId="17" sId="4" odxf="1" dxf="1">
    <nc r="CI17" t="inlineStr">
      <is>
        <t>מסלול</t>
      </is>
    </nc>
    <ndxf>
      <fill>
        <patternFill>
          <bgColor theme="0" tint="-0.249977111117893"/>
        </patternFill>
      </fill>
    </ndxf>
  </rcc>
  <rcc rId="18" sId="4" odxf="1" dxf="1">
    <nc r="CI18" t="inlineStr">
      <is>
        <t>מסלול</t>
      </is>
    </nc>
    <ndxf>
      <fill>
        <patternFill>
          <bgColor theme="0" tint="-0.249977111117893"/>
        </patternFill>
      </fill>
    </ndxf>
  </rcc>
  <rcc rId="19" sId="4" odxf="1" dxf="1">
    <nc r="CH17" t="inlineStr">
      <is>
        <t>מסלול</t>
      </is>
    </nc>
    <odxf>
      <fill>
        <patternFill>
          <bgColor theme="7" tint="0.79998168889431442"/>
        </patternFill>
      </fill>
    </odxf>
    <ndxf>
      <fill>
        <patternFill>
          <bgColor rgb="FFFFFF00"/>
        </patternFill>
      </fill>
    </ndxf>
  </rcc>
  <rcc rId="20" sId="4" odxf="1" dxf="1">
    <nc r="CH18" t="inlineStr">
      <is>
        <t>מסלול</t>
      </is>
    </nc>
    <odxf>
      <fill>
        <patternFill>
          <bgColor theme="7" tint="0.79998168889431442"/>
        </patternFill>
      </fill>
    </odxf>
    <ndxf>
      <fill>
        <patternFill>
          <bgColor rgb="FFFFFF00"/>
        </patternFill>
      </fill>
    </ndxf>
  </rcc>
  <rcc rId="21" sId="4" odxf="1" dxf="1">
    <nc r="CH19" t="inlineStr">
      <is>
        <t>מסלול</t>
      </is>
    </nc>
    <odxf>
      <fill>
        <patternFill>
          <bgColor theme="7" tint="0.79998168889431442"/>
        </patternFill>
      </fill>
    </odxf>
    <ndxf>
      <fill>
        <patternFill>
          <bgColor rgb="FFFFFF00"/>
        </patternFill>
      </fill>
    </ndxf>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 sId="4">
    <oc r="BT15" t="inlineStr">
      <is>
        <t>פ</t>
      </is>
    </oc>
    <nc r="BT15" t="inlineStr">
      <is>
        <t>L</t>
      </is>
    </nc>
  </rcc>
  <rcc rId="23" sId="4">
    <nc r="BT34" t="inlineStr">
      <is>
        <t>L</t>
      </is>
    </nc>
  </rcc>
  <rfmt sheetId="4" sqref="BT34">
    <dxf>
      <fill>
        <patternFill>
          <bgColor theme="0" tint="-0.249977111117893"/>
        </patternFill>
      </fill>
    </dxf>
  </rfmt>
  <rfmt sheetId="4" sqref="BT15">
    <dxf>
      <fill>
        <patternFill>
          <bgColor theme="0" tint="-0.249977111117893"/>
        </patternFill>
      </fill>
    </dxf>
  </rfmt>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 sId="4" odxf="1" dxf="1">
    <oc r="BF33" t="inlineStr">
      <is>
        <t>ח</t>
      </is>
    </oc>
    <nc r="BF33"/>
    <odxf>
      <font>
        <sz val="11"/>
        <color theme="1"/>
        <name val="Arial"/>
        <family val="2"/>
        <scheme val="minor"/>
      </font>
      <border outline="0">
        <right/>
      </border>
      <protection locked="1"/>
    </odxf>
    <ndxf>
      <font>
        <sz val="12"/>
        <color auto="1"/>
        <name val="Arial"/>
        <family val="2"/>
        <scheme val="minor"/>
      </font>
      <border outline="0">
        <right style="thin">
          <color indexed="64"/>
        </right>
      </border>
      <protection locked="0"/>
    </ndxf>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BT11" start="0" length="0">
    <dxf>
      <border outline="0">
        <top/>
      </border>
    </dxf>
  </rfmt>
  <rcc rId="25" sId="5">
    <nc r="BT11" t="inlineStr">
      <is>
        <t>L</t>
      </is>
    </nc>
  </rcc>
  <rcc rId="26" sId="5">
    <nc r="BT27" t="inlineStr">
      <is>
        <t>L</t>
      </is>
    </nc>
  </rcc>
  <rfmt sheetId="5" sqref="BT27">
    <dxf>
      <fill>
        <patternFill>
          <bgColor theme="0" tint="-0.249977111117893"/>
        </patternFill>
      </fill>
    </dxf>
  </rfmt>
  <rfmt sheetId="5" sqref="BT11">
    <dxf>
      <fill>
        <patternFill>
          <bgColor theme="0" tint="-0.249977111117893"/>
        </patternFill>
      </fill>
    </dxf>
  </rfmt>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 sId="4" odxf="1" dxf="1">
    <oc r="CI16" t="inlineStr">
      <is>
        <t>מסלול</t>
      </is>
    </oc>
    <nc r="CI16"/>
    <odxf>
      <fill>
        <patternFill>
          <bgColor theme="0" tint="-0.249977111117893"/>
        </patternFill>
      </fill>
    </odxf>
    <ndxf>
      <fill>
        <patternFill>
          <bgColor theme="7" tint="0.79998168889431442"/>
        </patternFill>
      </fill>
    </ndxf>
  </rcc>
  <rcc rId="28" sId="4" odxf="1" dxf="1">
    <oc r="CI17" t="inlineStr">
      <is>
        <t>מסלול</t>
      </is>
    </oc>
    <nc r="CI17"/>
    <odxf>
      <fill>
        <patternFill>
          <bgColor theme="0" tint="-0.249977111117893"/>
        </patternFill>
      </fill>
    </odxf>
    <ndxf>
      <fill>
        <patternFill>
          <bgColor theme="7" tint="0.79998168889431442"/>
        </patternFill>
      </fill>
    </ndxf>
  </rcc>
  <rcc rId="29" sId="4" odxf="1" dxf="1">
    <oc r="CI18" t="inlineStr">
      <is>
        <t>מסלול</t>
      </is>
    </oc>
    <nc r="CI18"/>
    <odxf>
      <fill>
        <patternFill>
          <bgColor theme="0" tint="-0.249977111117893"/>
        </patternFill>
      </fill>
    </odxf>
    <ndxf>
      <fill>
        <patternFill>
          <bgColor theme="7" tint="0.79998168889431442"/>
        </patternFill>
      </fill>
    </ndxf>
  </rcc>
  <rcc rId="30" sId="4" odxf="1" dxf="1">
    <oc r="CH17" t="inlineStr">
      <is>
        <t>מסלול</t>
      </is>
    </oc>
    <nc r="CH17"/>
    <odxf>
      <fill>
        <patternFill>
          <bgColor rgb="FFFFFF00"/>
        </patternFill>
      </fill>
    </odxf>
    <ndxf>
      <fill>
        <patternFill>
          <bgColor theme="7" tint="0.79998168889431442"/>
        </patternFill>
      </fill>
    </ndxf>
  </rcc>
  <rcc rId="31" sId="4" odxf="1" dxf="1">
    <oc r="CH18" t="inlineStr">
      <is>
        <t>מסלול</t>
      </is>
    </oc>
    <nc r="CH18"/>
    <odxf>
      <fill>
        <patternFill>
          <bgColor rgb="FFFFFF00"/>
        </patternFill>
      </fill>
    </odxf>
    <ndxf>
      <fill>
        <patternFill>
          <bgColor theme="7" tint="0.79998168889431442"/>
        </patternFill>
      </fill>
    </ndxf>
  </rcc>
  <rcc rId="32" sId="4" odxf="1" dxf="1">
    <oc r="CH19" t="inlineStr">
      <is>
        <t>מסלול</t>
      </is>
    </oc>
    <nc r="CH19"/>
    <odxf>
      <fill>
        <patternFill>
          <bgColor rgb="FFFFFF00"/>
        </patternFill>
      </fill>
    </odxf>
    <ndxf>
      <fill>
        <patternFill>
          <bgColor theme="7" tint="0.79998168889431442"/>
        </patternFill>
      </fill>
    </ndxf>
  </rcc>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BN5:BN18" start="0" length="2147483647">
    <dxf>
      <font>
        <sz val="11"/>
      </font>
    </dxf>
  </rfmt>
  <rfmt sheetId="3" sqref="BN6" start="0" length="0">
    <dxf>
      <font>
        <sz val="12"/>
        <color auto="1"/>
        <name val="Arial"/>
        <family val="2"/>
        <scheme val="minor"/>
      </font>
      <fill>
        <patternFill>
          <bgColor theme="9" tint="0.79998168889431442"/>
        </patternFill>
      </fill>
      <border outline="0">
        <right style="thin">
          <color indexed="64"/>
        </right>
      </border>
      <protection locked="0"/>
    </dxf>
  </rfmt>
  <rfmt sheetId="3" sqref="BN7" start="0" length="0">
    <dxf>
      <font>
        <sz val="12"/>
        <color auto="1"/>
        <name val="Arial"/>
        <family val="2"/>
        <scheme val="minor"/>
      </font>
      <border outline="0">
        <right style="thin">
          <color indexed="64"/>
        </right>
        <top style="thin">
          <color indexed="64"/>
        </top>
      </border>
      <protection locked="0"/>
    </dxf>
  </rfmt>
  <rfmt sheetId="3" sqref="BN8" start="0" length="0">
    <dxf>
      <font>
        <sz val="12"/>
        <color auto="1"/>
        <name val="Arial"/>
        <family val="2"/>
        <scheme val="minor"/>
      </font>
      <fill>
        <patternFill>
          <bgColor theme="9" tint="0.79998168889431442"/>
        </patternFill>
      </fill>
      <border outline="0">
        <right style="thin">
          <color indexed="64"/>
        </right>
      </border>
      <protection locked="0"/>
    </dxf>
  </rfmt>
  <rfmt sheetId="3" sqref="BN9" start="0" length="0">
    <dxf>
      <font>
        <sz val="12"/>
        <color auto="1"/>
        <name val="Arial"/>
        <family val="2"/>
        <scheme val="minor"/>
      </font>
      <border outline="0">
        <right style="thin">
          <color indexed="64"/>
        </right>
      </border>
      <protection locked="0"/>
    </dxf>
  </rfmt>
  <rfmt sheetId="3" sqref="BN10" start="0" length="0">
    <dxf>
      <font>
        <sz val="12"/>
        <color auto="1"/>
        <name val="Arial"/>
        <family val="2"/>
        <scheme val="minor"/>
      </font>
      <border outline="0">
        <right style="thin">
          <color indexed="64"/>
        </right>
      </border>
      <protection locked="0"/>
    </dxf>
  </rfmt>
  <rfmt sheetId="3" sqref="BN11" start="0" length="0">
    <dxf>
      <font>
        <sz val="12"/>
        <color auto="1"/>
        <name val="Arial"/>
        <family val="2"/>
        <scheme val="minor"/>
      </font>
      <border outline="0">
        <right style="thin">
          <color indexed="64"/>
        </right>
      </border>
      <protection locked="0"/>
    </dxf>
  </rfmt>
  <rfmt sheetId="3" sqref="BN12" start="0" length="0">
    <dxf>
      <font>
        <sz val="12"/>
        <color auto="1"/>
        <name val="Arial"/>
        <family val="2"/>
        <scheme val="minor"/>
      </font>
      <border outline="0">
        <right style="thin">
          <color indexed="64"/>
        </right>
      </border>
      <protection locked="0"/>
    </dxf>
  </rfmt>
  <rfmt sheetId="3" sqref="BN13" start="0" length="0">
    <dxf>
      <font>
        <sz val="12"/>
        <color auto="1"/>
        <name val="Arial"/>
        <family val="2"/>
        <scheme val="minor"/>
      </font>
      <border outline="0">
        <right style="thin">
          <color indexed="64"/>
        </right>
      </border>
      <protection locked="0"/>
    </dxf>
  </rfmt>
  <rfmt sheetId="3" sqref="BN14" start="0" length="0">
    <dxf>
      <font>
        <sz val="12"/>
        <color auto="1"/>
        <name val="Arial"/>
        <family val="2"/>
        <scheme val="minor"/>
      </font>
      <border outline="0">
        <right style="thin">
          <color indexed="64"/>
        </right>
      </border>
      <protection locked="0"/>
    </dxf>
  </rfmt>
  <rfmt sheetId="3" sqref="BN15" start="0" length="0">
    <dxf>
      <font>
        <sz val="12"/>
        <color auto="1"/>
        <name val="Arial"/>
        <family val="2"/>
        <scheme val="minor"/>
      </font>
      <border outline="0">
        <right style="thin">
          <color indexed="64"/>
        </right>
      </border>
      <protection locked="0"/>
    </dxf>
  </rfmt>
  <rfmt sheetId="3" sqref="BN16" start="0" length="0">
    <dxf>
      <font>
        <sz val="12"/>
        <color auto="1"/>
        <name val="Arial"/>
        <family val="2"/>
        <scheme val="minor"/>
      </font>
      <border outline="0">
        <right style="thin">
          <color indexed="64"/>
        </right>
      </border>
      <protection locked="0"/>
    </dxf>
  </rfmt>
  <rfmt sheetId="3" sqref="BN17" start="0" length="0">
    <dxf>
      <font>
        <sz val="12"/>
        <color auto="1"/>
        <name val="Arial"/>
        <family val="2"/>
        <scheme val="minor"/>
      </font>
      <border outline="0">
        <right style="thin">
          <color indexed="64"/>
        </right>
      </border>
      <protection locked="0"/>
    </dxf>
  </rfmt>
  <rfmt sheetId="3" sqref="BN18" start="0" length="0">
    <dxf>
      <font>
        <sz val="12"/>
        <color auto="1"/>
        <name val="Arial"/>
        <family val="2"/>
        <scheme val="minor"/>
      </font>
      <border outline="0">
        <right style="thin">
          <color indexed="64"/>
        </right>
      </border>
      <protection locked="0"/>
    </dxf>
  </rfmt>
  <rfmt sheetId="3" sqref="BN19" start="0" length="0">
    <dxf>
      <font>
        <sz val="12"/>
        <color auto="1"/>
        <name val="Arial"/>
        <family val="2"/>
        <scheme val="minor"/>
      </font>
      <border outline="0">
        <right style="thin">
          <color indexed="64"/>
        </right>
      </border>
      <protection locked="0"/>
    </dxf>
  </rfmt>
  <rfmt sheetId="3" sqref="BN20" start="0" length="0">
    <dxf>
      <font>
        <sz val="12"/>
        <color auto="1"/>
        <name val="Arial"/>
        <family val="2"/>
        <scheme val="minor"/>
      </font>
      <border outline="0">
        <right style="thin">
          <color indexed="64"/>
        </right>
      </border>
      <protection locked="0"/>
    </dxf>
  </rfmt>
  <rfmt sheetId="3" sqref="BN21" start="0" length="0">
    <dxf>
      <font>
        <sz val="12"/>
        <color auto="1"/>
        <name val="Arial"/>
        <family val="2"/>
        <scheme val="minor"/>
      </font>
      <border outline="0">
        <right style="thin">
          <color indexed="64"/>
        </right>
      </border>
      <protection locked="0"/>
    </dxf>
  </rfmt>
  <rfmt sheetId="3" sqref="BN22" start="0" length="0">
    <dxf>
      <font>
        <sz val="12"/>
        <color auto="1"/>
        <name val="Arial"/>
        <family val="2"/>
        <scheme val="minor"/>
      </font>
      <border outline="0">
        <right style="thin">
          <color indexed="64"/>
        </right>
      </border>
      <protection locked="0"/>
    </dxf>
  </rfmt>
  <rfmt sheetId="3" sqref="BN23" start="0" length="0">
    <dxf>
      <font>
        <sz val="12"/>
        <color auto="1"/>
        <name val="Arial"/>
        <family val="2"/>
        <scheme val="minor"/>
      </font>
      <border outline="0">
        <right style="thin">
          <color indexed="64"/>
        </right>
      </border>
      <protection locked="0"/>
    </dxf>
  </rfmt>
  <rfmt sheetId="3" sqref="BN24" start="0" length="0">
    <dxf>
      <font>
        <sz val="12"/>
        <color auto="1"/>
        <name val="Arial"/>
        <family val="2"/>
        <scheme val="minor"/>
      </font>
      <border outline="0">
        <right style="thin">
          <color indexed="64"/>
        </right>
      </border>
      <protection locked="0"/>
    </dxf>
  </rfmt>
  <rfmt sheetId="3" sqref="BN25" start="0" length="0">
    <dxf>
      <font>
        <sz val="12"/>
        <color auto="1"/>
        <name val="Arial"/>
        <family val="2"/>
        <scheme val="minor"/>
      </font>
      <border outline="0">
        <right style="thin">
          <color indexed="64"/>
        </right>
      </border>
      <protection locked="0"/>
    </dxf>
  </rfmt>
  <rfmt sheetId="3" sqref="BN26" start="0" length="0">
    <dxf>
      <font>
        <sz val="12"/>
        <color auto="1"/>
        <name val="Arial"/>
        <family val="2"/>
        <scheme val="minor"/>
      </font>
      <border outline="0">
        <right style="thin">
          <color indexed="64"/>
        </right>
      </border>
      <protection locked="0"/>
    </dxf>
  </rfmt>
  <rfmt sheetId="3" sqref="BN27" start="0" length="0">
    <dxf>
      <font>
        <sz val="12"/>
        <color auto="1"/>
        <name val="Arial"/>
        <family val="2"/>
        <scheme val="minor"/>
      </font>
      <border outline="0">
        <right style="thin">
          <color indexed="64"/>
        </right>
      </border>
      <protection locked="0"/>
    </dxf>
  </rfmt>
  <rfmt sheetId="3" sqref="BN28" start="0" length="0">
    <dxf>
      <font>
        <sz val="12"/>
        <color auto="1"/>
        <name val="Arial"/>
        <family val="2"/>
        <scheme val="minor"/>
      </font>
      <border outline="0">
        <right style="thin">
          <color indexed="64"/>
        </right>
      </border>
      <protection locked="0"/>
    </dxf>
  </rfmt>
  <rfmt sheetId="3" sqref="BN29" start="0" length="0">
    <dxf>
      <font>
        <sz val="12"/>
        <color auto="1"/>
        <name val="Arial"/>
        <family val="2"/>
        <scheme val="minor"/>
      </font>
      <border outline="0">
        <right style="thin">
          <color indexed="64"/>
        </right>
      </border>
      <protection locked="0"/>
    </dxf>
  </rfmt>
  <rfmt sheetId="3" sqref="BN30" start="0" length="0">
    <dxf>
      <font>
        <sz val="12"/>
        <color auto="1"/>
        <name val="Arial"/>
        <family val="2"/>
        <scheme val="minor"/>
      </font>
      <border outline="0">
        <right style="thin">
          <color indexed="64"/>
        </right>
      </border>
      <protection locked="0"/>
    </dxf>
  </rfmt>
  <rfmt sheetId="3" sqref="BN31" start="0" length="0">
    <dxf>
      <font>
        <sz val="12"/>
        <color auto="1"/>
        <name val="Arial"/>
        <family val="2"/>
        <scheme val="minor"/>
      </font>
      <border outline="0">
        <right style="thin">
          <color indexed="64"/>
        </right>
      </border>
      <protection locked="0"/>
    </dxf>
  </rfmt>
  <rfmt sheetId="3" sqref="BN32" start="0" length="0">
    <dxf>
      <font>
        <sz val="12"/>
        <color auto="1"/>
        <name val="Arial"/>
        <family val="2"/>
        <scheme val="minor"/>
      </font>
      <border outline="0">
        <right style="thin">
          <color indexed="64"/>
        </right>
      </border>
      <protection locked="0"/>
    </dxf>
  </rfmt>
  <rfmt sheetId="3" sqref="BN33" start="0" length="0">
    <dxf>
      <font>
        <sz val="12"/>
        <color auto="1"/>
        <name val="Arial"/>
        <family val="2"/>
        <scheme val="minor"/>
      </font>
      <border outline="0">
        <right style="thin">
          <color indexed="64"/>
        </right>
      </border>
      <protection locked="0"/>
    </dxf>
  </rfmt>
  <rfmt sheetId="3" sqref="BN34" start="0" length="0">
    <dxf>
      <font>
        <sz val="12"/>
        <color auto="1"/>
        <name val="Arial"/>
        <family val="2"/>
        <scheme val="minor"/>
      </font>
      <border outline="0">
        <right style="thin">
          <color indexed="64"/>
        </right>
      </border>
      <protection locked="0"/>
    </dxf>
  </rfmt>
  <rfmt sheetId="3" sqref="BN35" start="0" length="0">
    <dxf>
      <font>
        <sz val="12"/>
        <color auto="1"/>
        <name val="Arial"/>
        <family val="2"/>
        <scheme val="minor"/>
      </font>
      <border outline="0">
        <right style="thin">
          <color indexed="64"/>
        </right>
      </border>
      <protection locked="0"/>
    </dxf>
  </rfmt>
  <rfmt sheetId="3" sqref="BN5:BN35" start="0" length="2147483647">
    <dxf>
      <font>
        <sz val="11"/>
      </font>
    </dxf>
  </rfmt>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 sId="4" odxf="1" dxf="1">
    <nc r="AZ15" t="inlineStr">
      <is>
        <t>L</t>
      </is>
    </nc>
    <odxf>
      <fill>
        <patternFill>
          <bgColor theme="9" tint="0.39997558519241921"/>
        </patternFill>
      </fill>
    </odxf>
    <ndxf>
      <fill>
        <patternFill>
          <bgColor theme="0" tint="-0.249977111117893"/>
        </patternFill>
      </fill>
    </ndxf>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 sId="5">
    <oc r="BR25" t="inlineStr">
      <is>
        <t>י</t>
      </is>
    </oc>
    <nc r="BR25" t="inlineStr">
      <is>
        <t>ח</t>
      </is>
    </nc>
  </rcc>
  <rcc rId="35" sId="5">
    <oc r="BR26" t="inlineStr">
      <is>
        <t>ל</t>
      </is>
    </oc>
    <nc r="BR26" t="inlineStr">
      <is>
        <t>פ</t>
      </is>
    </nc>
  </rcc>
  <rfmt sheetId="5" sqref="BR26">
    <dxf>
      <fill>
        <patternFill>
          <bgColor theme="9" tint="0.79998168889431442"/>
        </patternFill>
      </fill>
    </dxf>
  </rfmt>
  <rcc rId="36" sId="5">
    <nc r="BR24" t="inlineStr">
      <is>
        <t>L</t>
      </is>
    </nc>
  </rcc>
  <rfmt sheetId="5" sqref="BR24">
    <dxf>
      <fill>
        <patternFill>
          <bgColor theme="0" tint="-0.249977111117893"/>
        </patternFill>
      </fill>
    </dxf>
  </rfmt>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 sId="4">
    <oc r="BX25" t="inlineStr">
      <is>
        <t>ל</t>
      </is>
    </oc>
    <nc r="BX25" t="inlineStr">
      <is>
        <t>ח</t>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 sId="6">
    <nc r="AJ27" t="inlineStr">
      <is>
        <t>ק</t>
      </is>
    </nc>
  </rcc>
  <rcc rId="39" sId="6">
    <nc r="AJ33" t="inlineStr">
      <is>
        <t>ק</t>
      </is>
    </nc>
  </rcc>
  <rcc rId="40" sId="7">
    <nc r="AJ11" t="inlineStr">
      <is>
        <t>ק</t>
      </is>
    </nc>
  </rcc>
  <rcc rId="41" sId="7">
    <nc r="AJ18" t="inlineStr">
      <is>
        <t>ק</t>
      </is>
    </nc>
  </rcc>
  <rcc rId="42" sId="7">
    <nc r="AJ25" t="inlineStr">
      <is>
        <t>ק</t>
      </is>
    </nc>
  </rcc>
  <rcc rId="43" sId="7">
    <nc r="AJ32" t="inlineStr">
      <is>
        <t>ק</t>
      </is>
    </nc>
  </rcc>
  <rcmt sheetId="6" cell="AJ27" guid="{629F27C9-CDF4-4208-A304-52CBB7A82D12}" author="Shmuel Fogel" newLength="11"/>
  <rcmt sheetId="6" cell="AJ33" guid="{80AB756F-A31E-47EF-AE9E-674A1C946A72}" author="Shmuel Fogel" newLength="11"/>
  <rcmt sheetId="7" cell="AJ11" guid="{5C4C9E6F-BBE1-4AD5-9036-624F1C97C0A7}" author="Shmuel Fogel" newLength="11"/>
  <rcmt sheetId="7" cell="AJ18" guid="{A8D250FB-D829-4531-8135-20EA5E719A3A}" author="Shmuel Fogel" newLength="11"/>
  <rcmt sheetId="7" cell="AJ25" guid="{5B1362D0-E530-4165-94C1-FE74CF92D36F}" author="Shmuel Fogel" newLength="11"/>
  <rcmt sheetId="7" cell="AJ32" guid="{775F9A88-BF8E-4C43-A988-3CC4F12CE334}" author="Shmuel Fogel" newLength="11"/>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D39CB39-D8E6-4DA4-ABBA-40E2E6F11928}" action="delete"/>
  <rcv guid="{1D39CB39-D8E6-4DA4-ABBA-40E2E6F11928}"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AP13:AQ13">
    <dxf>
      <fill>
        <patternFill>
          <bgColor theme="4" tint="0.59999389629810485"/>
        </patternFill>
      </fill>
    </dxf>
  </rfmt>
  <rcv guid="{C6961C98-214A-4770-9A2D-B399A95C6C8B}" action="delete"/>
  <rcv guid="{C6961C98-214A-4770-9A2D-B399A95C6C8B}"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 sId="5">
    <nc r="X9" t="inlineStr">
      <is>
        <t>חיפה</t>
      </is>
    </nc>
  </rcc>
  <rfmt sheetId="5" sqref="X9">
    <dxf>
      <fill>
        <patternFill>
          <bgColor rgb="FFFFFF00"/>
        </patternFill>
      </fill>
    </dxf>
  </rfmt>
  <rcmt sheetId="5" cell="X9" guid="{C8CFEB1E-50B6-4FE5-9664-41AA74B8AF31}" author="Avi Manorr" newLength="18"/>
  <rcv guid="{C6961C98-214A-4770-9A2D-B399A95C6C8B}" action="delete"/>
  <rcv guid="{C6961C98-214A-4770-9A2D-B399A95C6C8B}" action="add"/>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 sId="6" odxf="1" dxf="1">
    <nc r="X6" t="inlineStr">
      <is>
        <t>חיפה</t>
      </is>
    </nc>
    <odxf>
      <font>
        <sz val="11"/>
        <color theme="1"/>
        <name val="Arial"/>
        <family val="2"/>
        <scheme val="minor"/>
      </font>
      <fill>
        <patternFill>
          <bgColor theme="9" tint="0.79998168889431442"/>
        </patternFill>
      </fill>
    </odxf>
    <ndxf>
      <font>
        <sz val="11"/>
        <color auto="1"/>
        <name val="Arial"/>
        <family val="2"/>
        <scheme val="minor"/>
      </font>
      <fill>
        <patternFill>
          <bgColor rgb="FFFFFF00"/>
        </patternFill>
      </fill>
    </ndxf>
  </rcc>
  <rcc rId="46" sId="7" odxf="1" dxf="1">
    <nc r="X11" t="inlineStr">
      <is>
        <t>חיפה</t>
      </is>
    </nc>
    <odxf>
      <font>
        <sz val="11"/>
        <color theme="1"/>
        <name val="Arial"/>
        <family val="2"/>
        <scheme val="minor"/>
      </font>
      <fill>
        <patternFill>
          <bgColor theme="9" tint="0.79998168889431442"/>
        </patternFill>
      </fill>
    </odxf>
    <ndxf>
      <font>
        <sz val="11"/>
        <color auto="1"/>
        <name val="Arial"/>
        <family val="2"/>
        <scheme val="minor"/>
      </font>
      <fill>
        <patternFill>
          <bgColor rgb="FFFFFF00"/>
        </patternFill>
      </fill>
    </ndxf>
  </rcc>
  <rcc rId="47" sId="8" odxf="1" dxf="1">
    <nc r="X8" t="inlineStr">
      <is>
        <t>חיפה</t>
      </is>
    </nc>
    <odxf>
      <font>
        <sz val="11"/>
        <color theme="1"/>
        <name val="Arial"/>
        <family val="2"/>
        <scheme val="minor"/>
      </font>
      <fill>
        <patternFill>
          <bgColor theme="9" tint="0.79998168889431442"/>
        </patternFill>
      </fill>
    </odxf>
    <ndxf>
      <font>
        <sz val="11"/>
        <color auto="1"/>
        <name val="Arial"/>
        <family val="2"/>
        <scheme val="minor"/>
      </font>
      <fill>
        <patternFill>
          <bgColor rgb="FFFFFF00"/>
        </patternFill>
      </fill>
    </ndxf>
  </rcc>
  <rcc rId="48" sId="9" odxf="1" dxf="1">
    <nc r="X5" t="inlineStr">
      <is>
        <t>חיפה</t>
      </is>
    </nc>
    <odxf>
      <font>
        <sz val="11"/>
        <color theme="1"/>
        <name val="Arial"/>
        <family val="2"/>
        <scheme val="minor"/>
      </font>
      <fill>
        <patternFill>
          <bgColor theme="9" tint="0.79998168889431442"/>
        </patternFill>
      </fill>
      <border outline="0">
        <top/>
      </border>
    </odxf>
    <ndxf>
      <font>
        <sz val="11"/>
        <color auto="1"/>
        <name val="Arial"/>
        <family val="2"/>
        <scheme val="minor"/>
      </font>
      <fill>
        <patternFill>
          <bgColor rgb="FFFFFF00"/>
        </patternFill>
      </fill>
      <border outline="0">
        <top style="thin">
          <color indexed="64"/>
        </top>
      </border>
    </ndxf>
  </rcc>
  <rcc rId="49" sId="10" odxf="1" dxf="1">
    <nc r="X10" t="inlineStr">
      <is>
        <t>חיפה</t>
      </is>
    </nc>
    <odxf>
      <font>
        <sz val="11"/>
        <color theme="1"/>
        <name val="Arial"/>
        <family val="2"/>
        <scheme val="minor"/>
      </font>
      <fill>
        <patternFill>
          <bgColor theme="9" tint="0.79998168889431442"/>
        </patternFill>
      </fill>
    </odxf>
    <ndxf>
      <font>
        <sz val="11"/>
        <color auto="1"/>
        <name val="Arial"/>
        <family val="2"/>
        <scheme val="minor"/>
      </font>
      <fill>
        <patternFill>
          <bgColor rgb="FFFFFF00"/>
        </patternFill>
      </fill>
    </ndxf>
  </rcc>
  <rcc rId="50" sId="11" odxf="1" dxf="1">
    <nc r="X7" t="inlineStr">
      <is>
        <t>חיפה</t>
      </is>
    </nc>
    <odxf>
      <font>
        <sz val="11"/>
        <color theme="1"/>
        <name val="Arial"/>
        <family val="2"/>
        <scheme val="minor"/>
      </font>
      <fill>
        <patternFill>
          <bgColor theme="9" tint="0.79998168889431442"/>
        </patternFill>
      </fill>
    </odxf>
    <ndxf>
      <font>
        <sz val="11"/>
        <color auto="1"/>
        <name val="Arial"/>
        <family val="2"/>
        <scheme val="minor"/>
      </font>
      <fill>
        <patternFill>
          <bgColor rgb="FFFFFF00"/>
        </patternFill>
      </fill>
    </ndxf>
  </rcc>
  <rcc rId="51" sId="12" odxf="1" dxf="1">
    <nc r="X5" t="inlineStr">
      <is>
        <t>חיפה</t>
      </is>
    </nc>
    <odxf>
      <font>
        <sz val="11"/>
        <color theme="1"/>
        <name val="Arial"/>
        <family val="2"/>
        <scheme val="minor"/>
      </font>
      <fill>
        <patternFill>
          <bgColor theme="9" tint="0.79998168889431442"/>
        </patternFill>
      </fill>
      <border outline="0">
        <top/>
      </border>
    </odxf>
    <ndxf>
      <font>
        <sz val="11"/>
        <color auto="1"/>
        <name val="Arial"/>
        <family val="2"/>
        <scheme val="minor"/>
      </font>
      <fill>
        <patternFill>
          <bgColor rgb="FFFFFF00"/>
        </patternFill>
      </fill>
      <border outline="0">
        <top style="thin">
          <color indexed="64"/>
        </top>
      </border>
    </ndxf>
  </rcc>
  <rcmt sheetId="6" cell="X6" guid="{582FD4D2-C1CB-45DD-A4AB-5E6BCE3A6D80}" author="Avi Manorr" newLength="18"/>
  <rcmt sheetId="7" cell="X11" guid="{B36A6F6D-ADD5-4524-BBDE-10DE6E0AA06B}" author="Avi Manorr" newLength="18"/>
  <rcmt sheetId="8" cell="X8" guid="{BC60FC73-AFBA-418E-970D-AA997691398C}" author="Avi Manorr" newLength="18"/>
  <rcmt sheetId="9" cell="X5" guid="{BB3FEC31-6CB9-472A-96D1-85EB5A2E6867}" author="Avi Manorr" newLength="18"/>
  <rcmt sheetId="10" cell="X10" guid="{FCE4EA1C-B3E6-416F-A410-078EA020E266}" author="Avi Manorr" newLength="18"/>
  <rcmt sheetId="11" cell="X7" guid="{C9889134-A1D0-42C9-9F75-2B4A972FB889}" author="Avi Manorr" newLength="18"/>
  <rcmt sheetId="12" cell="X5" guid="{BBE3DDA7-897B-44C7-8E6B-CC81630A90EB}" author="Avi Manorr" newLength="18"/>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 sId="4" odxf="1" dxf="1">
    <nc r="Z19" t="inlineStr">
      <is>
        <t>חיפה</t>
      </is>
    </nc>
    <odxf>
      <font>
        <sz val="11"/>
        <color theme="1"/>
        <name val="Arial"/>
        <family val="2"/>
        <scheme val="minor"/>
      </font>
      <fill>
        <patternFill>
          <bgColor theme="9" tint="0.79998168889431442"/>
        </patternFill>
      </fill>
      <border outline="0">
        <left style="medium">
          <color indexed="64"/>
        </left>
      </border>
    </odxf>
    <ndxf>
      <font>
        <sz val="11"/>
        <color auto="1"/>
        <name val="Arial"/>
        <family val="2"/>
        <scheme val="minor"/>
      </font>
      <fill>
        <patternFill>
          <bgColor rgb="FFFFFF00"/>
        </patternFill>
      </fill>
      <border outline="0">
        <left/>
      </border>
    </ndxf>
  </rcc>
  <rfmt sheetId="4" sqref="AL19" start="0" length="0">
    <dxf>
      <font>
        <sz val="11"/>
        <color auto="1"/>
        <name val="Arial"/>
        <family val="2"/>
        <scheme val="minor"/>
      </font>
      <fill>
        <patternFill>
          <bgColor rgb="FFFFFF00"/>
        </patternFill>
      </fill>
      <border outline="0">
        <left/>
      </border>
    </dxf>
  </rfmt>
  <rcc rId="53" sId="4" odxf="1" dxf="1">
    <nc r="AF19" t="inlineStr">
      <is>
        <t>חיפה</t>
      </is>
    </nc>
    <odxf>
      <font>
        <sz val="11"/>
        <color theme="1"/>
        <name val="Arial"/>
        <family val="2"/>
        <scheme val="minor"/>
      </font>
      <fill>
        <patternFill>
          <bgColor theme="9" tint="0.79998168889431442"/>
        </patternFill>
      </fill>
      <border outline="0">
        <left style="medium">
          <color indexed="64"/>
        </left>
      </border>
    </odxf>
    <ndxf>
      <font>
        <sz val="11"/>
        <color auto="1"/>
        <name val="Arial"/>
        <family val="2"/>
        <scheme val="minor"/>
      </font>
      <fill>
        <patternFill>
          <bgColor rgb="FFFFFF00"/>
        </patternFill>
      </fill>
      <border outline="0">
        <left/>
      </border>
    </ndxf>
  </rcc>
  <rfmt sheetId="4" sqref="AL19" start="0" length="0">
    <dxf>
      <font>
        <sz val="11"/>
        <color theme="1"/>
        <name val="Arial"/>
        <family val="2"/>
        <scheme val="minor"/>
      </font>
      <fill>
        <patternFill>
          <bgColor theme="9" tint="0.79998168889431442"/>
        </patternFill>
      </fill>
      <border outline="0">
        <left style="medium">
          <color indexed="64"/>
        </left>
      </border>
    </dxf>
  </rfmt>
  <rcmt sheetId="4" cell="AL19" guid="{00000000-0000-0000-0000-000000000000}" action="delete" author="Avi Manorr"/>
  <rcmt sheetId="4" cell="Z19" guid="{04EE3A57-AC02-450F-8867-058525E94D84}" author="Avi Manorr" newLength="18"/>
  <rcmt sheetId="4" cell="AF19" guid="{586D3A7D-B768-4195-871D-C8F76015D3B8}" author="Avi Manorr" newLength="18"/>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 sId="4">
    <nc r="H16" t="inlineStr">
      <is>
        <t>ק</t>
      </is>
    </nc>
  </rcc>
  <rcc rId="55" sId="4">
    <nc r="H23" t="inlineStr">
      <is>
        <t>ק</t>
      </is>
    </nc>
  </rcc>
  <rcc rId="56" sId="4" odxf="1" dxf="1">
    <nc r="H30" t="inlineStr">
      <is>
        <t>ק</t>
      </is>
    </nc>
    <ndxf>
      <font>
        <sz val="11"/>
        <color theme="1"/>
        <name val="Arial"/>
        <family val="2"/>
        <scheme val="minor"/>
      </font>
      <alignment vertical="center"/>
      <border outline="0">
        <left style="medium">
          <color indexed="64"/>
        </left>
        <right style="thin">
          <color indexed="64"/>
        </right>
      </border>
    </ndxf>
  </rcc>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 sId="4">
    <nc r="E13" t="inlineStr">
      <is>
        <t>כ</t>
      </is>
    </nc>
  </rcc>
  <rcc rId="58" sId="4">
    <nc r="S16" t="inlineStr">
      <is>
        <t>כ</t>
      </is>
    </nc>
  </rcc>
  <rcc rId="59" sId="4">
    <oc r="S13" t="inlineStr">
      <is>
        <t>כ</t>
      </is>
    </oc>
    <nc r="S13"/>
  </rcc>
  <rcc rId="60" sId="4">
    <oc r="E16" t="inlineStr">
      <is>
        <t>כ</t>
      </is>
    </oc>
    <nc r="E16"/>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 sId="4">
    <nc r="AJ17" t="inlineStr">
      <is>
        <t>ח</t>
      </is>
    </nc>
  </rcc>
  <rcc rId="62" sId="4">
    <nc r="AJ19" t="inlineStr">
      <is>
        <t>ח</t>
      </is>
    </nc>
  </rcc>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 sId="4">
    <nc r="E12" t="inlineStr">
      <is>
        <t>כמש</t>
      </is>
    </nc>
  </rcc>
  <rcc rId="64" sId="4">
    <oc r="M12" t="inlineStr">
      <is>
        <t>כמש</t>
      </is>
    </oc>
    <nc r="M12"/>
  </rcc>
  <rcc rId="65" sId="4">
    <nc r="M19" t="inlineStr">
      <is>
        <t>כ</t>
      </is>
    </nc>
  </rcc>
  <rcc rId="66" sId="4">
    <nc r="M26" t="inlineStr">
      <is>
        <t>כ</t>
      </is>
    </nc>
  </rcc>
  <rcc rId="67" sId="4">
    <oc r="E19" t="inlineStr">
      <is>
        <t>כ</t>
      </is>
    </oc>
    <nc r="E19"/>
  </rcc>
  <rcc rId="68" sId="4">
    <oc r="E26" t="inlineStr">
      <is>
        <t>כ</t>
      </is>
    </oc>
    <nc r="E26"/>
  </rc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 sId="4">
    <nc r="AN5" t="inlineStr">
      <is>
        <t>מיל</t>
      </is>
    </nc>
  </rcc>
  <rcc rId="70" sId="4" odxf="1" dxf="1">
    <nc r="AN6" t="inlineStr">
      <is>
        <t>מיל</t>
      </is>
    </nc>
    <odxf>
      <border outline="0">
        <top style="thin">
          <color indexed="64"/>
        </top>
      </border>
    </odxf>
    <ndxf>
      <border outline="0">
        <top/>
      </border>
    </ndxf>
  </rcc>
  <rcc rId="71" sId="4" odxf="1" dxf="1">
    <nc r="AN7" t="inlineStr">
      <is>
        <t>מיל</t>
      </is>
    </nc>
    <odxf>
      <border outline="0">
        <top style="thin">
          <color indexed="64"/>
        </top>
      </border>
    </odxf>
    <ndxf>
      <border outline="0">
        <top/>
      </border>
    </ndxf>
  </rcc>
  <rcc rId="72" sId="4" odxf="1" dxf="1">
    <nc r="AN8" t="inlineStr">
      <is>
        <t>מיל</t>
      </is>
    </nc>
    <odxf>
      <border outline="0">
        <top style="thin">
          <color indexed="64"/>
        </top>
      </border>
    </odxf>
    <ndxf>
      <border outline="0">
        <top/>
      </border>
    </ndxf>
  </rcc>
  <rcc rId="73" sId="4" odxf="1" dxf="1">
    <nc r="AN9" t="inlineStr">
      <is>
        <t>מיל</t>
      </is>
    </nc>
    <odxf>
      <border outline="0">
        <top style="thin">
          <color indexed="64"/>
        </top>
      </border>
    </odxf>
    <ndxf>
      <border outline="0">
        <top/>
      </border>
    </ndxf>
  </rcc>
  <rcc rId="74" sId="4" odxf="1" dxf="1">
    <nc r="AN10" t="inlineStr">
      <is>
        <t>מיל</t>
      </is>
    </nc>
    <odxf>
      <border outline="0">
        <top style="thin">
          <color indexed="64"/>
        </top>
      </border>
    </odxf>
    <ndxf>
      <border outline="0">
        <top/>
      </border>
    </ndxf>
  </rcc>
  <rcc rId="75" sId="4" odxf="1" dxf="1">
    <nc r="AN11" t="inlineStr">
      <is>
        <t>מיל</t>
      </is>
    </nc>
    <odxf>
      <border outline="0">
        <top style="thin">
          <color indexed="64"/>
        </top>
      </border>
    </odxf>
    <ndxf>
      <border outline="0">
        <top/>
      </border>
    </ndxf>
  </rcc>
  <rcc rId="76" sId="4" odxf="1" dxf="1">
    <nc r="AN12" t="inlineStr">
      <is>
        <t>מיל</t>
      </is>
    </nc>
    <odxf>
      <border outline="0">
        <top style="thin">
          <color indexed="64"/>
        </top>
      </border>
    </odxf>
    <ndxf>
      <border outline="0">
        <top/>
      </border>
    </ndxf>
  </rcc>
  <rcc rId="77" sId="4" odxf="1" dxf="1">
    <nc r="AN13"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78" sId="4" odxf="1" dxf="1">
    <nc r="AN14" t="inlineStr">
      <is>
        <t>מיל</t>
      </is>
    </nc>
    <odxf>
      <fill>
        <patternFill>
          <bgColor theme="9" tint="0.39997558519241921"/>
        </patternFill>
      </fill>
      <border outline="0">
        <top style="thin">
          <color indexed="64"/>
        </top>
      </border>
    </odxf>
    <ndxf>
      <fill>
        <patternFill>
          <bgColor theme="4" tint="0.59999389629810485"/>
        </patternFill>
      </fill>
      <border outline="0">
        <top/>
      </border>
    </ndxf>
  </rcc>
  <rcc rId="79" sId="4" odxf="1" dxf="1">
    <nc r="AN15" t="inlineStr">
      <is>
        <t>מיל</t>
      </is>
    </nc>
    <odxf>
      <fill>
        <patternFill>
          <bgColor theme="9" tint="0.39997558519241921"/>
        </patternFill>
      </fill>
      <border outline="0">
        <top style="thin">
          <color indexed="64"/>
        </top>
      </border>
    </odxf>
    <ndxf>
      <fill>
        <patternFill>
          <bgColor theme="4" tint="0.59999389629810485"/>
        </patternFill>
      </fill>
      <border outline="0">
        <top/>
      </border>
    </ndxf>
  </rcc>
  <rcc rId="80" sId="4" odxf="1" dxf="1">
    <nc r="AN16"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81" sId="4" odxf="1" dxf="1">
    <nc r="AN17"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82" sId="4" odxf="1" dxf="1">
    <nc r="AN18"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83" sId="4" odxf="1" dxf="1">
    <nc r="AN19"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84" sId="4" odxf="1" dxf="1">
    <nc r="AN20"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85" sId="4" odxf="1" dxf="1">
    <nc r="AN21" t="inlineStr">
      <is>
        <t>מיל</t>
      </is>
    </nc>
    <odxf>
      <fill>
        <patternFill>
          <bgColor theme="9" tint="0.39997558519241921"/>
        </patternFill>
      </fill>
      <border outline="0">
        <top style="thin">
          <color indexed="64"/>
        </top>
      </border>
    </odxf>
    <ndxf>
      <fill>
        <patternFill>
          <bgColor theme="4" tint="0.59999389629810485"/>
        </patternFill>
      </fill>
      <border outline="0">
        <top/>
      </border>
    </ndxf>
  </rcc>
  <rcc rId="86" sId="4" odxf="1" dxf="1">
    <nc r="AN22" t="inlineStr">
      <is>
        <t>מיל</t>
      </is>
    </nc>
    <odxf>
      <fill>
        <patternFill>
          <bgColor theme="9" tint="0.39997558519241921"/>
        </patternFill>
      </fill>
      <border outline="0">
        <top style="thin">
          <color indexed="64"/>
        </top>
      </border>
    </odxf>
    <ndxf>
      <fill>
        <patternFill>
          <bgColor theme="4" tint="0.59999389629810485"/>
        </patternFill>
      </fill>
      <border outline="0">
        <top/>
      </border>
    </ndxf>
  </rcc>
  <rcc rId="87" sId="4" odxf="1" dxf="1">
    <nc r="AN23"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88" sId="4" odxf="1" dxf="1">
    <nc r="AN24"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89" sId="4" odxf="1" dxf="1">
    <nc r="AN25"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90" sId="4" odxf="1" dxf="1">
    <nc r="AN26"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91" sId="4" odxf="1" dxf="1">
    <nc r="AN27"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92" sId="4" odxf="1" dxf="1">
    <nc r="AN28" t="inlineStr">
      <is>
        <t>מיל</t>
      </is>
    </nc>
    <odxf>
      <fill>
        <patternFill>
          <bgColor theme="9" tint="0.39997558519241921"/>
        </patternFill>
      </fill>
      <border outline="0">
        <top style="thin">
          <color indexed="64"/>
        </top>
      </border>
    </odxf>
    <ndxf>
      <fill>
        <patternFill>
          <bgColor theme="4" tint="0.59999389629810485"/>
        </patternFill>
      </fill>
      <border outline="0">
        <top/>
      </border>
    </ndxf>
  </rcc>
  <rcc rId="93" sId="4" odxf="1" dxf="1">
    <nc r="AN29" t="inlineStr">
      <is>
        <t>מיל</t>
      </is>
    </nc>
    <odxf>
      <fill>
        <patternFill>
          <bgColor theme="9" tint="0.39997558519241921"/>
        </patternFill>
      </fill>
      <border outline="0">
        <top style="thin">
          <color indexed="64"/>
        </top>
      </border>
    </odxf>
    <ndxf>
      <fill>
        <patternFill>
          <bgColor theme="4" tint="0.59999389629810485"/>
        </patternFill>
      </fill>
      <border outline="0">
        <top/>
      </border>
    </ndxf>
  </rcc>
  <rcc rId="94" sId="4" odxf="1" dxf="1">
    <nc r="AN30" t="inlineStr">
      <is>
        <t>מיל</t>
      </is>
    </nc>
    <odxf>
      <font>
        <sz val="5"/>
      </font>
      <fill>
        <patternFill>
          <bgColor theme="9" tint="0.79998168889431442"/>
        </patternFill>
      </fill>
      <alignment vertical="top"/>
      <border outline="0">
        <left/>
        <right/>
        <top style="thin">
          <color indexed="64"/>
        </top>
      </border>
    </odxf>
    <ndxf>
      <font>
        <sz val="11"/>
        <color theme="1"/>
        <name val="Arial"/>
        <family val="2"/>
        <scheme val="minor"/>
      </font>
      <fill>
        <patternFill>
          <bgColor theme="4" tint="0.59999389629810485"/>
        </patternFill>
      </fill>
      <alignment vertical="center"/>
      <border outline="0">
        <left style="medium">
          <color indexed="64"/>
        </left>
        <right style="thin">
          <color indexed="64"/>
        </right>
        <top/>
      </border>
    </ndxf>
  </rcc>
  <rcc rId="95" sId="4" odxf="1" dxf="1">
    <nc r="AN31"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96" sId="4" odxf="1" dxf="1">
    <nc r="AN32"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97" sId="4" odxf="1" dxf="1">
    <nc r="AN33"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cc rId="98" sId="4" odxf="1" dxf="1">
    <nc r="AN34" t="inlineStr">
      <is>
        <t>מיל</t>
      </is>
    </nc>
    <odxf>
      <fill>
        <patternFill>
          <bgColor theme="9" tint="0.79998168889431442"/>
        </patternFill>
      </fill>
      <border outline="0">
        <top style="thin">
          <color indexed="64"/>
        </top>
      </border>
    </odxf>
    <ndxf>
      <fill>
        <patternFill>
          <bgColor theme="4" tint="0.59999389629810485"/>
        </patternFill>
      </fill>
      <border outline="0">
        <top/>
      </border>
    </ndxf>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 sId="4">
    <nc r="D16" t="inlineStr">
      <is>
        <t>מיל</t>
      </is>
    </nc>
  </rcc>
  <rcc rId="100" sId="4">
    <nc r="D17" t="inlineStr">
      <is>
        <t>מיל</t>
      </is>
    </nc>
  </rcc>
  <rcc rId="101" sId="4">
    <nc r="D18" t="inlineStr">
      <is>
        <t>מיל</t>
      </is>
    </nc>
  </rcc>
  <rcc rId="102" sId="4">
    <nc r="D19" t="inlineStr">
      <is>
        <t>מיל</t>
      </is>
    </nc>
  </rcc>
  <rcc rId="103" sId="4">
    <nc r="D20" t="inlineStr">
      <is>
        <t>מיל</t>
      </is>
    </nc>
  </rcc>
  <rcc rId="104" sId="4" odxf="1" dxf="1">
    <nc r="D21" t="inlineStr">
      <is>
        <t>מיל</t>
      </is>
    </nc>
    <odxf>
      <fill>
        <patternFill>
          <bgColor theme="9" tint="0.39997558519241921"/>
        </patternFill>
      </fill>
    </odxf>
    <ndxf>
      <fill>
        <patternFill>
          <bgColor theme="9" tint="0.79998168889431442"/>
        </patternFill>
      </fill>
    </ndxf>
  </rcc>
  <rcc rId="105" sId="4" odxf="1" dxf="1">
    <nc r="D22" t="inlineStr">
      <is>
        <t>מיל</t>
      </is>
    </nc>
    <odxf>
      <fill>
        <patternFill>
          <bgColor theme="9" tint="0.39997558519241921"/>
        </patternFill>
      </fill>
    </odxf>
    <ndxf>
      <fill>
        <patternFill>
          <bgColor theme="9" tint="0.79998168889431442"/>
        </patternFill>
      </fill>
    </ndxf>
  </rcc>
  <rcc rId="106" sId="4">
    <nc r="D23" t="inlineStr">
      <is>
        <t>מיל</t>
      </is>
    </nc>
  </rcc>
  <rcc rId="107" sId="4">
    <nc r="D24" t="inlineStr">
      <is>
        <t>מיל</t>
      </is>
    </nc>
  </rcc>
  <rcc rId="108" sId="4">
    <nc r="D25" t="inlineStr">
      <is>
        <t>מיל</t>
      </is>
    </nc>
  </rcc>
  <rcc rId="109" sId="4">
    <nc r="D26" t="inlineStr">
      <is>
        <t>מיל</t>
      </is>
    </nc>
  </rcc>
  <rcc rId="110" sId="4">
    <nc r="D27" t="inlineStr">
      <is>
        <t>מיל</t>
      </is>
    </nc>
  </rcc>
  <rcc rId="111" sId="4" odxf="1" dxf="1">
    <nc r="D28" t="inlineStr">
      <is>
        <t>מיל</t>
      </is>
    </nc>
    <odxf>
      <fill>
        <patternFill>
          <bgColor theme="9" tint="0.39997558519241921"/>
        </patternFill>
      </fill>
    </odxf>
    <ndxf>
      <fill>
        <patternFill>
          <bgColor theme="9" tint="0.79998168889431442"/>
        </patternFill>
      </fill>
    </ndxf>
  </rcc>
  <rcc rId="112" sId="4" odxf="1" dxf="1">
    <nc r="D29" t="inlineStr">
      <is>
        <t>מיל</t>
      </is>
    </nc>
    <odxf>
      <fill>
        <patternFill>
          <bgColor theme="9" tint="0.39997558519241921"/>
        </patternFill>
      </fill>
    </odxf>
    <ndxf>
      <fill>
        <patternFill>
          <bgColor theme="9" tint="0.79998168889431442"/>
        </patternFill>
      </fill>
    </ndxf>
  </rcc>
  <rcc rId="113" sId="4" odxf="1" dxf="1">
    <nc r="D30" t="inlineStr">
      <is>
        <t>מיל</t>
      </is>
    </nc>
    <odxf>
      <font>
        <sz val="5"/>
      </font>
      <alignment vertical="top"/>
      <border outline="0">
        <left/>
        <right/>
      </border>
    </odxf>
    <ndxf>
      <font>
        <sz val="11"/>
        <color theme="1"/>
        <name val="Arial"/>
        <family val="2"/>
        <scheme val="minor"/>
      </font>
      <alignment vertical="center"/>
      <border outline="0">
        <left style="medium">
          <color indexed="64"/>
        </left>
        <right style="thin">
          <color indexed="64"/>
        </right>
      </border>
    </ndxf>
  </rcc>
  <rcc rId="114" sId="4">
    <nc r="D31" t="inlineStr">
      <is>
        <t>מיל</t>
      </is>
    </nc>
  </rcc>
  <rcc rId="115" sId="4">
    <nc r="D32" t="inlineStr">
      <is>
        <t>מיל</t>
      </is>
    </nc>
  </rcc>
  <rcc rId="116" sId="4">
    <nc r="D33" t="inlineStr">
      <is>
        <t>מיל</t>
      </is>
    </nc>
  </rcc>
  <rcc rId="117" sId="4">
    <nc r="D34" t="inlineStr">
      <is>
        <t>מיל</t>
      </is>
    </nc>
  </rcc>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D26:AQ26">
    <dxf>
      <fill>
        <patternFill>
          <bgColor theme="4" tint="0.39997558519241921"/>
        </patternFill>
      </fill>
    </dxf>
  </rfmt>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 sId="4" odxf="1" dxf="1">
    <nc r="AL19" t="inlineStr">
      <is>
        <t>חיפה</t>
      </is>
    </nc>
    <odxf>
      <font>
        <sz val="11"/>
        <color theme="1"/>
        <name val="Arial"/>
        <family val="2"/>
        <scheme val="minor"/>
      </font>
      <fill>
        <patternFill>
          <bgColor theme="9" tint="0.79998168889431442"/>
        </patternFill>
      </fill>
      <border outline="0">
        <left style="medium">
          <color indexed="64"/>
        </left>
      </border>
    </odxf>
    <ndxf>
      <font>
        <sz val="11"/>
        <color auto="1"/>
        <name val="Arial"/>
        <family val="2"/>
        <scheme val="minor"/>
      </font>
      <fill>
        <patternFill>
          <bgColor rgb="FFFFFF00"/>
        </patternFill>
      </fill>
      <border outline="0">
        <left/>
      </border>
    </ndxf>
  </rcc>
  <rcmt sheetId="4" cell="AL19" guid="{D5BE9C4A-A5F7-4F57-AECE-C9631C42344B}" author="Avi Manorr" newLength="18"/>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 sId="4" odxf="1" dxf="1">
    <nc r="J19" t="inlineStr">
      <is>
        <t>חיפה</t>
      </is>
    </nc>
    <odxf>
      <font>
        <sz val="11"/>
        <color theme="1"/>
        <name val="Arial"/>
        <family val="2"/>
        <scheme val="minor"/>
      </font>
      <fill>
        <patternFill>
          <bgColor theme="9" tint="0.79998168889431442"/>
        </patternFill>
      </fill>
      <border outline="0">
        <left style="medium">
          <color indexed="64"/>
        </left>
      </border>
    </odxf>
    <ndxf>
      <font>
        <sz val="11"/>
        <color auto="1"/>
        <name val="Arial"/>
        <family val="2"/>
        <scheme val="minor"/>
      </font>
      <fill>
        <patternFill>
          <bgColor rgb="FFFFFF00"/>
        </patternFill>
      </fill>
      <border outline="0">
        <left/>
      </border>
    </ndxf>
  </rcc>
  <rcmt sheetId="4" cell="J19" guid="{3CB204E7-05D8-4937-AA49-FF59039A668F}" author="Avi Manorr" newLength="18"/>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 sId="4" odxf="1" dxf="1">
    <nc r="V19" t="inlineStr">
      <is>
        <t>חיפה</t>
      </is>
    </nc>
    <odxf>
      <font>
        <sz val="11"/>
        <color theme="1"/>
        <name val="Arial"/>
        <family val="2"/>
        <scheme val="minor"/>
      </font>
      <fill>
        <patternFill>
          <bgColor theme="9" tint="0.79998168889431442"/>
        </patternFill>
      </fill>
    </odxf>
    <ndxf>
      <font>
        <sz val="11"/>
        <color auto="1"/>
        <name val="Arial"/>
        <family val="2"/>
        <scheme val="minor"/>
      </font>
      <fill>
        <patternFill>
          <bgColor rgb="FFFFFF00"/>
        </patternFill>
      </fill>
    </ndxf>
  </rcc>
  <rcmt sheetId="4" cell="V19" guid="{AA4CD3D2-9E0F-4794-8682-E264B3792169}" author="Avi Manorr" newLength="18"/>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 sId="4">
    <nc r="T16" t="inlineStr">
      <is>
        <t>ח</t>
      </is>
    </nc>
  </rcc>
  <rcc rId="122" sId="4">
    <nc r="T17" t="inlineStr">
      <is>
        <t>ח</t>
      </is>
    </nc>
  </rcc>
  <rcc rId="123" sId="4">
    <nc r="T20" t="inlineStr">
      <is>
        <t>ח</t>
      </is>
    </nc>
  </rcc>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6961C98-214A-4770-9A2D-B399A95C6C8B}" action="delete"/>
  <rcv guid="{C6961C98-214A-4770-9A2D-B399A95C6C8B}" action="add"/>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 sId="4">
    <nc r="R17" t="inlineStr">
      <is>
        <t>DCRS</t>
      </is>
    </nc>
  </rcc>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R31" start="0" length="0">
    <dxf>
      <font>
        <sz val="5"/>
        <color auto="1"/>
      </font>
    </dxf>
  </rfmt>
  <rfmt sheetId="5" sqref="R32" start="0" length="0">
    <dxf>
      <font>
        <sz val="5"/>
        <color auto="1"/>
      </font>
    </dxf>
  </rfmt>
  <rcc rId="125" sId="5" odxf="1" dxf="1">
    <nc r="J28" t="inlineStr">
      <is>
        <t>ח</t>
      </is>
    </nc>
    <odxf>
      <border outline="0">
        <left style="medium">
          <color indexed="64"/>
        </left>
      </border>
    </odxf>
    <ndxf>
      <border outline="0">
        <left/>
      </border>
    </ndxf>
  </rcc>
  <rcc rId="126" sId="5" odxf="1" dxf="1">
    <nc r="J29" t="inlineStr">
      <is>
        <t>ח</t>
      </is>
    </nc>
    <odxf>
      <border outline="0">
        <left style="medium">
          <color indexed="64"/>
        </left>
      </border>
    </odxf>
    <ndxf>
      <border outline="0">
        <left/>
      </border>
    </ndxf>
  </rcc>
  <rcc rId="127" sId="5" odxf="1" dxf="1">
    <nc r="J30" t="inlineStr">
      <is>
        <t>ח</t>
      </is>
    </nc>
    <odxf>
      <font>
        <sz val="5"/>
        <color auto="1"/>
      </font>
      <alignment vertical="top"/>
      <border outline="0">
        <right/>
      </border>
    </odxf>
    <ndxf>
      <font>
        <sz val="5"/>
        <color auto="1"/>
      </font>
      <alignment vertical="center"/>
      <border outline="0">
        <right style="thin">
          <color indexed="64"/>
        </right>
      </border>
    </ndxf>
  </rcc>
  <rcc rId="128" sId="5" odxf="1" dxf="1">
    <nc r="J31" t="inlineStr">
      <is>
        <t>ח</t>
      </is>
    </nc>
    <odxf>
      <border outline="0">
        <left style="medium">
          <color indexed="64"/>
        </left>
      </border>
    </odxf>
    <ndxf>
      <border outline="0">
        <left/>
      </border>
    </ndxf>
  </rcc>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9" sId="4" odxf="1" dxf="1">
    <oc r="J19" t="inlineStr">
      <is>
        <t>חיפה</t>
      </is>
    </oc>
    <nc r="J19"/>
    <odxf>
      <font>
        <color auto="1"/>
      </font>
      <fill>
        <patternFill>
          <bgColor rgb="FFFFFF00"/>
        </patternFill>
      </fill>
      <border outline="0">
        <left/>
      </border>
    </odxf>
    <ndxf>
      <font>
        <sz val="11"/>
        <color theme="1"/>
        <name val="Arial"/>
        <family val="2"/>
        <scheme val="minor"/>
      </font>
      <fill>
        <patternFill>
          <bgColor theme="9" tint="0.79998168889431442"/>
        </patternFill>
      </fill>
      <border outline="0">
        <left style="medium">
          <color indexed="64"/>
        </left>
      </border>
    </ndxf>
  </rcc>
  <rcc rId="130" sId="4" odxf="1" dxf="1">
    <nc r="F19" t="inlineStr">
      <is>
        <t>חיפה</t>
      </is>
    </nc>
    <odxf>
      <font>
        <sz val="11"/>
        <color theme="1"/>
        <name val="Arial"/>
        <family val="2"/>
        <scheme val="minor"/>
      </font>
      <fill>
        <patternFill>
          <bgColor theme="9" tint="0.79998168889431442"/>
        </patternFill>
      </fill>
      <border outline="0">
        <left style="medium">
          <color indexed="64"/>
        </left>
      </border>
    </odxf>
    <ndxf>
      <font>
        <sz val="11"/>
        <color auto="1"/>
        <name val="Arial"/>
        <family val="2"/>
        <scheme val="minor"/>
      </font>
      <fill>
        <patternFill>
          <bgColor rgb="FFFFFF00"/>
        </patternFill>
      </fill>
      <border outline="0">
        <left/>
      </border>
    </ndxf>
  </rcc>
  <rcc rId="131" sId="4" odxf="1" dxf="1">
    <nc r="N19" t="inlineStr">
      <is>
        <t>חיפה</t>
      </is>
    </nc>
    <odxf>
      <font>
        <sz val="11"/>
        <color theme="1"/>
        <name val="Arial"/>
        <family val="2"/>
        <scheme val="minor"/>
      </font>
      <fill>
        <patternFill>
          <bgColor theme="9" tint="0.79998168889431442"/>
        </patternFill>
      </fill>
      <border outline="0">
        <left style="medium">
          <color indexed="64"/>
        </left>
      </border>
    </odxf>
    <ndxf>
      <font>
        <sz val="11"/>
        <color auto="1"/>
        <name val="Arial"/>
        <family val="2"/>
        <scheme val="minor"/>
      </font>
      <fill>
        <patternFill>
          <bgColor rgb="FFFFFF00"/>
        </patternFill>
      </fill>
      <border outline="0">
        <left/>
      </border>
    </ndxf>
  </rcc>
  <rcc rId="132" sId="4" odxf="1" dxf="1">
    <oc r="Z19" t="inlineStr">
      <is>
        <t>חיפה</t>
      </is>
    </oc>
    <nc r="Z19"/>
    <odxf>
      <font>
        <color auto="1"/>
      </font>
      <fill>
        <patternFill>
          <bgColor rgb="FFFFFF00"/>
        </patternFill>
      </fill>
      <border outline="0">
        <left/>
      </border>
    </odxf>
    <ndxf>
      <font>
        <sz val="11"/>
        <color theme="1"/>
        <name val="Arial"/>
        <family val="2"/>
        <scheme val="minor"/>
      </font>
      <fill>
        <patternFill>
          <bgColor theme="9" tint="0.79998168889431442"/>
        </patternFill>
      </fill>
      <border outline="0">
        <left style="medium">
          <color indexed="64"/>
        </left>
      </border>
    </ndxf>
  </rcc>
  <rcmt sheetId="4" cell="Z19" guid="{00000000-0000-0000-0000-000000000000}" action="delete" author="Avi Manorr"/>
  <rcmt sheetId="4" cell="F19" guid="{7E594F49-9473-4DC9-9238-E7A5DDFF74E9}" author="Avi Manorr" newLength="18"/>
  <rcmt sheetId="4" cell="N19" guid="{56FEAFEE-5601-485F-BD4C-37F294F264FA}" author="Avi Manorr" newLength="18"/>
  <rcv guid="{C6961C98-214A-4770-9A2D-B399A95C6C8B}" action="delete"/>
  <rcv guid="{C6961C98-214A-4770-9A2D-B399A95C6C8B}" action="add"/>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 sId="4" odxf="1" dxf="1">
    <oc r="AF19" t="inlineStr">
      <is>
        <t>חיפה</t>
      </is>
    </oc>
    <nc r="AF19"/>
    <odxf>
      <font>
        <color auto="1"/>
      </font>
      <fill>
        <patternFill>
          <bgColor rgb="FFFFFF00"/>
        </patternFill>
      </fill>
      <border outline="0">
        <left/>
      </border>
    </odxf>
    <ndxf>
      <font>
        <sz val="11"/>
        <color theme="1"/>
        <name val="Arial"/>
        <family val="2"/>
        <scheme val="minor"/>
      </font>
      <fill>
        <patternFill>
          <bgColor theme="9" tint="0.79998168889431442"/>
        </patternFill>
      </fill>
      <border outline="0">
        <left style="medium">
          <color indexed="64"/>
        </left>
      </border>
    </ndxf>
  </rcc>
  <rcmt sheetId="4" cell="AF19" guid="{00000000-0000-0000-0000-000000000000}" action="delete" author="Avi Manorr"/>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AB30">
    <dxf>
      <fill>
        <patternFill>
          <bgColor rgb="FFFFFF00"/>
        </patternFill>
      </fill>
    </dxf>
  </rfmt>
  <rfmt sheetId="4" sqref="AF30">
    <dxf>
      <fill>
        <patternFill>
          <bgColor rgb="FFFFFF00"/>
        </patternFill>
      </fill>
    </dxf>
  </rfmt>
  <rfmt sheetId="4" sqref="X30">
    <dxf>
      <fill>
        <patternFill>
          <bgColor theme="7" tint="0.59999389629810485"/>
        </patternFill>
      </fill>
    </dxf>
  </rfmt>
  <rfmt sheetId="4" sqref="AB30" start="0" length="0">
    <dxf>
      <fill>
        <patternFill>
          <bgColor theme="7" tint="0.59999389629810485"/>
        </patternFill>
      </fill>
    </dxf>
  </rfmt>
  <rfmt sheetId="4" sqref="AF30" start="0" length="0">
    <dxf>
      <fill>
        <patternFill>
          <bgColor theme="7" tint="0.59999389629810485"/>
        </patternFill>
      </fill>
    </dxf>
  </rfmt>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4" sId="4">
    <nc r="R18" t="inlineStr">
      <is>
        <t>DCRS</t>
      </is>
    </nc>
  </rcc>
  <rcc rId="135" sId="4">
    <nc r="R19" t="inlineStr">
      <is>
        <t>DCRS</t>
      </is>
    </nc>
  </rcc>
  <rcc rId="136" sId="4">
    <nc r="R20" t="inlineStr">
      <is>
        <t>DCRS</t>
      </is>
    </nc>
  </rcc>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 sId="4">
    <nc r="P18" t="inlineStr">
      <is>
        <t>CCR</t>
      </is>
    </nc>
  </rcc>
  <rcc rId="138" sId="13">
    <nc r="A47" t="inlineStr">
      <is>
        <t>CCR</t>
      </is>
    </nc>
  </rcc>
  <rcc rId="139" sId="13">
    <nc r="B47" t="inlineStr">
      <is>
        <t>CCR</t>
      </is>
    </nc>
  </rcc>
  <rfmt sheetId="13" sqref="B47">
    <dxf>
      <fill>
        <patternFill patternType="solid">
          <bgColor theme="4" tint="0.39997558519241921"/>
        </patternFill>
      </fill>
    </dxf>
  </rfmt>
  <rcv guid="{A704065A-5B6F-476C-AE5F-F67C013164B0}" action="delete"/>
  <rcv guid="{A704065A-5B6F-476C-AE5F-F67C013164B0}" action="add"/>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P18">
    <dxf>
      <fill>
        <patternFill>
          <bgColor theme="4" tint="0.39997558519241921"/>
        </patternFill>
      </fill>
    </dxf>
  </rfmt>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P18">
    <dxf>
      <fill>
        <patternFill>
          <bgColor theme="5" tint="0.59999389629810485"/>
        </patternFill>
      </fill>
    </dxf>
  </rfmt>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0" sId="4">
    <nc r="R23" t="inlineStr">
      <is>
        <t>DCRS</t>
      </is>
    </nc>
  </rcc>
  <rcv guid="{C6961C98-214A-4770-9A2D-B399A95C6C8B}" action="delete"/>
  <rcv guid="{C6961C98-214A-4770-9A2D-B399A95C6C8B}" action="add"/>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704065A-5B6F-476C-AE5F-F67C013164B0}" action="delete"/>
  <rcv guid="{A704065A-5B6F-476C-AE5F-F67C013164B0}" action="add"/>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 sId="4">
    <oc r="R23" t="inlineStr">
      <is>
        <t>DCRS</t>
      </is>
    </oc>
    <nc r="R23" t="inlineStr">
      <is>
        <t>מיל</t>
      </is>
    </nc>
  </rcc>
  <rcc rId="142" sId="4">
    <nc r="R24" t="inlineStr">
      <is>
        <t>מיל</t>
      </is>
    </nc>
  </rcc>
  <rcc rId="143" sId="4">
    <nc r="R27" t="inlineStr">
      <is>
        <t>מיל</t>
      </is>
    </nc>
  </rcc>
  <rfmt sheetId="4" sqref="R31" start="0" length="0">
    <dxf>
      <font>
        <sz val="5"/>
        <color theme="1"/>
        <name val="Arial"/>
        <family val="2"/>
        <scheme val="minor"/>
      </font>
      <alignment vertical="top"/>
      <border outline="0">
        <right/>
      </border>
    </dxf>
  </rfmt>
  <rfmt sheetId="4" sqref="R32" start="0" length="0">
    <dxf>
      <font>
        <sz val="5"/>
        <color theme="1"/>
        <name val="Arial"/>
        <family val="2"/>
        <scheme val="minor"/>
      </font>
      <alignment vertical="top"/>
      <border outline="0">
        <right/>
      </border>
    </dxf>
  </rfmt>
  <rfmt sheetId="4" sqref="R33" start="0" length="0">
    <dxf>
      <font>
        <sz val="5"/>
        <color theme="1"/>
        <name val="Arial"/>
        <family val="2"/>
        <scheme val="minor"/>
      </font>
      <alignment vertical="top"/>
      <border outline="0">
        <right/>
      </border>
    </dxf>
  </rfmt>
  <rfmt sheetId="4" sqref="R34" start="0" length="0">
    <dxf>
      <font>
        <sz val="5"/>
        <color theme="1"/>
        <name val="Arial"/>
        <family val="2"/>
        <scheme val="minor"/>
      </font>
      <alignment vertical="top"/>
      <border outline="0">
        <right/>
      </border>
    </dxf>
  </rfmt>
  <rcc rId="144" sId="4" odxf="1" dxf="1">
    <nc r="R30" t="inlineStr">
      <is>
        <t>מיל</t>
      </is>
    </nc>
    <ndxf>
      <font>
        <sz val="11"/>
        <color theme="1"/>
        <name val="Arial"/>
        <family val="2"/>
        <scheme val="minor"/>
      </font>
      <alignment vertical="center"/>
      <border outline="0">
        <right style="thin">
          <color indexed="64"/>
        </right>
      </border>
    </ndxf>
  </rcc>
  <rcc rId="145" sId="4" odxf="1" dxf="1">
    <nc r="R31" t="inlineStr">
      <is>
        <t>מיל</t>
      </is>
    </nc>
    <ndxf>
      <font>
        <sz val="11"/>
        <color theme="1"/>
        <name val="Arial"/>
        <family val="2"/>
        <scheme val="minor"/>
      </font>
      <alignment vertical="center"/>
      <border outline="0">
        <right style="thin">
          <color indexed="64"/>
        </right>
      </border>
    </ndxf>
  </rcc>
  <rcc rId="146" sId="4" odxf="1" dxf="1">
    <nc r="R32" t="inlineStr">
      <is>
        <t>מיל</t>
      </is>
    </nc>
    <ndxf>
      <font>
        <sz val="11"/>
        <color theme="1"/>
        <name val="Arial"/>
        <family val="2"/>
        <scheme val="minor"/>
      </font>
      <alignment vertical="center"/>
      <border outline="0">
        <right style="thin">
          <color indexed="64"/>
        </right>
      </border>
    </ndxf>
  </rcc>
  <rcc rId="147" sId="4" odxf="1" dxf="1">
    <nc r="R33" t="inlineStr">
      <is>
        <t>מיל</t>
      </is>
    </nc>
    <ndxf>
      <font>
        <sz val="11"/>
        <color theme="1"/>
        <name val="Arial"/>
        <family val="2"/>
        <scheme val="minor"/>
      </font>
      <alignment vertical="center"/>
      <border outline="0">
        <right style="thin">
          <color indexed="64"/>
        </right>
      </border>
    </ndxf>
  </rcc>
  <rcc rId="148" sId="4" odxf="1" dxf="1">
    <nc r="R34" t="inlineStr">
      <is>
        <t>מיל</t>
      </is>
    </nc>
    <ndxf>
      <font>
        <sz val="11"/>
        <color theme="1"/>
        <name val="Arial"/>
        <family val="2"/>
        <scheme val="minor"/>
      </font>
      <alignment vertical="center"/>
      <border outline="0">
        <right style="thin">
          <color indexed="64"/>
        </right>
      </border>
    </ndxf>
  </rcc>
  <rcc rId="149" sId="5">
    <nc r="R5" t="inlineStr">
      <is>
        <t>מיל</t>
      </is>
    </nc>
  </rcc>
  <rfmt sheetId="5" sqref="R5" start="0" length="2147483647">
    <dxf>
      <font>
        <sz val="10"/>
      </font>
    </dxf>
  </rfmt>
  <rfmt sheetId="5" sqref="R5" start="0" length="2147483647">
    <dxf>
      <font>
        <sz val="11"/>
      </font>
    </dxf>
  </rfmt>
  <rcc rId="150" sId="5" odxf="1" dxf="1">
    <nc r="R6" t="inlineStr">
      <is>
        <t>מיל</t>
      </is>
    </nc>
    <odxf>
      <font>
        <b val="0"/>
        <color auto="1"/>
      </font>
      <border outline="0">
        <left/>
        <top style="thin">
          <color indexed="64"/>
        </top>
      </border>
    </odxf>
    <ndxf>
      <font>
        <b/>
        <color auto="1"/>
      </font>
      <border outline="0">
        <left style="thin">
          <color indexed="64"/>
        </left>
        <top/>
      </border>
    </ndxf>
  </rcc>
  <rcc rId="151" sId="5" odxf="1" dxf="1">
    <nc r="R7" t="inlineStr">
      <is>
        <t>מיל</t>
      </is>
    </nc>
    <odxf>
      <font>
        <sz val="9"/>
        <color auto="1"/>
      </font>
      <fill>
        <patternFill>
          <bgColor theme="9" tint="0.79998168889431442"/>
        </patternFill>
      </fill>
      <border outline="0">
        <top style="thin">
          <color indexed="64"/>
        </top>
      </border>
    </odxf>
    <ndxf>
      <font>
        <sz val="9"/>
        <color auto="1"/>
      </font>
      <fill>
        <patternFill>
          <bgColor theme="9" tint="0.39997558519241921"/>
        </patternFill>
      </fill>
      <border outline="0">
        <top/>
      </border>
    </ndxf>
  </rcc>
  <rcc rId="152" sId="5" odxf="1" dxf="1">
    <nc r="R8"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53" sId="5" odxf="1" dxf="1">
    <nc r="R9"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54" sId="5" odxf="1" dxf="1">
    <nc r="R10"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55" sId="5" odxf="1" dxf="1">
    <nc r="R11"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56" sId="5" odxf="1" dxf="1">
    <nc r="R12" t="inlineStr">
      <is>
        <t>מיל</t>
      </is>
    </nc>
    <odxf>
      <font>
        <sz val="9"/>
        <color auto="1"/>
      </font>
      <border outline="0">
        <top style="thin">
          <color indexed="64"/>
        </top>
      </border>
    </odxf>
    <ndxf>
      <font>
        <sz val="9"/>
        <color auto="1"/>
      </font>
      <border outline="0">
        <top/>
      </border>
    </ndxf>
  </rcc>
  <rcc rId="157" sId="5" odxf="1" dxf="1">
    <nc r="R13" t="inlineStr">
      <is>
        <t>מיל</t>
      </is>
    </nc>
    <odxf>
      <font>
        <b val="0"/>
        <color auto="1"/>
      </font>
      <border outline="0">
        <left/>
        <top style="thin">
          <color indexed="64"/>
        </top>
      </border>
    </odxf>
    <ndxf>
      <font>
        <b/>
        <color auto="1"/>
      </font>
      <border outline="0">
        <left style="thin">
          <color indexed="64"/>
        </left>
        <top/>
      </border>
    </ndxf>
  </rcc>
  <rcc rId="158" sId="5" odxf="1" dxf="1">
    <nc r="R14" t="inlineStr">
      <is>
        <t>מיל</t>
      </is>
    </nc>
    <odxf>
      <font>
        <sz val="9"/>
        <color auto="1"/>
      </font>
      <fill>
        <patternFill>
          <bgColor theme="9" tint="0.79998168889431442"/>
        </patternFill>
      </fill>
      <border outline="0">
        <top style="thin">
          <color indexed="64"/>
        </top>
      </border>
    </odxf>
    <ndxf>
      <font>
        <sz val="9"/>
        <color auto="1"/>
      </font>
      <fill>
        <patternFill>
          <bgColor theme="9" tint="0.39997558519241921"/>
        </patternFill>
      </fill>
      <border outline="0">
        <top/>
      </border>
    </ndxf>
  </rcc>
  <rcc rId="159" sId="5" odxf="1" dxf="1">
    <nc r="R15"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60" sId="5" odxf="1" dxf="1">
    <nc r="R16"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61" sId="5" odxf="1" dxf="1">
    <nc r="R17"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62" sId="5" odxf="1" dxf="1">
    <nc r="R18"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63" sId="5" odxf="1" dxf="1">
    <nc r="R19" t="inlineStr">
      <is>
        <t>מיל</t>
      </is>
    </nc>
    <odxf>
      <font>
        <b val="0"/>
        <color auto="1"/>
      </font>
      <border outline="0">
        <left/>
        <top style="thin">
          <color indexed="64"/>
        </top>
      </border>
    </odxf>
    <ndxf>
      <font>
        <b/>
        <color auto="1"/>
      </font>
      <border outline="0">
        <left style="thin">
          <color indexed="64"/>
        </left>
        <top/>
      </border>
    </ndxf>
  </rcc>
  <rcc rId="164" sId="5" odxf="1" dxf="1">
    <nc r="R20" t="inlineStr">
      <is>
        <t>מיל</t>
      </is>
    </nc>
    <odxf>
      <font>
        <b val="0"/>
        <color auto="1"/>
      </font>
      <border outline="0">
        <left/>
        <top style="thin">
          <color indexed="64"/>
        </top>
      </border>
    </odxf>
    <ndxf>
      <font>
        <b/>
        <color auto="1"/>
      </font>
      <border outline="0">
        <left style="thin">
          <color indexed="64"/>
        </left>
        <top/>
      </border>
    </ndxf>
  </rcc>
  <rcc rId="165" sId="5" odxf="1" dxf="1">
    <nc r="R21"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66" sId="5" odxf="1" dxf="1">
    <nc r="R22"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67" sId="5" odxf="1" dxf="1">
    <nc r="R23" t="inlineStr">
      <is>
        <t>מיל</t>
      </is>
    </nc>
    <odxf>
      <font>
        <b val="0"/>
        <color auto="1"/>
      </font>
      <fill>
        <patternFill>
          <bgColor theme="9" tint="0.79998168889431442"/>
        </patternFill>
      </fill>
      <border outline="0">
        <left/>
        <top style="thin">
          <color indexed="64"/>
        </top>
      </border>
    </odxf>
    <ndxf>
      <font>
        <b/>
        <color auto="1"/>
      </font>
      <fill>
        <patternFill>
          <bgColor theme="9" tint="0.39997558519241921"/>
        </patternFill>
      </fill>
      <border outline="0">
        <left style="thin">
          <color indexed="64"/>
        </left>
        <top/>
      </border>
    </ndxf>
  </rcc>
  <rcc rId="168" sId="5" odxf="1" dxf="1">
    <nc r="R24" t="inlineStr">
      <is>
        <t>מיל</t>
      </is>
    </nc>
    <odxf>
      <font>
        <b val="0"/>
        <color auto="1"/>
      </font>
      <fill>
        <patternFill>
          <bgColor theme="9" tint="0.79998168889431442"/>
        </patternFill>
      </fill>
      <border outline="0">
        <left style="medium">
          <color indexed="64"/>
        </left>
        <top style="thin">
          <color indexed="64"/>
        </top>
      </border>
    </odxf>
    <ndxf>
      <font>
        <b/>
        <color auto="1"/>
      </font>
      <fill>
        <patternFill>
          <bgColor theme="9" tint="0.39997558519241921"/>
        </patternFill>
      </fill>
      <border outline="0">
        <left style="thin">
          <color indexed="64"/>
        </left>
        <top/>
      </border>
    </ndxf>
  </rcc>
  <rcc rId="169" sId="5" odxf="1" dxf="1">
    <nc r="R25" t="inlineStr">
      <is>
        <t>מיל</t>
      </is>
    </nc>
    <odxf>
      <font>
        <b val="0"/>
        <color auto="1"/>
      </font>
      <fill>
        <patternFill>
          <bgColor theme="9" tint="0.79998168889431442"/>
        </patternFill>
      </fill>
      <border outline="0">
        <left style="medium">
          <color indexed="64"/>
        </left>
        <top style="thin">
          <color indexed="64"/>
        </top>
      </border>
    </odxf>
    <ndxf>
      <font>
        <b/>
        <color auto="1"/>
      </font>
      <fill>
        <patternFill>
          <bgColor theme="9" tint="0.39997558519241921"/>
        </patternFill>
      </fill>
      <border outline="0">
        <left style="thin">
          <color indexed="64"/>
        </left>
        <top/>
      </border>
    </ndxf>
  </rcc>
  <rcv guid="{C6961C98-214A-4770-9A2D-B399A95C6C8B}" action="delete"/>
  <rcv guid="{C6961C98-214A-4770-9A2D-B399A95C6C8B}" action="add"/>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0" sId="4">
    <nc r="BD32" t="inlineStr">
      <is>
        <t>Y</t>
      </is>
    </nc>
  </rcc>
  <rfmt sheetId="4" sqref="BD32">
    <dxf>
      <fill>
        <patternFill>
          <bgColor rgb="FFFFFF00"/>
        </patternFill>
      </fill>
    </dxf>
  </rfmt>
  <rcc rId="171" sId="5">
    <nc r="BD10" t="inlineStr">
      <is>
        <t>Y</t>
      </is>
    </nc>
  </rcc>
  <rfmt sheetId="5" sqref="BD10">
    <dxf>
      <fill>
        <patternFill>
          <bgColor rgb="FFFFFF00"/>
        </patternFill>
      </fill>
    </dxf>
  </rfmt>
  <rcc rId="172" sId="5">
    <nc r="BD17" t="inlineStr">
      <is>
        <t>L</t>
      </is>
    </nc>
  </rcc>
  <rfmt sheetId="5" sqref="BD17">
    <dxf>
      <fill>
        <patternFill>
          <bgColor theme="0" tint="-0.34998626667073579"/>
        </patternFill>
      </fill>
    </dxf>
  </rfmt>
  <rfmt sheetId="5" sqref="BD17">
    <dxf>
      <fill>
        <patternFill>
          <bgColor theme="0" tint="-0.249977111117893"/>
        </patternFill>
      </fill>
    </dxf>
  </rfmt>
  <rcv guid="{C5360886-767B-4F33-B24F-A6512AA390CC}" action="delete"/>
  <rcv guid="{C5360886-767B-4F33-B24F-A6512AA390CC}" action="add"/>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3" sId="5">
    <oc r="BD32" t="inlineStr">
      <is>
        <t>ל</t>
      </is>
    </oc>
    <nc r="BD32" t="inlineStr">
      <is>
        <t>ח</t>
      </is>
    </nc>
  </rcc>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 sId="4" odxf="1" dxf="1">
    <nc r="CI17" t="inlineStr">
      <is>
        <t>מסלול</t>
      </is>
    </nc>
    <odxf>
      <fill>
        <patternFill>
          <bgColor theme="7" tint="0.79998168889431442"/>
        </patternFill>
      </fill>
    </odxf>
    <ndxf>
      <fill>
        <patternFill>
          <bgColor theme="0" tint="-0.249977111117893"/>
        </patternFill>
      </fill>
    </ndxf>
  </rcc>
  <rcc rId="175" sId="4" odxf="1" dxf="1">
    <nc r="CI18" t="inlineStr">
      <is>
        <t>מסלול</t>
      </is>
    </nc>
    <odxf>
      <fill>
        <patternFill>
          <bgColor theme="7" tint="0.79998168889431442"/>
        </patternFill>
      </fill>
    </odxf>
    <ndxf>
      <fill>
        <patternFill>
          <bgColor theme="0" tint="-0.249977111117893"/>
        </patternFill>
      </fill>
    </ndxf>
  </rcc>
  <rcc rId="176" sId="4" odxf="1" dxf="1">
    <nc r="CH17" t="inlineStr">
      <is>
        <t>מסלול</t>
      </is>
    </nc>
    <odxf>
      <fill>
        <patternFill>
          <bgColor theme="7" tint="0.79998168889431442"/>
        </patternFill>
      </fill>
    </odxf>
    <ndxf>
      <fill>
        <patternFill>
          <bgColor rgb="FFFFFF00"/>
        </patternFill>
      </fill>
    </ndxf>
  </rcc>
  <rcc rId="177" sId="4" odxf="1" dxf="1">
    <nc r="CH18" t="inlineStr">
      <is>
        <t>מסלול</t>
      </is>
    </nc>
    <odxf>
      <fill>
        <patternFill>
          <bgColor theme="7" tint="0.79998168889431442"/>
        </patternFill>
      </fill>
    </odxf>
    <ndxf>
      <fill>
        <patternFill>
          <bgColor rgb="FFFFFF00"/>
        </patternFill>
      </fill>
    </ndxf>
  </rcc>
  <rcc rId="178" sId="4" odxf="1" dxf="1">
    <nc r="CH19" t="inlineStr">
      <is>
        <t>מסלול</t>
      </is>
    </nc>
    <odxf>
      <fill>
        <patternFill>
          <bgColor theme="7" tint="0.79998168889431442"/>
        </patternFill>
      </fill>
    </odxf>
    <ndxf>
      <fill>
        <patternFill>
          <bgColor rgb="FFFFFF00"/>
        </patternFill>
      </fill>
    </ndxf>
  </rcc>
  <rcc rId="179" sId="4" odxf="1" dxf="1">
    <oc r="BJ19" t="inlineStr">
      <is>
        <t>מיל</t>
      </is>
    </oc>
    <nc r="BJ19" t="inlineStr">
      <is>
        <t>ל</t>
      </is>
    </nc>
    <odxf>
      <fill>
        <patternFill>
          <bgColor theme="4" tint="0.59999389629810485"/>
        </patternFill>
      </fill>
      <border outline="0">
        <right style="thin">
          <color indexed="64"/>
        </right>
      </border>
    </odxf>
    <ndxf>
      <fill>
        <patternFill>
          <bgColor theme="9" tint="0.79998168889431442"/>
        </patternFill>
      </fill>
      <border outline="0">
        <right/>
      </border>
    </ndxf>
  </rcc>
  <rcc rId="180" sId="4" odxf="1" dxf="1">
    <oc r="BJ20" t="inlineStr">
      <is>
        <t>מיל</t>
      </is>
    </oc>
    <nc r="BJ20"/>
    <odxf>
      <fill>
        <patternFill>
          <bgColor theme="4" tint="0.59999389629810485"/>
        </patternFill>
      </fill>
      <border outline="0">
        <right style="thin">
          <color indexed="64"/>
        </right>
        <top/>
      </border>
    </odxf>
    <ndxf>
      <fill>
        <patternFill>
          <bgColor theme="9" tint="0.79998168889431442"/>
        </patternFill>
      </fill>
      <border outline="0">
        <right/>
        <top style="thin">
          <color indexed="64"/>
        </top>
      </border>
    </ndxf>
  </rcc>
  <rcc rId="181" sId="4" odxf="1" dxf="1">
    <oc r="BJ21" t="inlineStr">
      <is>
        <t>מיל</t>
      </is>
    </oc>
    <nc r="BJ21"/>
    <odxf>
      <fill>
        <patternFill>
          <bgColor theme="4" tint="0.59999389629810485"/>
        </patternFill>
      </fill>
      <border outline="0">
        <right style="thin">
          <color indexed="64"/>
        </right>
        <top/>
      </border>
    </odxf>
    <ndxf>
      <fill>
        <patternFill>
          <bgColor theme="9" tint="0.39997558519241921"/>
        </patternFill>
      </fill>
      <border outline="0">
        <right/>
        <top style="thin">
          <color indexed="64"/>
        </top>
      </border>
    </ndxf>
  </rcc>
  <rcc rId="182" sId="4" odxf="1" dxf="1">
    <oc r="BJ22" t="inlineStr">
      <is>
        <t>מיל</t>
      </is>
    </oc>
    <nc r="BJ22" t="inlineStr">
      <is>
        <t>י</t>
      </is>
    </nc>
    <odxf>
      <fill>
        <patternFill>
          <bgColor theme="4" tint="0.59999389629810485"/>
        </patternFill>
      </fill>
      <border outline="0">
        <right style="thin">
          <color indexed="64"/>
        </right>
        <top/>
      </border>
    </odxf>
    <ndxf>
      <fill>
        <patternFill>
          <bgColor theme="9" tint="0.39997558519241921"/>
        </patternFill>
      </fill>
      <border outline="0">
        <right/>
        <top style="thin">
          <color indexed="64"/>
        </top>
      </border>
    </ndxf>
  </rcc>
  <rcc rId="183" sId="4" odxf="1" dxf="1">
    <oc r="BJ23" t="inlineStr">
      <is>
        <t>מיל</t>
      </is>
    </oc>
    <nc r="BJ23" t="inlineStr">
      <is>
        <t>ל</t>
      </is>
    </nc>
    <odxf>
      <fill>
        <patternFill>
          <bgColor theme="4" tint="0.59999389629810485"/>
        </patternFill>
      </fill>
      <border outline="0">
        <right style="thin">
          <color indexed="64"/>
        </right>
      </border>
    </odxf>
    <ndxf>
      <fill>
        <patternFill>
          <bgColor theme="9" tint="0.79998168889431442"/>
        </patternFill>
      </fill>
      <border outline="0">
        <right/>
      </border>
    </ndxf>
  </rcc>
  <rcc rId="184" sId="4" odxf="1" dxf="1">
    <oc r="BJ24" t="inlineStr">
      <is>
        <t>מיל</t>
      </is>
    </oc>
    <nc r="BJ24"/>
    <odxf>
      <fill>
        <patternFill>
          <bgColor theme="4" tint="0.59999389629810485"/>
        </patternFill>
      </fill>
      <border outline="0">
        <right style="thin">
          <color indexed="64"/>
        </right>
        <top/>
      </border>
    </odxf>
    <ndxf>
      <fill>
        <patternFill>
          <bgColor theme="9" tint="0.79998168889431442"/>
        </patternFill>
      </fill>
      <border outline="0">
        <right/>
        <top style="thin">
          <color indexed="64"/>
        </top>
      </border>
    </ndxf>
  </rcc>
  <rcc rId="185" sId="4" odxf="1" dxf="1">
    <oc r="BJ25" t="inlineStr">
      <is>
        <t>מיל</t>
      </is>
    </oc>
    <nc r="BJ25"/>
    <odxf>
      <fill>
        <patternFill>
          <bgColor theme="4" tint="0.59999389629810485"/>
        </patternFill>
      </fill>
      <border outline="0">
        <right style="thin">
          <color indexed="64"/>
        </right>
        <top/>
      </border>
    </odxf>
    <ndxf>
      <fill>
        <patternFill>
          <bgColor theme="9" tint="0.79998168889431442"/>
        </patternFill>
      </fill>
      <border outline="0">
        <right/>
        <top style="thin">
          <color indexed="64"/>
        </top>
      </border>
    </ndxf>
  </rcc>
  <rcc rId="186" sId="4" odxf="1" dxf="1">
    <oc r="BJ26" t="inlineStr">
      <is>
        <t>מיל</t>
      </is>
    </oc>
    <nc r="BJ26" t="inlineStr">
      <is>
        <t>י</t>
      </is>
    </nc>
    <odxf>
      <fill>
        <patternFill>
          <bgColor theme="4" tint="0.59999389629810485"/>
        </patternFill>
      </fill>
      <border outline="0">
        <right style="thin">
          <color indexed="64"/>
        </right>
        <top/>
      </border>
    </odxf>
    <ndxf>
      <fill>
        <patternFill>
          <bgColor theme="9" tint="0.39997558519241921"/>
        </patternFill>
      </fill>
      <border outline="0">
        <right/>
        <top style="thin">
          <color indexed="64"/>
        </top>
      </border>
    </ndxf>
  </rcc>
  <rcc rId="187" sId="4" odxf="1" dxf="1">
    <oc r="BJ27" t="inlineStr">
      <is>
        <t>מיל</t>
      </is>
    </oc>
    <nc r="BJ27" t="inlineStr">
      <is>
        <t>ל</t>
      </is>
    </nc>
    <odxf>
      <fill>
        <patternFill>
          <bgColor theme="4" tint="0.59999389629810485"/>
        </patternFill>
      </fill>
      <border outline="0">
        <right style="thin">
          <color indexed="64"/>
        </right>
      </border>
    </odxf>
    <ndxf>
      <fill>
        <patternFill>
          <bgColor theme="9" tint="0.79998168889431442"/>
        </patternFill>
      </fill>
      <border outline="0">
        <right/>
      </border>
    </ndxf>
  </rcc>
  <rcc rId="188" sId="4" odxf="1" dxf="1">
    <oc r="BJ28" t="inlineStr">
      <is>
        <t>מיל</t>
      </is>
    </oc>
    <nc r="BJ28"/>
    <odxf>
      <fill>
        <patternFill>
          <bgColor theme="4" tint="0.59999389629810485"/>
        </patternFill>
      </fill>
      <border outline="0">
        <right style="thin">
          <color indexed="64"/>
        </right>
        <top/>
      </border>
    </odxf>
    <ndxf>
      <fill>
        <patternFill>
          <bgColor theme="9" tint="0.39997558519241921"/>
        </patternFill>
      </fill>
      <border outline="0">
        <right/>
        <top style="thin">
          <color indexed="64"/>
        </top>
      </border>
    </ndxf>
  </rcc>
  <rcc rId="189" sId="4" odxf="1" dxf="1">
    <oc r="BJ29" t="inlineStr">
      <is>
        <t>מיל</t>
      </is>
    </oc>
    <nc r="BJ29"/>
    <odxf>
      <fill>
        <patternFill>
          <bgColor theme="4" tint="0.59999389629810485"/>
        </patternFill>
      </fill>
      <border outline="0">
        <right style="thin">
          <color indexed="64"/>
        </right>
        <top/>
      </border>
    </odxf>
    <ndxf>
      <fill>
        <patternFill>
          <bgColor theme="9" tint="0.39997558519241921"/>
        </patternFill>
      </fill>
      <border outline="0">
        <right/>
        <top style="thin">
          <color indexed="64"/>
        </top>
      </border>
    </ndxf>
  </rcc>
  <rcc rId="190" sId="4" odxf="1" dxf="1">
    <oc r="BJ30" t="inlineStr">
      <is>
        <t>מיל</t>
      </is>
    </oc>
    <nc r="BJ30" t="inlineStr">
      <is>
        <t>י</t>
      </is>
    </nc>
    <odxf>
      <fill>
        <patternFill>
          <bgColor theme="4" tint="0.59999389629810485"/>
        </patternFill>
      </fill>
      <border outline="0">
        <right style="thin">
          <color indexed="64"/>
        </right>
        <top/>
      </border>
    </odxf>
    <ndxf>
      <fill>
        <patternFill>
          <bgColor theme="9" tint="0.39997558519241921"/>
        </patternFill>
      </fill>
      <border outline="0">
        <right/>
        <top style="thin">
          <color indexed="64"/>
        </top>
      </border>
    </ndxf>
  </rcc>
  <rcc rId="191" sId="4" odxf="1" dxf="1">
    <oc r="BJ31" t="inlineStr">
      <is>
        <t>מיל</t>
      </is>
    </oc>
    <nc r="BJ31" t="inlineStr">
      <is>
        <t>ל</t>
      </is>
    </nc>
    <odxf>
      <fill>
        <patternFill>
          <bgColor theme="4" tint="0.59999389629810485"/>
        </patternFill>
      </fill>
      <border outline="0">
        <right style="thin">
          <color indexed="64"/>
        </right>
      </border>
    </odxf>
    <ndxf>
      <fill>
        <patternFill>
          <bgColor theme="9" tint="0.79998168889431442"/>
        </patternFill>
      </fill>
      <border outline="0">
        <right/>
      </border>
    </ndxf>
  </rcc>
  <rcc rId="192" sId="4" odxf="1" dxf="1">
    <oc r="BJ32" t="inlineStr">
      <is>
        <t>מיל</t>
      </is>
    </oc>
    <nc r="BJ32"/>
    <odxf>
      <fill>
        <patternFill>
          <bgColor theme="4" tint="0.59999389629810485"/>
        </patternFill>
      </fill>
      <border outline="0">
        <right style="thin">
          <color indexed="64"/>
        </right>
        <top/>
      </border>
    </odxf>
    <ndxf>
      <fill>
        <patternFill>
          <bgColor theme="9" tint="0.79998168889431442"/>
        </patternFill>
      </fill>
      <border outline="0">
        <right/>
        <top style="thin">
          <color indexed="64"/>
        </top>
      </border>
    </ndxf>
  </rcc>
  <rcc rId="193" sId="4" odxf="1" dxf="1">
    <oc r="BJ33" t="inlineStr">
      <is>
        <t>מיל</t>
      </is>
    </oc>
    <nc r="BJ33"/>
    <odxf>
      <fill>
        <patternFill>
          <bgColor theme="4" tint="0.59999389629810485"/>
        </patternFill>
      </fill>
      <border outline="0">
        <right style="thin">
          <color indexed="64"/>
        </right>
        <top/>
      </border>
    </odxf>
    <ndxf>
      <fill>
        <patternFill>
          <bgColor theme="9" tint="0.79998168889431442"/>
        </patternFill>
      </fill>
      <border outline="0">
        <right/>
        <top style="thin">
          <color indexed="64"/>
        </top>
      </border>
    </ndxf>
  </rcc>
  <rcc rId="194" sId="4" odxf="1" dxf="1">
    <oc r="BJ34" t="inlineStr">
      <is>
        <t>מיל</t>
      </is>
    </oc>
    <nc r="BJ34" t="inlineStr">
      <is>
        <t>י</t>
      </is>
    </nc>
    <odxf>
      <fill>
        <patternFill>
          <bgColor theme="4" tint="0.59999389629810485"/>
        </patternFill>
      </fill>
      <border outline="0">
        <right style="thin">
          <color indexed="64"/>
        </right>
        <top/>
      </border>
    </odxf>
    <ndxf>
      <fill>
        <patternFill>
          <bgColor theme="9" tint="0.39997558519241921"/>
        </patternFill>
      </fill>
      <border outline="0">
        <right/>
        <top style="thin">
          <color indexed="64"/>
        </top>
      </border>
    </ndxf>
  </rcc>
  <rfmt sheetId="4" sqref="BJ19:BJ34" start="0" length="0">
    <dxf>
      <border>
        <right style="thin">
          <color indexed="64"/>
        </right>
      </border>
    </dxf>
  </rfmt>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F5:CF35" start="0" length="2147483647">
    <dxf>
      <font>
        <sz val="11"/>
      </font>
    </dxf>
  </rfmt>
  <rfmt sheetId="2" sqref="CF5:CF32" start="0" length="2147483647">
    <dxf>
      <font>
        <sz val="11"/>
      </font>
    </dxf>
  </rfmt>
  <rfmt sheetId="3" sqref="CF5:CF35" start="0" length="2147483647">
    <dxf>
      <font>
        <sz val="11"/>
      </font>
    </dxf>
  </rfmt>
  <rfmt sheetId="4" sqref="CF5:CF34" start="0" length="2147483647">
    <dxf>
      <font>
        <sz val="11"/>
      </font>
    </dxf>
  </rfmt>
  <rfmt sheetId="5" sqref="CF5:CF35" start="0" length="2147483647">
    <dxf>
      <font>
        <sz val="11"/>
      </font>
    </dxf>
  </rfmt>
  <rcc rId="195" sId="5" odxf="1" dxf="1">
    <nc r="CF34">
      <f>COUNTIF(AX34:CB34,"י")+COUNTIF(AX34:CB34,"Y")+COUNTIF(AX34:CB34,"2")</f>
    </nc>
    <odxf>
      <border outline="0">
        <bottom/>
      </border>
    </odxf>
    <ndxf>
      <border outline="0">
        <bottom style="thin">
          <color indexed="64"/>
        </bottom>
      </border>
    </ndxf>
  </rcc>
  <rcc rId="196" sId="5" odxf="1" dxf="1">
    <nc r="CG34">
      <f>COUNTIF(AW34:CB34,"ל")+COUNTIF(AW34:CB34,"L")+COUNTIF(AW34:CB34,"ל2")</f>
    </nc>
    <odxf>
      <border outline="0">
        <bottom/>
      </border>
    </odxf>
    <ndxf>
      <border outline="0">
        <bottom style="thin">
          <color indexed="64"/>
        </bottom>
      </border>
    </ndxf>
  </rcc>
  <rfmt sheetId="6" sqref="CF5:CF34" start="0" length="2147483647">
    <dxf>
      <font>
        <sz val="11"/>
      </font>
    </dxf>
  </rfmt>
  <rfmt sheetId="7" sqref="CF5:CF35" start="0" length="2147483647">
    <dxf>
      <font>
        <sz val="11"/>
      </font>
    </dxf>
  </rfmt>
  <rfmt sheetId="8" sqref="CF5:CF35" start="0" length="2147483647">
    <dxf>
      <font>
        <sz val="11"/>
      </font>
    </dxf>
  </rfmt>
  <rfmt sheetId="9" sqref="CF5:CF34" start="0" length="2147483647">
    <dxf>
      <font>
        <sz val="11"/>
      </font>
    </dxf>
  </rfmt>
  <rfmt sheetId="10" sqref="CF5:CF35" start="0" length="2147483647">
    <dxf>
      <font>
        <sz val="11"/>
      </font>
    </dxf>
  </rfmt>
  <rfmt sheetId="11" sqref="CF5:CF34" start="0" length="2147483647">
    <dxf>
      <font>
        <sz val="11"/>
      </font>
    </dxf>
  </rfmt>
  <rfmt sheetId="12" sqref="BL44:BL45" start="0" length="2147483647">
    <dxf>
      <font>
        <sz val="10"/>
      </font>
    </dxf>
  </rfmt>
  <rcc rId="197" sId="12" odxf="1" dxf="1">
    <nc r="CF34">
      <f>COUNTIF(AX34:CB34,"י")+COUNTIF(AX34:CB34,"Y")+COUNTIF(AX34:CB34,"2")</f>
    </nc>
    <odxf>
      <border outline="0">
        <bottom/>
      </border>
    </odxf>
    <ndxf>
      <border outline="0">
        <bottom style="thin">
          <color indexed="64"/>
        </bottom>
      </border>
    </ndxf>
  </rcc>
  <rcc rId="198" sId="12" odxf="1" dxf="1">
    <nc r="CG34">
      <f>COUNTIF(AW34:CB34,"ל")+COUNTIF(AW34:CB34,"L")+COUNTIF(AW34:CB34,"ל2")</f>
    </nc>
    <odxf>
      <border outline="0">
        <bottom/>
      </border>
    </odxf>
    <ndxf>
      <border outline="0">
        <bottom style="thin">
          <color indexed="64"/>
        </bottom>
      </border>
    </ndxf>
  </rcc>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9" sId="4">
    <oc r="BN19" t="inlineStr">
      <is>
        <t>ח</t>
      </is>
    </oc>
    <nc r="BN19" t="inlineStr">
      <is>
        <t>י</t>
      </is>
    </nc>
  </rcc>
  <rcc rId="200" sId="4">
    <oc r="BN20" t="inlineStr">
      <is>
        <t>ח</t>
      </is>
    </oc>
    <nc r="BN20" t="inlineStr">
      <is>
        <t>ל</t>
      </is>
    </nc>
  </rcc>
  <rcv guid="{C5360886-767B-4F33-B24F-A6512AA390CC}" action="delete"/>
  <rcv guid="{C5360886-767B-4F33-B24F-A6512AA390CC}" action="add"/>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1" sId="5">
    <nc r="Y5" t="inlineStr">
      <is>
        <t>כש</t>
      </is>
    </nc>
  </rcc>
  <rcc rId="202" sId="5">
    <nc r="Y6" t="inlineStr">
      <is>
        <t>כש</t>
      </is>
    </nc>
  </rcc>
  <rcc rId="203" sId="5">
    <nc r="Y19" t="inlineStr">
      <is>
        <t>כש</t>
      </is>
    </nc>
  </rcc>
  <rcc rId="204" sId="5">
    <nc r="Y20" t="inlineStr">
      <is>
        <t>כש</t>
      </is>
    </nc>
  </rcc>
  <rcc rId="205" sId="5">
    <nc r="Y26" t="inlineStr">
      <is>
        <t>כש</t>
      </is>
    </nc>
  </rcc>
  <rcc rId="206" sId="5">
    <nc r="O12" t="inlineStr">
      <is>
        <t>כש</t>
      </is>
    </nc>
  </rcc>
  <rcc rId="207" sId="5">
    <nc r="O13" t="inlineStr">
      <is>
        <t>כש</t>
      </is>
    </nc>
  </rcc>
  <rcc rId="208" sId="5">
    <nc r="AE5" t="inlineStr">
      <is>
        <t>כמש</t>
      </is>
    </nc>
  </rcc>
  <rcc rId="209" sId="5">
    <nc r="AE6" t="inlineStr">
      <is>
        <t>כמש</t>
      </is>
    </nc>
  </rcc>
  <rcc rId="210" sId="5">
    <nc r="AG12" t="inlineStr">
      <is>
        <t>כמש</t>
      </is>
    </nc>
  </rcc>
  <rcc rId="211" sId="5">
    <nc r="AG13" t="inlineStr">
      <is>
        <t>כמש</t>
      </is>
    </nc>
  </rcc>
  <rcc rId="212" sId="5">
    <nc r="AG19" t="inlineStr">
      <is>
        <t>כמש</t>
      </is>
    </nc>
  </rcc>
  <rcc rId="213" sId="5">
    <nc r="AG20" t="inlineStr">
      <is>
        <t>כמש</t>
      </is>
    </nc>
  </rcc>
  <rcc rId="214" sId="5">
    <nc r="AI26" t="inlineStr">
      <is>
        <t>כמש</t>
      </is>
    </nc>
  </rcc>
  <rcc rId="215" sId="5">
    <nc r="AI27" t="inlineStr">
      <is>
        <t>כמש</t>
      </is>
    </nc>
  </rcc>
  <rcc rId="216" sId="5">
    <nc r="AI34" t="inlineStr">
      <is>
        <t>כמש</t>
      </is>
    </nc>
  </rcc>
  <rcc rId="217" sId="5">
    <nc r="AI29" t="inlineStr">
      <is>
        <t>כמ</t>
      </is>
    </nc>
  </rcc>
  <rcc rId="218" sId="5">
    <nc r="AE10" t="inlineStr">
      <is>
        <t>כ</t>
      </is>
    </nc>
  </rcc>
  <rcc rId="219" sId="5">
    <nc r="AC7" t="inlineStr">
      <is>
        <t>כ</t>
      </is>
    </nc>
  </rcc>
  <rcc rId="220" sId="5">
    <nc r="AC8" t="inlineStr">
      <is>
        <t>כ</t>
      </is>
    </nc>
  </rcc>
  <rcc rId="221" sId="5">
    <nc r="O27" t="inlineStr">
      <is>
        <t>כש</t>
      </is>
    </nc>
  </rcc>
  <rcc rId="222" sId="5">
    <nc r="O9" t="inlineStr">
      <is>
        <t>כ</t>
      </is>
    </nc>
  </rcc>
  <rcc rId="223" sId="5">
    <nc r="AK8" t="inlineStr">
      <is>
        <t>כמ</t>
      </is>
    </nc>
  </rcc>
  <rcc rId="224" sId="5">
    <nc r="AK15" t="inlineStr">
      <is>
        <t>כמ</t>
      </is>
    </nc>
  </rcc>
  <rcc rId="225" sId="5">
    <nc r="AE33" t="inlineStr">
      <is>
        <t>כש</t>
      </is>
    </nc>
  </rcc>
  <rcc rId="226" sId="5">
    <nc r="AK33" t="inlineStr">
      <is>
        <t>כמש</t>
      </is>
    </nc>
  </rcc>
  <rcc rId="227" sId="5">
    <nc r="AC14" t="inlineStr">
      <is>
        <t>כ</t>
      </is>
    </nc>
  </rcc>
  <rcc rId="228" sId="5">
    <nc r="AC15" t="inlineStr">
      <is>
        <t>כ</t>
      </is>
    </nc>
  </rcc>
  <rcc rId="229" sId="5">
    <nc r="AC17" t="inlineStr">
      <is>
        <t>כ</t>
      </is>
    </nc>
  </rcc>
  <rcc rId="230" sId="5">
    <nc r="W11" t="inlineStr">
      <is>
        <t>כ</t>
      </is>
    </nc>
  </rcc>
  <rcc rId="231" sId="5">
    <nc r="U16" t="inlineStr">
      <is>
        <t>כ</t>
      </is>
    </nc>
  </rcc>
  <rcc rId="232" sId="5">
    <nc r="U21" t="inlineStr">
      <is>
        <t>כ</t>
      </is>
    </nc>
  </rcc>
  <rcc rId="233" sId="5">
    <nc r="W22" t="inlineStr">
      <is>
        <t>כ</t>
      </is>
    </nc>
  </rcc>
  <rcc rId="234" sId="5">
    <nc r="M34" t="inlineStr">
      <is>
        <t>כש</t>
      </is>
    </nc>
  </rcc>
  <rcc rId="235" sId="5">
    <nc r="K25" t="inlineStr">
      <is>
        <t>כ</t>
      </is>
    </nc>
  </rcc>
  <rcc rId="236" sId="5">
    <nc r="K24" t="inlineStr">
      <is>
        <t>כ</t>
      </is>
    </nc>
  </rcc>
  <rcc rId="237" sId="5">
    <nc r="E18" t="inlineStr">
      <is>
        <t>כ</t>
      </is>
    </nc>
  </rcc>
  <rcc rId="238" sId="5">
    <nc r="E23" t="inlineStr">
      <is>
        <t>כ</t>
      </is>
    </nc>
  </rcc>
  <rcc rId="239" sId="5">
    <nc r="G30" t="inlineStr">
      <is>
        <t>כ</t>
      </is>
    </nc>
  </rcc>
  <rcc rId="240" sId="5">
    <nc r="G11" t="inlineStr">
      <is>
        <t>כמ</t>
      </is>
    </nc>
  </rcc>
  <rcc rId="241" sId="5">
    <nc r="G10" t="inlineStr">
      <is>
        <t>כמ</t>
      </is>
    </nc>
  </rcc>
  <rcc rId="242" sId="5">
    <nc r="I14" t="inlineStr">
      <is>
        <t>כמ</t>
      </is>
    </nc>
  </rcc>
  <rcc rId="243" sId="5">
    <nc r="I35" t="inlineStr">
      <is>
        <t>כ</t>
      </is>
    </nc>
  </rcc>
  <rcc rId="244" sId="5">
    <nc r="Q16" t="inlineStr">
      <is>
        <t>כמ</t>
      </is>
    </nc>
  </rcc>
  <rcc rId="245" sId="5">
    <nc r="Q17" t="inlineStr">
      <is>
        <t>כמ</t>
      </is>
    </nc>
  </rcc>
  <rcc rId="246" sId="5">
    <nc r="Q21" t="inlineStr">
      <is>
        <t>כמ</t>
      </is>
    </nc>
  </rcc>
  <rcc rId="247" sId="5">
    <nc r="M31" t="inlineStr">
      <is>
        <t>כ</t>
      </is>
    </nc>
  </rcc>
  <rcc rId="248" sId="5">
    <nc r="K32" t="inlineStr">
      <is>
        <t>כ</t>
      </is>
    </nc>
  </rcc>
  <rcc rId="249" sId="5">
    <nc r="AM9" t="inlineStr">
      <is>
        <t>כמ</t>
      </is>
    </nc>
  </rcc>
  <rcc rId="250" sId="5">
    <nc r="AO18" t="inlineStr">
      <is>
        <t>כמ</t>
      </is>
    </nc>
  </rcc>
  <rcc rId="251" sId="5">
    <nc r="AO22" t="inlineStr">
      <is>
        <t>כמ</t>
      </is>
    </nc>
  </rcc>
  <rcc rId="252" sId="5">
    <nc r="AO23" t="inlineStr">
      <is>
        <t>כמ</t>
      </is>
    </nc>
  </rcc>
  <rcc rId="253" sId="5">
    <nc r="AM24" t="inlineStr">
      <is>
        <t>כמ</t>
      </is>
    </nc>
  </rcc>
  <rcc rId="254" sId="5">
    <nc r="AM25" t="inlineStr">
      <is>
        <t>כמ</t>
      </is>
    </nc>
  </rcc>
  <rcc rId="255" sId="5">
    <nc r="E32" t="inlineStr">
      <is>
        <t>כמ</t>
      </is>
    </nc>
  </rcc>
  <rcc rId="256" sId="5">
    <nc r="M35" t="inlineStr">
      <is>
        <t>כמ</t>
      </is>
    </nc>
  </rcc>
  <rcc rId="257" sId="5">
    <nc r="S30" t="inlineStr">
      <is>
        <t>כמ</t>
      </is>
    </nc>
  </rcc>
  <rcc rId="258" sId="5">
    <nc r="S29" t="inlineStr">
      <is>
        <t>כ</t>
      </is>
    </nc>
  </rcc>
  <rcc rId="259" sId="5">
    <nc r="W28" t="inlineStr">
      <is>
        <t>כ</t>
      </is>
    </nc>
  </rcc>
  <rcc rId="260" sId="5">
    <nc r="U31" t="inlineStr">
      <is>
        <t>כמ</t>
      </is>
    </nc>
  </rcc>
  <rcc rId="261" sId="5">
    <nc r="S28" t="inlineStr">
      <is>
        <t>כמ</t>
      </is>
    </nc>
  </rcc>
  <rcc rId="262" sId="5">
    <nc r="I7" t="inlineStr">
      <is>
        <t>כמ</t>
      </is>
    </nc>
  </rcc>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3" sId="4">
    <oc r="D18" t="inlineStr">
      <is>
        <t>מיל</t>
      </is>
    </oc>
    <nc r="D18"/>
  </rcc>
  <rcc rId="264" sId="4">
    <oc r="D19" t="inlineStr">
      <is>
        <t>מיל</t>
      </is>
    </oc>
    <nc r="D19"/>
  </rcc>
  <rcc rId="265" sId="4">
    <oc r="D20" t="inlineStr">
      <is>
        <t>מיל</t>
      </is>
    </oc>
    <nc r="D20"/>
  </rcc>
  <rcc rId="266" sId="4" odxf="1" dxf="1">
    <oc r="D21" t="inlineStr">
      <is>
        <t>מיל</t>
      </is>
    </oc>
    <nc r="D21"/>
    <odxf>
      <fill>
        <patternFill>
          <bgColor theme="9" tint="0.79998168889431442"/>
        </patternFill>
      </fill>
    </odxf>
    <ndxf>
      <fill>
        <patternFill>
          <bgColor theme="9" tint="0.39997558519241921"/>
        </patternFill>
      </fill>
    </ndxf>
  </rcc>
  <rcc rId="267" sId="4" odxf="1" dxf="1">
    <oc r="D22" t="inlineStr">
      <is>
        <t>מיל</t>
      </is>
    </oc>
    <nc r="D22"/>
    <odxf>
      <fill>
        <patternFill>
          <bgColor theme="9" tint="0.79998168889431442"/>
        </patternFill>
      </fill>
    </odxf>
    <ndxf>
      <fill>
        <patternFill>
          <bgColor theme="9" tint="0.39997558519241921"/>
        </patternFill>
      </fill>
    </ndxf>
  </rcc>
  <rcc rId="268" sId="4">
    <oc r="D23" t="inlineStr">
      <is>
        <t>מיל</t>
      </is>
    </oc>
    <nc r="D23"/>
  </rcc>
  <rcc rId="269" sId="4">
    <oc r="D24" t="inlineStr">
      <is>
        <t>מיל</t>
      </is>
    </oc>
    <nc r="D24"/>
  </rcc>
  <rcc rId="270" sId="4">
    <oc r="D25" t="inlineStr">
      <is>
        <t>מיל</t>
      </is>
    </oc>
    <nc r="D25"/>
  </rcc>
  <rcc rId="271" sId="4">
    <oc r="D26" t="inlineStr">
      <is>
        <t>מיל</t>
      </is>
    </oc>
    <nc r="D26"/>
  </rcc>
  <rcc rId="272" sId="4">
    <oc r="D27" t="inlineStr">
      <is>
        <t>מיל</t>
      </is>
    </oc>
    <nc r="D27"/>
  </rcc>
  <rcc rId="273" sId="4" odxf="1" dxf="1">
    <oc r="D28" t="inlineStr">
      <is>
        <t>מיל</t>
      </is>
    </oc>
    <nc r="D28"/>
    <odxf>
      <fill>
        <patternFill>
          <bgColor theme="9" tint="0.79998168889431442"/>
        </patternFill>
      </fill>
    </odxf>
    <ndxf>
      <fill>
        <patternFill>
          <bgColor theme="9" tint="0.39997558519241921"/>
        </patternFill>
      </fill>
    </ndxf>
  </rcc>
  <rcc rId="274" sId="4" odxf="1" dxf="1">
    <oc r="D29" t="inlineStr">
      <is>
        <t>מיל</t>
      </is>
    </oc>
    <nc r="D29"/>
    <odxf>
      <fill>
        <patternFill>
          <bgColor theme="9" tint="0.79998168889431442"/>
        </patternFill>
      </fill>
    </odxf>
    <ndxf>
      <fill>
        <patternFill>
          <bgColor theme="9" tint="0.39997558519241921"/>
        </patternFill>
      </fill>
    </ndxf>
  </rcc>
  <rcc rId="275" sId="4" odxf="1" dxf="1">
    <oc r="D30" t="inlineStr">
      <is>
        <t>מיל</t>
      </is>
    </oc>
    <nc r="D30"/>
    <odxf>
      <font>
        <sz val="11"/>
        <color theme="1"/>
        <name val="Arial"/>
        <family val="2"/>
        <scheme val="minor"/>
      </font>
      <alignment vertical="center"/>
      <border outline="0">
        <left style="medium">
          <color indexed="64"/>
        </left>
        <right style="thin">
          <color indexed="64"/>
        </right>
      </border>
    </odxf>
    <ndxf>
      <font>
        <sz val="5"/>
        <color theme="1"/>
        <name val="Arial"/>
        <family val="2"/>
        <scheme val="minor"/>
      </font>
      <alignment vertical="top"/>
      <border outline="0">
        <left/>
        <right/>
      </border>
    </ndxf>
  </rcc>
  <rcc rId="276" sId="4">
    <oc r="D31" t="inlineStr">
      <is>
        <t>מיל</t>
      </is>
    </oc>
    <nc r="D31"/>
  </rcc>
  <rcc rId="277" sId="4">
    <oc r="D32" t="inlineStr">
      <is>
        <t>מיל</t>
      </is>
    </oc>
    <nc r="D32"/>
  </rcc>
  <rcc rId="278" sId="4">
    <oc r="D33" t="inlineStr">
      <is>
        <t>מיל</t>
      </is>
    </oc>
    <nc r="D33"/>
  </rcc>
  <rcc rId="279" sId="4">
    <oc r="D34" t="inlineStr">
      <is>
        <t>מיל</t>
      </is>
    </oc>
    <nc r="D34"/>
  </rcc>
  <rcv guid="{C6961C98-214A-4770-9A2D-B399A95C6C8B}" action="delete"/>
  <rcv guid="{C6961C98-214A-4770-9A2D-B399A95C6C8B}" action="add"/>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0" sId="4">
    <nc r="AJ20" t="inlineStr">
      <is>
        <t>ח</t>
      </is>
    </nc>
  </rcc>
  <rm rId="281" sheetId="4" source="AG21" destination="AI21" sourceSheetId="4">
    <rfmt sheetId="4" sqref="AI21" start="0" length="0">
      <dxf>
        <fill>
          <patternFill patternType="solid">
            <bgColor theme="9" tint="0.39997558519241921"/>
          </patternFill>
        </fill>
        <alignment horizontal="center" vertical="center"/>
        <border outline="0">
          <left style="thin">
            <color indexed="64"/>
          </left>
          <right style="medium">
            <color indexed="64"/>
          </right>
          <top style="thin">
            <color indexed="64"/>
          </top>
          <bottom style="thin">
            <color indexed="64"/>
          </bottom>
        </border>
      </dxf>
    </rfmt>
  </rm>
  <rm rId="282" sheetId="4" source="AI22" destination="AG22" sourceSheetId="4">
    <rfmt sheetId="4" sqref="AG22" start="0" length="0">
      <dxf>
        <fill>
          <patternFill patternType="solid">
            <bgColor theme="9" tint="0.39997558519241921"/>
          </patternFill>
        </fill>
        <alignment horizontal="center" vertical="center"/>
        <border outline="0">
          <left style="thin">
            <color indexed="64"/>
          </left>
          <right style="medium">
            <color indexed="64"/>
          </right>
          <bottom style="thin">
            <color indexed="64"/>
          </bottom>
        </border>
      </dxf>
    </rfmt>
  </rm>
  <rcc rId="283" sId="4">
    <nc r="AH22" t="inlineStr">
      <is>
        <t>שבת</t>
      </is>
    </nc>
  </rcc>
  <rfmt sheetId="4" sqref="AG21" start="0" length="0">
    <dxf>
      <fill>
        <patternFill patternType="solid">
          <bgColor theme="9" tint="0.39997558519241921"/>
        </patternFill>
      </fill>
      <border outline="0">
        <left style="thin">
          <color indexed="64"/>
        </left>
        <right style="medium">
          <color indexed="64"/>
        </right>
        <bottom style="thin">
          <color indexed="64"/>
        </bottom>
      </border>
    </dxf>
  </rfmt>
  <rfmt sheetId="4" sqref="AI22" start="0" length="0">
    <dxf>
      <fill>
        <patternFill patternType="solid">
          <bgColor theme="9" tint="0.39997558519241921"/>
        </patternFill>
      </fill>
      <border outline="0">
        <left style="thin">
          <color indexed="64"/>
        </left>
        <right style="medium">
          <color indexed="64"/>
        </right>
        <bottom style="thin">
          <color indexed="64"/>
        </bottom>
      </border>
    </dxf>
  </rfmt>
  <rcmt sheetId="4" cell="AI21" guid="{9DA49010-0768-48A8-93F7-2C1FF1B592F4}" author="Shmuel Fogel" newLength="7"/>
  <rcmt sheetId="4" cell="AG22" guid="{EBB17C00-40FA-40FC-A502-33E8FA015827}" author="Shmuel Fogel" newLength="4"/>
  <rcv guid="{FEBD343F-EB1E-4B3A-B093-25A74DB60DAB}" action="delete"/>
  <rcv guid="{FEBD343F-EB1E-4B3A-B093-25A74DB60DAB}" action="add"/>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4" sId="4">
    <nc r="H19" t="inlineStr">
      <is>
        <t>מ</t>
      </is>
    </nc>
  </rcc>
  <rcc rId="285" sId="4">
    <nc r="J19" t="inlineStr">
      <is>
        <t>מ</t>
      </is>
    </nc>
  </rcc>
  <rcc rId="286" sId="4">
    <nc r="X19" t="inlineStr">
      <is>
        <t>מ</t>
      </is>
    </nc>
  </rcc>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7" sId="4">
    <oc r="H19" t="inlineStr">
      <is>
        <t>מ</t>
      </is>
    </oc>
    <nc r="H19" t="inlineStr">
      <is>
        <t>ח</t>
      </is>
    </nc>
  </rcc>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8" sId="4">
    <oc r="BD26" t="inlineStr">
      <is>
        <t>ל</t>
      </is>
    </oc>
    <nc r="BD26" t="inlineStr">
      <is>
        <t>ח</t>
      </is>
    </nc>
  </rcc>
  <rcc rId="289" sId="4" odxf="1" dxf="1">
    <nc r="BD27" t="inlineStr">
      <is>
        <t>L</t>
      </is>
    </nc>
    <odxf>
      <fill>
        <patternFill>
          <bgColor theme="9" tint="0.79998168889431442"/>
        </patternFill>
      </fill>
    </odxf>
    <ndxf>
      <fill>
        <patternFill>
          <bgColor theme="0" tint="-0.249977111117893"/>
        </patternFill>
      </fill>
    </ndxf>
  </rcc>
  <rcv guid="{C5360886-767B-4F33-B24F-A6512AA390CC}" action="delete"/>
  <rcv guid="{C5360886-767B-4F33-B24F-A6512AA390CC}" action="add"/>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0" sId="4" odxf="1" dxf="1">
    <nc r="J20" t="inlineStr">
      <is>
        <t>מ</t>
      </is>
    </nc>
    <odxf/>
    <ndxf/>
  </rcc>
  <rfmt sheetId="4" sqref="V20" start="0" length="0">
    <dxf>
      <fill>
        <patternFill>
          <bgColor theme="4" tint="0.59999389629810485"/>
        </patternFill>
      </fill>
    </dxf>
  </rfmt>
  <rcc rId="291" sId="4">
    <nc r="V20" t="inlineStr">
      <is>
        <t>מיל</t>
      </is>
    </nc>
  </rcc>
  <rcc rId="292" sId="4" odxf="1" dxf="1">
    <nc r="V27" t="inlineStr">
      <is>
        <t>מיל</t>
      </is>
    </nc>
    <odxf>
      <fill>
        <patternFill>
          <bgColor theme="9" tint="0.79998168889431442"/>
        </patternFill>
      </fill>
    </odxf>
    <ndxf>
      <fill>
        <patternFill>
          <bgColor theme="4" tint="0.59999389629810485"/>
        </patternFill>
      </fill>
    </ndxf>
  </rcc>
  <rcc rId="293" sId="4" odxf="1" dxf="1">
    <nc r="V21" t="inlineStr">
      <is>
        <t>מיל</t>
      </is>
    </nc>
    <odxf>
      <fill>
        <patternFill>
          <bgColor theme="9" tint="0.39997558519241921"/>
        </patternFill>
      </fill>
    </odxf>
    <ndxf>
      <fill>
        <patternFill>
          <bgColor theme="4" tint="0.59999389629810485"/>
        </patternFill>
      </fill>
    </ndxf>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4" sId="4">
    <nc r="AL23" t="inlineStr">
      <is>
        <t>ק</t>
      </is>
    </nc>
  </rcc>
  <rcc rId="295" sId="4">
    <nc r="AL34" t="inlineStr">
      <is>
        <t>ק</t>
      </is>
    </nc>
  </rcc>
  <rcc rId="296" sId="5" odxf="1" dxf="1">
    <nc r="AL8" t="inlineStr">
      <is>
        <t>ק</t>
      </is>
    </nc>
    <odxf>
      <font>
        <color auto="1"/>
      </font>
    </odxf>
    <ndxf>
      <font>
        <sz val="11"/>
        <color theme="1"/>
        <name val="Arial"/>
        <family val="2"/>
        <scheme val="minor"/>
      </font>
    </ndxf>
  </rcc>
  <rcc rId="297" sId="5" odxf="1" dxf="1">
    <nc r="AL17" t="inlineStr">
      <is>
        <t>ק</t>
      </is>
    </nc>
    <odxf>
      <font>
        <color auto="1"/>
      </font>
    </odxf>
    <ndxf>
      <font>
        <sz val="11"/>
        <color theme="1"/>
        <name val="Arial"/>
        <family val="2"/>
        <scheme val="minor"/>
      </font>
    </ndxf>
  </rcc>
  <rcmt sheetId="4" cell="AL23" guid="{2671F191-05E4-43DA-B575-7D1B221862D2}" author="Shmuel Fogel" newLength="9"/>
  <rcmt sheetId="4" cell="AL34" guid="{4B36C3E0-8728-4FBE-BA35-52FF2E9DE613}" author="Shmuel Fogel" newLength="9"/>
  <rcmt sheetId="5" cell="AL8" guid="{744F5B94-E6FD-4617-9BE9-3ABF13768385}" author="Shmuel Fogel" newLength="9"/>
  <rcmt sheetId="5" cell="AL17" guid="{10E2C297-3127-4A87-AFB6-5F73034E0304}" author="Shmuel Fogel" newLength="9"/>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R31" start="0" length="0">
    <dxf>
      <font>
        <sz val="5"/>
        <color auto="1"/>
      </font>
    </dxf>
  </rfmt>
  <rfmt sheetId="5" sqref="R32" start="0" length="0">
    <dxf>
      <font>
        <sz val="5"/>
        <color auto="1"/>
      </font>
    </dxf>
  </rfmt>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8" sId="4">
    <oc r="AZ25" t="inlineStr">
      <is>
        <t>י</t>
      </is>
    </oc>
    <nc r="AZ25" t="inlineStr">
      <is>
        <t>ח</t>
      </is>
    </nc>
  </rcc>
  <rcv guid="{C5360886-767B-4F33-B24F-A6512AA390CC}" action="delete"/>
  <rcv guid="{C5360886-767B-4F33-B24F-A6512AA390CC}" action="add"/>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9" sId="4">
    <nc r="BF17" t="inlineStr">
      <is>
        <t>ח</t>
      </is>
    </nc>
  </rcc>
  <rcmt sheetId="4" cell="BF17" guid="{E841FA1C-8CA9-4266-BB6D-16CD88D3049E}" author="Merabi Kricheli" newLength="35"/>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4" cell="BF17" guid="{00000000-0000-0000-0000-000000000000}" action="delete" author="Merabi Kricheli"/>
  <rcmt sheetId="4" cell="BF17" guid="{08FECDCC-18A2-4F2A-A2E0-0A79054A8E99}" author="Merabi Kricheli" newLength="35"/>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0" sId="4">
    <nc r="V23" t="inlineStr">
      <is>
        <t>מ</t>
      </is>
    </nc>
  </rcc>
  <rcv guid="{C6961C98-214A-4770-9A2D-B399A95C6C8B}" action="delete"/>
  <rcv guid="{C6961C98-214A-4770-9A2D-B399A95C6C8B}" action="add"/>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1" sId="4">
    <nc r="T25" t="inlineStr">
      <is>
        <t>ח</t>
      </is>
    </nc>
  </rcc>
  <rcc rId="302" sId="4">
    <nc r="T24" t="inlineStr">
      <is>
        <t>ח</t>
      </is>
    </nc>
  </rcc>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AH20" start="0" length="0">
    <dxf>
      <border outline="0">
        <left/>
      </border>
    </dxf>
  </rfmt>
  <rfmt sheetId="4" sqref="AH25" start="0" length="0">
    <dxf>
      <border outline="0">
        <left/>
      </border>
    </dxf>
  </rfmt>
  <rcc rId="303" sId="4">
    <nc r="AH25" t="inlineStr">
      <is>
        <t>ח</t>
      </is>
    </nc>
  </rcc>
  <rfmt sheetId="4" sqref="AH25">
    <dxf>
      <fill>
        <patternFill>
          <bgColor theme="4" tint="0.39997558519241921"/>
        </patternFill>
      </fill>
    </dxf>
  </rfmt>
  <rcv guid="{C6961C98-214A-4770-9A2D-B399A95C6C8B}" action="delete"/>
  <rcv guid="{C6961C98-214A-4770-9A2D-B399A95C6C8B}" action="add"/>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4" sId="4">
    <oc r="BX28" t="inlineStr">
      <is>
        <t>פ</t>
      </is>
    </oc>
    <nc r="BX28" t="inlineStr">
      <is>
        <t>י</t>
      </is>
    </nc>
  </rcc>
  <rcc rId="305" sId="4">
    <oc r="BX29" t="inlineStr">
      <is>
        <t>פ</t>
      </is>
    </oc>
    <nc r="BX29" t="inlineStr">
      <is>
        <t>ל</t>
      </is>
    </nc>
  </rcc>
  <rcc rId="306" sId="4">
    <oc r="BX31" t="inlineStr">
      <is>
        <t>ח</t>
      </is>
    </oc>
    <nc r="BX31"/>
  </rcc>
  <rcc rId="307" sId="4">
    <oc r="BX32" t="inlineStr">
      <is>
        <t>ח</t>
      </is>
    </oc>
    <nc r="BX32" t="inlineStr">
      <is>
        <t>י</t>
      </is>
    </nc>
  </rcc>
  <rcc rId="308" sId="4" odxf="1" dxf="1">
    <oc r="BX30" t="inlineStr">
      <is>
        <t>ח</t>
      </is>
    </oc>
    <nc r="BX30"/>
    <ndxf>
      <fill>
        <patternFill>
          <bgColor theme="9" tint="0.79998168889431442"/>
        </patternFill>
      </fill>
      <border outline="0">
        <top/>
      </border>
    </ndxf>
  </rcc>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9" sId="4" odxf="1" dxf="1">
    <oc r="BX24" t="inlineStr">
      <is>
        <t>י</t>
      </is>
    </oc>
    <nc r="BX24" t="inlineStr">
      <is>
        <t>ח</t>
      </is>
    </nc>
    <odxf>
      <fill>
        <patternFill>
          <bgColor theme="9" tint="0.39997558519241921"/>
        </patternFill>
      </fill>
      <border outline="0">
        <top style="thin">
          <color indexed="64"/>
        </top>
      </border>
    </odxf>
    <ndxf>
      <fill>
        <patternFill>
          <bgColor theme="9" tint="0.79998168889431442"/>
        </patternFill>
      </fill>
      <border outline="0">
        <top/>
      </border>
    </ndxf>
  </rcc>
  <rcmt sheetId="4" cell="BX24" guid="{00000000-0000-0000-0000-000000000000}" action="delete" author="Merabi Kricheli"/>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0" sId="4">
    <oc r="BT31" t="inlineStr">
      <is>
        <t>ח</t>
      </is>
    </oc>
    <nc r="BT31" t="inlineStr">
      <is>
        <t>י</t>
      </is>
    </nc>
  </rcc>
  <rcc rId="311" sId="4">
    <nc r="BT26" t="inlineStr">
      <is>
        <t>L</t>
      </is>
    </nc>
  </rcc>
  <rfmt sheetId="4" sqref="BT26">
    <dxf>
      <fill>
        <patternFill>
          <bgColor theme="0" tint="-0.249977111117893"/>
        </patternFill>
      </fill>
    </dxf>
  </rfmt>
  <rcc rId="312" sId="4" odxf="1" dxf="1">
    <oc r="BT27" t="inlineStr">
      <is>
        <t>ח</t>
      </is>
    </oc>
    <nc r="BT27" t="inlineStr">
      <is>
        <t>פ</t>
      </is>
    </nc>
    <ndxf>
      <fill>
        <patternFill>
          <bgColor theme="9" tint="0.79998168889431442"/>
        </patternFill>
      </fill>
    </ndxf>
  </rcc>
  <rcc rId="313" sId="5">
    <nc r="BT20" t="inlineStr">
      <is>
        <t>L</t>
      </is>
    </nc>
  </rcc>
  <rfmt sheetId="5" sqref="BT20">
    <dxf>
      <fill>
        <patternFill>
          <bgColor theme="0" tint="-0.249977111117893"/>
        </patternFill>
      </fill>
    </dxf>
  </rfmt>
  <rcc rId="314" sId="5">
    <oc r="BT21" t="inlineStr">
      <is>
        <t>י</t>
      </is>
    </oc>
    <nc r="BT21" t="inlineStr">
      <is>
        <t>פ</t>
      </is>
    </nc>
  </rcc>
  <rfmt sheetId="5" sqref="BT21">
    <dxf>
      <fill>
        <patternFill>
          <bgColor theme="9" tint="0.79998168889431442"/>
        </patternFill>
      </fill>
    </dxf>
  </rfmt>
  <rcc rId="315" sId="5" odxf="1" dxf="1">
    <nc r="BT7" t="inlineStr">
      <is>
        <t>L</t>
      </is>
    </nc>
    <odxf>
      <fill>
        <patternFill>
          <bgColor theme="9" tint="0.79998168889431442"/>
        </patternFill>
      </fill>
      <border outline="0">
        <top style="thin">
          <color indexed="64"/>
        </top>
      </border>
    </odxf>
    <ndxf>
      <fill>
        <patternFill>
          <bgColor theme="0" tint="-0.249977111117893"/>
        </patternFill>
      </fill>
      <border outline="0">
        <top/>
      </border>
    </ndxf>
  </rcc>
  <rcc rId="316" sId="5" odxf="1" dxf="1">
    <nc r="BT35" t="inlineStr">
      <is>
        <t>L</t>
      </is>
    </nc>
    <odxf>
      <fill>
        <patternFill>
          <bgColor theme="9" tint="0.79998168889431442"/>
        </patternFill>
      </fill>
    </odxf>
    <ndxf>
      <fill>
        <patternFill>
          <bgColor theme="0" tint="-0.249977111117893"/>
        </patternFill>
      </fill>
    </ndxf>
  </rcc>
  <rcv guid="{C5360886-767B-4F33-B24F-A6512AA390CC}" action="delete"/>
  <rcv guid="{C5360886-767B-4F33-B24F-A6512AA390CC}" action="add"/>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7" sId="5">
    <oc r="BD12" t="inlineStr">
      <is>
        <t>ל</t>
      </is>
    </oc>
    <nc r="BD12" t="inlineStr">
      <is>
        <t>פ</t>
      </is>
    </nc>
  </rcc>
  <rfmt sheetId="5" sqref="BD12">
    <dxf>
      <fill>
        <patternFill>
          <bgColor theme="9" tint="0.79998168889431442"/>
        </patternFill>
      </fill>
    </dxf>
  </rfmt>
  <rcc rId="318" sId="5" odxf="1" dxf="1">
    <nc r="BD5" t="inlineStr">
      <is>
        <t>L</t>
      </is>
    </nc>
    <odxf>
      <fill>
        <patternFill>
          <bgColor theme="9" tint="0.39997558519241921"/>
        </patternFill>
      </fill>
      <border outline="0">
        <top/>
      </border>
    </odxf>
    <ndxf>
      <fill>
        <patternFill>
          <bgColor theme="0" tint="-0.249977111117893"/>
        </patternFill>
      </fill>
      <border outline="0">
        <top style="thin">
          <color indexed="64"/>
        </top>
      </border>
    </ndxf>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 sId="4" odxf="1" dxf="1">
    <oc r="BX24" t="inlineStr">
      <is>
        <t>ח</t>
      </is>
    </oc>
    <nc r="BX24" t="inlineStr">
      <is>
        <t>י</t>
      </is>
    </nc>
    <odxf>
      <fill>
        <patternFill>
          <bgColor theme="9" tint="0.79998168889431442"/>
        </patternFill>
      </fill>
      <border outline="0">
        <right/>
        <top/>
      </border>
    </odxf>
    <ndxf>
      <fill>
        <patternFill>
          <bgColor theme="9" tint="0.39997558519241921"/>
        </patternFill>
      </fill>
      <border outline="0">
        <right style="thin">
          <color indexed="64"/>
        </right>
        <top style="thin">
          <color indexed="64"/>
        </top>
      </border>
    </ndxf>
  </rcc>
  <rcc rId="320" sId="4">
    <oc r="BZ25" t="inlineStr">
      <is>
        <t>ל</t>
      </is>
    </oc>
    <nc r="BZ25" t="inlineStr">
      <is>
        <t>ח</t>
      </is>
    </nc>
  </rcc>
  <rcc rId="321" sId="4">
    <oc r="BX25" t="inlineStr">
      <is>
        <t>ח</t>
      </is>
    </oc>
    <nc r="BX25" t="inlineStr">
      <is>
        <t>ל</t>
      </is>
    </nc>
  </rcc>
  <rcmt sheetId="4" cell="BX24" guid="{01B30CC5-DAFE-4083-9ACD-A46A44D32B9B}" author="Merabi Kricheli" newLength="37"/>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2" sId="4">
    <oc r="CB29" t="inlineStr">
      <is>
        <t>ל</t>
      </is>
    </oc>
    <nc r="CB29" t="inlineStr">
      <is>
        <t>י</t>
      </is>
    </nc>
  </rcc>
  <rcc rId="323" sId="4">
    <oc r="BZ28" t="inlineStr">
      <is>
        <t>י</t>
      </is>
    </oc>
    <nc r="BZ28" t="inlineStr">
      <is>
        <t>פ</t>
      </is>
    </nc>
  </rcc>
  <rfmt sheetId="4" sqref="BZ28">
    <dxf>
      <fill>
        <patternFill>
          <bgColor theme="9" tint="0.79998168889431442"/>
        </patternFill>
      </fill>
    </dxf>
  </rfmt>
  <rcc rId="324" sId="4">
    <oc r="AZ29" t="inlineStr">
      <is>
        <t>י</t>
      </is>
    </oc>
    <nc r="AZ29" t="inlineStr">
      <is>
        <t>L</t>
      </is>
    </nc>
  </rcc>
  <rfmt sheetId="4" sqref="AZ29">
    <dxf>
      <fill>
        <patternFill>
          <bgColor theme="0" tint="-0.249977111117893"/>
        </patternFill>
      </fill>
    </dxf>
  </rfmt>
  <rcc rId="325" sId="5">
    <oc r="CB5" t="inlineStr">
      <is>
        <t>פ</t>
      </is>
    </oc>
    <nc r="CB5"/>
  </rcc>
  <rcc rId="326" sId="5">
    <oc r="CB6" t="inlineStr">
      <is>
        <t>פ</t>
      </is>
    </oc>
    <nc r="CB6" t="inlineStr">
      <is>
        <t>י</t>
      </is>
    </nc>
  </rcc>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7" sId="4">
    <nc r="H24" t="inlineStr">
      <is>
        <t>ח</t>
      </is>
    </nc>
  </rcc>
  <rcc rId="328" sId="4">
    <nc r="T23" t="inlineStr">
      <is>
        <t>ח</t>
      </is>
    </nc>
  </rcc>
  <rcv guid="{C6961C98-214A-4770-9A2D-B399A95C6C8B}" action="delete"/>
  <rcv guid="{C6961C98-214A-4770-9A2D-B399A95C6C8B}" action="add"/>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9" sId="5">
    <oc r="BJ5" t="inlineStr">
      <is>
        <t>ל</t>
      </is>
    </oc>
    <nc r="BJ5" t="inlineStr">
      <is>
        <t>פ</t>
      </is>
    </nc>
  </rcc>
  <rcc rId="330" sId="5">
    <nc r="BJ7" t="inlineStr">
      <is>
        <t>ח</t>
      </is>
    </nc>
  </rcc>
  <rcc rId="331" sId="5">
    <oc r="BJ8" t="inlineStr">
      <is>
        <t>י</t>
      </is>
    </oc>
    <nc r="BJ8" t="inlineStr">
      <is>
        <t>ח</t>
      </is>
    </nc>
  </rcc>
  <rcc rId="332" sId="5">
    <oc r="BJ9" t="inlineStr">
      <is>
        <t>ל</t>
      </is>
    </oc>
    <nc r="BJ9" t="inlineStr">
      <is>
        <t>ח</t>
      </is>
    </nc>
  </rcc>
  <rfmt sheetId="5" sqref="BJ5">
    <dxf>
      <fill>
        <patternFill>
          <bgColor theme="9" tint="0.79998168889431442"/>
        </patternFill>
      </fill>
    </dxf>
  </rfmt>
  <rcv guid="{C5360886-767B-4F33-B24F-A6512AA390CC}" action="delete"/>
  <rcv guid="{C5360886-767B-4F33-B24F-A6512AA390CC}" action="add"/>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333" sheetId="4" source="W20" destination="AM20" sourceSheetId="4">
    <rfmt sheetId="4" sqref="AM20" start="0" length="0">
      <dxf>
        <fill>
          <patternFill patternType="solid">
            <bgColor theme="9" tint="0.79998168889431442"/>
          </patternFill>
        </fill>
        <alignment horizontal="center" vertical="center"/>
        <border outline="0">
          <left style="thin">
            <color indexed="64"/>
          </left>
          <right style="medium">
            <color indexed="64"/>
          </right>
          <top style="thin">
            <color indexed="64"/>
          </top>
          <bottom style="thin">
            <color indexed="64"/>
          </bottom>
        </border>
      </dxf>
    </rfmt>
  </rm>
  <rm rId="334" sheetId="4" source="AM24" destination="W24" sourceSheetId="4">
    <rfmt sheetId="4" sqref="W24" start="0" length="0">
      <dxf>
        <fill>
          <patternFill patternType="solid">
            <bgColor theme="9" tint="0.79998168889431442"/>
          </patternFill>
        </fill>
        <alignment horizontal="center" vertical="center"/>
        <border outline="0">
          <left style="thin">
            <color indexed="64"/>
          </left>
          <right style="medium">
            <color indexed="64"/>
          </right>
          <top style="thin">
            <color indexed="64"/>
          </top>
          <bottom style="thin">
            <color indexed="64"/>
          </bottom>
        </border>
      </dxf>
    </rfmt>
  </rm>
  <rfmt sheetId="4" sqref="AM24" start="0" length="0">
    <dxf>
      <fill>
        <patternFill patternType="solid">
          <bgColor theme="9" tint="0.79998168889431442"/>
        </patternFill>
      </fill>
      <border outline="0">
        <left style="thin">
          <color indexed="64"/>
        </left>
        <right style="medium">
          <color indexed="64"/>
        </right>
        <top style="thin">
          <color indexed="64"/>
        </top>
        <bottom style="thin">
          <color indexed="64"/>
        </bottom>
      </border>
    </dxf>
  </rfmt>
  <rfmt sheetId="4" sqref="W20" start="0" length="0">
    <dxf>
      <fill>
        <patternFill patternType="solid">
          <bgColor theme="9" tint="0.79998168889431442"/>
        </patternFill>
      </fill>
      <border outline="0">
        <left style="thin">
          <color indexed="64"/>
        </left>
        <right style="medium">
          <color indexed="64"/>
        </right>
        <top style="thin">
          <color indexed="64"/>
        </top>
        <bottom style="thin">
          <color indexed="64"/>
        </bottom>
      </border>
    </dxf>
  </rfmt>
  <rcc rId="335" sId="4">
    <nc r="AH28" t="inlineStr">
      <is>
        <t>שישי</t>
      </is>
    </nc>
  </rcc>
  <rfmt sheetId="4" sqref="AH28">
    <dxf>
      <fill>
        <patternFill>
          <bgColor rgb="FFFF66CC"/>
        </patternFill>
      </fill>
    </dxf>
  </rfmt>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6" sId="4">
    <nc r="AJ24" t="inlineStr">
      <is>
        <t>הרצליה</t>
      </is>
    </nc>
  </rcc>
  <rcc rId="337" sId="4">
    <nc r="AL24" t="inlineStr">
      <is>
        <t>הרצליה</t>
      </is>
    </nc>
  </rcc>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8" sId="4" odxf="1" dxf="1">
    <nc r="AH24" t="inlineStr">
      <is>
        <t>ח</t>
      </is>
    </nc>
    <odxf>
      <fill>
        <patternFill>
          <bgColor theme="9" tint="0.79998168889431442"/>
        </patternFill>
      </fill>
      <border outline="0">
        <left style="medium">
          <color indexed="64"/>
        </left>
      </border>
    </odxf>
    <ndxf>
      <fill>
        <patternFill>
          <bgColor theme="4" tint="0.39997558519241921"/>
        </patternFill>
      </fill>
      <border outline="0">
        <left/>
      </border>
    </ndxf>
  </rcc>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9" sId="4">
    <oc r="V13" t="inlineStr">
      <is>
        <t>מיל</t>
      </is>
    </oc>
    <nc r="V13"/>
  </rcc>
  <rcv guid="{C6961C98-214A-4770-9A2D-B399A95C6C8B}" action="delete"/>
  <rcv guid="{C6961C98-214A-4770-9A2D-B399A95C6C8B}" action="add"/>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0" sId="4">
    <nc r="V17" t="inlineStr">
      <is>
        <t>ח</t>
      </is>
    </nc>
  </rcc>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1" sId="4">
    <nc r="D32" t="inlineStr">
      <is>
        <t>contel</t>
      </is>
    </nc>
  </rcc>
  <rfmt sheetId="4" sqref="AB30" start="0" length="0">
    <dxf>
      <font>
        <sz val="11"/>
        <color theme="1"/>
        <name val="Arial"/>
        <family val="2"/>
        <scheme val="minor"/>
      </font>
      <fill>
        <patternFill>
          <bgColor theme="9" tint="0.79998168889431442"/>
        </patternFill>
      </fill>
      <alignment vertical="center"/>
      <border outline="0">
        <left style="medium">
          <color indexed="64"/>
        </left>
        <right style="thin">
          <color indexed="64"/>
        </right>
      </border>
    </dxf>
  </rfmt>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2" sId="4">
    <nc r="D27" t="inlineStr">
      <is>
        <t>contel</t>
      </is>
    </nc>
  </rcc>
  <rcc rId="343" sId="4">
    <nc r="D31" t="inlineStr">
      <is>
        <t>contel</t>
      </is>
    </nc>
  </rcc>
  <rcc rId="344" sId="4">
    <nc r="D24" t="inlineStr">
      <is>
        <t>contel</t>
      </is>
    </nc>
  </rcc>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5" sId="4">
    <nc r="P25" t="inlineStr">
      <is>
        <t>ח</t>
      </is>
    </nc>
  </rcc>
  <rcc rId="346" sId="4">
    <nc r="V24" t="inlineStr">
      <is>
        <t>מ</t>
      </is>
    </nc>
  </rcc>
  <rcc rId="347" sId="4">
    <nc r="V25" t="inlineStr">
      <is>
        <t>מיל</t>
      </is>
    </nc>
  </rcc>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8" sId="4">
    <nc r="AB24" t="inlineStr">
      <is>
        <t>מ</t>
      </is>
    </nc>
  </rcc>
  <rcc rId="349" sId="4">
    <nc r="AB25" t="inlineStr">
      <is>
        <t>מ</t>
      </is>
    </nc>
  </rcc>
  <rcc rId="350" sId="4" odxf="1" dxf="1">
    <nc r="AB26" t="inlineStr">
      <is>
        <t>מ</t>
      </is>
    </nc>
    <odxf>
      <fill>
        <patternFill>
          <bgColor theme="4" tint="0.39997558519241921"/>
        </patternFill>
      </fill>
    </odxf>
    <ndxf>
      <fill>
        <patternFill>
          <bgColor theme="9" tint="0.79998168889431442"/>
        </patternFill>
      </fill>
    </ndxf>
  </rcc>
  <rcc rId="351" sId="4">
    <nc r="AB27" t="inlineStr">
      <is>
        <t>מ</t>
      </is>
    </nc>
  </rcc>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AD15">
    <dxf>
      <fill>
        <patternFill>
          <bgColor theme="5" tint="0.59999389629810485"/>
        </patternFill>
      </fill>
    </dxf>
  </rfmt>
  <rcmt sheetId="5" cell="AD15" guid="{AF4AC42A-0FE0-4153-BDA5-A92E6021E038}" author="Avi Shmueli" newLength="45"/>
  <rcv guid="{9C777CA9-4E1C-4A90-9032-5D0586052FC8}" action="delete"/>
  <rcv guid="{9C777CA9-4E1C-4A90-9032-5D0586052FC8}" action="add"/>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2" sId="4">
    <nc r="E25" t="inlineStr">
      <is>
        <t>כ</t>
      </is>
    </nc>
  </rcc>
  <rcc rId="353" sId="4">
    <oc r="AC25" t="inlineStr">
      <is>
        <t>כ</t>
      </is>
    </oc>
    <nc r="AC25" t="inlineStr">
      <is>
        <t>כמ</t>
      </is>
    </nc>
  </rcc>
  <rcc rId="354" sId="4">
    <oc r="AO25" t="inlineStr">
      <is>
        <t>כמ</t>
      </is>
    </oc>
    <nc r="AO25"/>
  </rcc>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5" sId="4">
    <nc r="G16" t="inlineStr">
      <is>
        <t>כמ</t>
      </is>
    </nc>
  </rcc>
  <rcc rId="356" sId="4">
    <oc r="AO16" t="inlineStr">
      <is>
        <t>כמ</t>
      </is>
    </oc>
    <nc r="AO16"/>
  </rcc>
  <rcmt sheetId="4" cell="G16" guid="{75EEC1BE-245F-431D-826F-9560AAF25330}" author="Avi Manorr" newLength="20"/>
  <rcmt sheetId="4" cell="AO16" guid="{E05C828A-A87B-4493-BCC2-9523D69EE39B}" author="Avi Manorr" newLength="16"/>
  <rcmt sheetId="4" cell="E25" guid="{0F6FAF9A-18DB-40C3-8B98-075A966A8BD2}" author="Avi Manorr" newLength="20"/>
  <rcmt sheetId="4" cell="AO25" guid="{65C17C52-0CCA-442A-97FA-A5F2BE1A16DE}" author="Avi Manorr" newLength="19"/>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7" sId="4">
    <nc r="S19" t="inlineStr">
      <is>
        <t>כמ</t>
      </is>
    </nc>
  </rcc>
  <rcc rId="358" sId="4">
    <oc r="AO19" t="inlineStr">
      <is>
        <t>כמ</t>
      </is>
    </oc>
    <nc r="AO19"/>
  </rcc>
  <rcmt sheetId="4" cell="S19" guid="{1A853F2B-8483-45BB-AA40-091C2D6A9B5A}" author="Avi Manorr" newLength="20"/>
  <rcmt sheetId="4" cell="AO19" guid="{59CC681F-9C57-426D-8527-6072C60ABFBD}" author="Avi Manorr" newLength="17"/>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6961C98-214A-4770-9A2D-B399A95C6C8B}" action="delete"/>
  <rcv guid="{C6961C98-214A-4770-9A2D-B399A95C6C8B}" action="add"/>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5360886-767B-4F33-B24F-A6512AA390CC}" action="delete"/>
  <rcv guid="{C5360886-767B-4F33-B24F-A6512AA390CC}" action="add"/>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4" cell="BD32" guid="{16CEC3B2-B6CA-47B1-A25C-CC8CEE15727F}" author="Merabi Kricheli" newLength="37"/>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9" sId="2">
    <oc r="AV5">
      <v>5</v>
    </oc>
    <nc r="AV5">
      <v>6</v>
    </nc>
  </rcc>
  <rcc rId="360" sId="2">
    <oc r="AV12">
      <v>6</v>
    </oc>
    <nc r="AV12">
      <v>7</v>
    </nc>
  </rcc>
  <rcc rId="361" sId="2">
    <oc r="AV19">
      <v>7</v>
    </oc>
    <nc r="AV19">
      <v>8</v>
    </nc>
  </rcc>
  <rcc rId="362" sId="2">
    <oc r="AV26">
      <v>8</v>
    </oc>
    <nc r="AV26">
      <v>9</v>
    </nc>
  </rcc>
  <rcc rId="363" sId="3">
    <oc r="AV5">
      <v>9</v>
    </oc>
    <nc r="AV5">
      <v>10</v>
    </nc>
  </rcc>
  <rcc rId="364" sId="3">
    <oc r="AV12">
      <v>10</v>
    </oc>
    <nc r="AV12">
      <v>11</v>
    </nc>
  </rcc>
  <rcc rId="365" sId="3">
    <oc r="AV19">
      <v>11</v>
    </oc>
    <nc r="AV19">
      <v>12</v>
    </nc>
  </rcc>
  <rcc rId="366" sId="3">
    <oc r="AV26">
      <v>12</v>
    </oc>
    <nc r="AV26">
      <v>13</v>
    </nc>
  </rcc>
  <rcc rId="367" sId="3">
    <oc r="AV33">
      <v>13</v>
    </oc>
    <nc r="AV33">
      <v>14</v>
    </nc>
  </rcc>
  <rcc rId="368" sId="4">
    <oc r="AV5">
      <v>13</v>
    </oc>
    <nc r="AV5">
      <v>14</v>
    </nc>
  </rcc>
  <rcc rId="369" sId="4">
    <oc r="AV9">
      <v>14</v>
    </oc>
    <nc r="AV9">
      <v>15</v>
    </nc>
  </rcc>
  <rcc rId="370" sId="4">
    <oc r="AV16">
      <v>15</v>
    </oc>
    <nc r="AV16">
      <v>16</v>
    </nc>
  </rcc>
  <rcc rId="371" sId="4">
    <oc r="AV23">
      <v>16</v>
    </oc>
    <nc r="AV23">
      <v>17</v>
    </nc>
  </rcc>
  <rcc rId="372" sId="4">
    <oc r="AV30">
      <v>17</v>
    </oc>
    <nc r="AV30">
      <v>18</v>
    </nc>
  </rcc>
  <rcc rId="373" sId="5">
    <oc r="AV5">
      <v>17</v>
    </oc>
    <nc r="AV5">
      <v>18</v>
    </nc>
  </rcc>
  <rcc rId="374" sId="5">
    <oc r="AV7">
      <v>18</v>
    </oc>
    <nc r="AV7">
      <v>19</v>
    </nc>
  </rcc>
  <rcc rId="375" sId="5">
    <oc r="AV14">
      <v>19</v>
    </oc>
    <nc r="AV14">
      <v>20</v>
    </nc>
  </rcc>
  <rcc rId="376" sId="5">
    <oc r="AV21">
      <v>20</v>
    </oc>
    <nc r="AV21">
      <v>21</v>
    </nc>
  </rcc>
  <rcc rId="377" sId="5">
    <oc r="AV28">
      <v>21</v>
    </oc>
    <nc r="AV28">
      <v>22</v>
    </nc>
  </rcc>
  <rcc rId="378" sId="5">
    <oc r="AV35">
      <v>22</v>
    </oc>
    <nc r="AV35">
      <v>23</v>
    </nc>
  </rcc>
  <rcc rId="379" sId="6">
    <oc r="AV5">
      <v>22</v>
    </oc>
    <nc r="AV5">
      <v>23</v>
    </nc>
  </rcc>
  <rcc rId="380" sId="6">
    <oc r="AV11">
      <v>23</v>
    </oc>
    <nc r="AV11">
      <v>24</v>
    </nc>
  </rcc>
  <rcc rId="381" sId="6">
    <oc r="AV18">
      <v>24</v>
    </oc>
    <nc r="AV18">
      <v>25</v>
    </nc>
  </rcc>
  <rcc rId="382" sId="6">
    <oc r="AV25">
      <v>25</v>
    </oc>
    <nc r="AV25">
      <v>26</v>
    </nc>
  </rcc>
  <rcc rId="383" sId="6">
    <oc r="AV32">
      <v>26</v>
    </oc>
    <nc r="AV32">
      <v>27</v>
    </nc>
  </rcc>
  <rcc rId="384" sId="7">
    <oc r="AV5">
      <v>26</v>
    </oc>
    <nc r="AV5">
      <v>27</v>
    </nc>
  </rcc>
  <rcc rId="385" sId="7">
    <oc r="AV9">
      <v>27</v>
    </oc>
    <nc r="AV9">
      <v>28</v>
    </nc>
  </rcc>
  <rcc rId="386" sId="7">
    <oc r="AV16">
      <v>28</v>
    </oc>
    <nc r="AV16">
      <v>29</v>
    </nc>
  </rcc>
  <rcc rId="387" sId="7">
    <oc r="AV23">
      <v>29</v>
    </oc>
    <nc r="AV23">
      <v>30</v>
    </nc>
  </rcc>
  <rcc rId="388" sId="7">
    <oc r="AV30">
      <v>30</v>
    </oc>
    <nc r="AV30">
      <v>31</v>
    </nc>
  </rcc>
  <rcc rId="389" sId="8">
    <oc r="AV5">
      <v>30</v>
    </oc>
    <nc r="AV5">
      <v>31</v>
    </nc>
  </rcc>
  <rcc rId="390" sId="8">
    <oc r="AV6">
      <v>31</v>
    </oc>
    <nc r="AV6">
      <v>32</v>
    </nc>
  </rcc>
  <rcc rId="391" sId="8">
    <oc r="AV13">
      <v>32</v>
    </oc>
    <nc r="AV13">
      <v>33</v>
    </nc>
  </rcc>
  <rcc rId="392" sId="8">
    <oc r="AV20">
      <v>33</v>
    </oc>
    <nc r="AV20">
      <v>34</v>
    </nc>
  </rcc>
  <rcc rId="393" sId="8">
    <oc r="AV27">
      <v>34</v>
    </oc>
    <nc r="AV27">
      <v>35</v>
    </nc>
  </rcc>
  <rcc rId="394" sId="8">
    <oc r="AV34">
      <v>35</v>
    </oc>
    <nc r="AV34">
      <v>36</v>
    </nc>
  </rcc>
  <rcc rId="395" sId="9">
    <oc r="AV5">
      <v>35</v>
    </oc>
    <nc r="AV5">
      <v>36</v>
    </nc>
  </rcc>
  <rcc rId="396" sId="9">
    <oc r="AV10">
      <v>36</v>
    </oc>
    <nc r="AV10">
      <v>37</v>
    </nc>
  </rcc>
  <rcc rId="397" sId="9">
    <oc r="AV17">
      <v>37</v>
    </oc>
    <nc r="AV17">
      <v>38</v>
    </nc>
  </rcc>
  <rcc rId="398" sId="9">
    <oc r="AV24">
      <v>38</v>
    </oc>
    <nc r="AV24">
      <v>39</v>
    </nc>
  </rcc>
  <rcc rId="399" sId="9">
    <oc r="AV31">
      <v>39</v>
    </oc>
    <nc r="AV31">
      <v>40</v>
    </nc>
  </rcc>
  <rcc rId="400" sId="10">
    <oc r="AV5">
      <v>39</v>
    </oc>
    <nc r="AV5">
      <v>40</v>
    </nc>
  </rcc>
  <rcc rId="401" sId="10">
    <oc r="AV8">
      <v>40</v>
    </oc>
    <nc r="AV8">
      <v>41</v>
    </nc>
  </rcc>
  <rcc rId="402" sId="10">
    <oc r="AV15">
      <v>41</v>
    </oc>
    <nc r="AV15">
      <v>42</v>
    </nc>
  </rcc>
  <rcc rId="403" sId="10">
    <oc r="AV22">
      <v>42</v>
    </oc>
    <nc r="AV22">
      <v>43</v>
    </nc>
  </rcc>
  <rcc rId="404" sId="10">
    <oc r="AV29">
      <v>43</v>
    </oc>
    <nc r="AV29">
      <v>44</v>
    </nc>
  </rcc>
  <rcc rId="405" sId="11">
    <oc r="AV5">
      <v>44</v>
    </oc>
    <nc r="AV5">
      <v>45</v>
    </nc>
  </rcc>
  <rcc rId="406" sId="11">
    <oc r="AV12">
      <v>45</v>
    </oc>
    <nc r="AV12">
      <v>46</v>
    </nc>
  </rcc>
  <rcc rId="407" sId="11">
    <oc r="AV19">
      <v>46</v>
    </oc>
    <nc r="AV19">
      <v>47</v>
    </nc>
  </rcc>
  <rcc rId="408" sId="11">
    <oc r="AV26">
      <v>47</v>
    </oc>
    <nc r="AV26">
      <v>48</v>
    </nc>
  </rcc>
  <rcc rId="409" sId="11">
    <oc r="AV33">
      <v>48</v>
    </oc>
    <nc r="AV33">
      <v>49</v>
    </nc>
  </rcc>
  <rcc rId="410" sId="12">
    <oc r="AV5">
      <v>48</v>
    </oc>
    <nc r="AV5">
      <v>49</v>
    </nc>
  </rcc>
  <rcc rId="411" sId="12">
    <oc r="AV10">
      <v>49</v>
    </oc>
    <nc r="AV10">
      <v>50</v>
    </nc>
  </rcc>
  <rcc rId="412" sId="12">
    <oc r="AV17">
      <v>50</v>
    </oc>
    <nc r="AV17">
      <v>51</v>
    </nc>
  </rcc>
  <rcc rId="413" sId="12">
    <oc r="AV24">
      <v>51</v>
    </oc>
    <nc r="AV24">
      <v>52</v>
    </nc>
  </rcc>
  <rcc rId="414" sId="12">
    <oc r="AV31">
      <v>52</v>
    </oc>
    <nc r="AV31">
      <v>53</v>
    </nc>
  </rcc>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5" sId="5">
    <oc r="BL16" t="inlineStr">
      <is>
        <t>ח</t>
      </is>
    </oc>
    <nc r="BL16" t="inlineStr">
      <is>
        <t>י</t>
      </is>
    </nc>
  </rcc>
  <rcc rId="416" sId="5">
    <oc r="BL17" t="inlineStr">
      <is>
        <t>ח</t>
      </is>
    </oc>
    <nc r="BL17" t="inlineStr">
      <is>
        <t>ל</t>
      </is>
    </nc>
  </rcc>
  <rcc rId="417" sId="5">
    <oc r="BL28" t="inlineStr">
      <is>
        <t>י</t>
      </is>
    </oc>
    <nc r="BL28" t="inlineStr">
      <is>
        <t>ח</t>
      </is>
    </nc>
  </rcc>
  <rcc rId="418" sId="5">
    <oc r="BL29" t="inlineStr">
      <is>
        <t>ל</t>
      </is>
    </oc>
    <nc r="BL29" t="inlineStr">
      <is>
        <t>ח</t>
      </is>
    </nc>
  </rcc>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9" sId="4">
    <nc r="AC20" t="inlineStr">
      <is>
        <t>כ</t>
      </is>
    </nc>
  </rcc>
  <rcc rId="420" sId="4">
    <oc r="M20" t="inlineStr">
      <is>
        <t>כ</t>
      </is>
    </oc>
    <nc r="M20"/>
  </rcc>
  <rcc rId="421" sId="4">
    <nc r="M25" t="inlineStr">
      <is>
        <t>כמ</t>
      </is>
    </nc>
  </rcc>
  <rcv guid="{C6961C98-214A-4770-9A2D-B399A95C6C8B}" action="delete"/>
  <rcv guid="{C6961C98-214A-4770-9A2D-B399A95C6C8B}" action="add"/>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2" sId="4">
    <oc r="AC25" t="inlineStr">
      <is>
        <t>כמ</t>
      </is>
    </oc>
    <nc r="AC25"/>
  </rcc>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3" sId="4" odxf="1" dxf="1">
    <nc r="T30" t="inlineStr">
      <is>
        <t>ח</t>
      </is>
    </nc>
    <odxf>
      <font>
        <sz val="5"/>
      </font>
      <alignment vertical="top"/>
      <border outline="0">
        <right/>
      </border>
    </odxf>
    <ndxf>
      <font>
        <sz val="11"/>
        <color theme="1"/>
        <name val="Arial"/>
        <family val="2"/>
        <scheme val="minor"/>
      </font>
      <alignment vertical="center"/>
      <border outline="0">
        <right style="thin">
          <color indexed="64"/>
        </right>
      </border>
    </ndxf>
  </rcc>
  <rcc rId="424" sId="5" odxf="1" dxf="1">
    <nc r="T7" t="inlineStr">
      <is>
        <t>ח</t>
      </is>
    </nc>
    <odxf>
      <font>
        <b/>
        <sz val="9"/>
        <color auto="1"/>
      </font>
      <border outline="0">
        <left style="thin">
          <color indexed="64"/>
        </left>
      </border>
    </odxf>
    <ndxf>
      <font>
        <b val="0"/>
        <sz val="11"/>
        <color theme="1"/>
        <name val="Arial"/>
        <family val="2"/>
        <scheme val="minor"/>
      </font>
      <border outline="0">
        <left/>
      </border>
    </ndxf>
  </rcc>
  <rcv guid="{C6961C98-214A-4770-9A2D-B399A95C6C8B}" action="delete"/>
  <rcv guid="{C6961C98-214A-4770-9A2D-B399A95C6C8B}" action="add"/>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5" sId="4" odxf="1" dxf="1">
    <oc r="BT28" t="inlineStr">
      <is>
        <t>פ</t>
      </is>
    </oc>
    <nc r="BT28" t="inlineStr">
      <is>
        <t>י</t>
      </is>
    </nc>
    <odxf>
      <fill>
        <patternFill>
          <bgColor theme="9" tint="0.79998168889431442"/>
        </patternFill>
      </fill>
    </odxf>
    <ndxf>
      <fill>
        <patternFill>
          <bgColor theme="9" tint="0.39997558519241921"/>
        </patternFill>
      </fill>
    </ndxf>
  </rcc>
  <rcmt sheetId="4" cell="BT28" guid="{781ADA74-268B-4485-BF07-5FA7A7F997B3}" author="Merabi Kricheli" newLength="38"/>
  <rcv guid="{C5360886-767B-4F33-B24F-A6512AA390CC}" action="delete"/>
  <rcv guid="{C5360886-767B-4F33-B24F-A6512AA390CC}" action="add"/>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6" sId="4" odxf="1" dxf="1">
    <nc r="CI30" t="inlineStr">
      <is>
        <t>מסלול</t>
      </is>
    </nc>
    <odxf>
      <fill>
        <patternFill>
          <bgColor theme="7" tint="0.79998168889431442"/>
        </patternFill>
      </fill>
    </odxf>
    <ndxf>
      <fill>
        <patternFill>
          <bgColor theme="0" tint="-0.249977111117893"/>
        </patternFill>
      </fill>
    </ndxf>
  </rcc>
  <rcc rId="427" sId="4" odxf="1" dxf="1">
    <nc r="CI31" t="inlineStr">
      <is>
        <t>מסלול</t>
      </is>
    </nc>
    <odxf>
      <fill>
        <patternFill>
          <bgColor theme="7" tint="0.79998168889431442"/>
        </patternFill>
      </fill>
    </odxf>
    <ndxf>
      <fill>
        <patternFill>
          <bgColor theme="0" tint="-0.249977111117893"/>
        </patternFill>
      </fill>
    </ndxf>
  </rcc>
  <rcc rId="428" sId="4" odxf="1" dxf="1">
    <nc r="CI32" t="inlineStr">
      <is>
        <t>מסלול</t>
      </is>
    </nc>
    <odxf>
      <fill>
        <patternFill>
          <bgColor theme="7" tint="0.79998168889431442"/>
        </patternFill>
      </fill>
    </odxf>
    <ndxf>
      <fill>
        <patternFill>
          <bgColor theme="0" tint="-0.249977111117893"/>
        </patternFill>
      </fill>
    </ndxf>
  </rcc>
</revisions>
</file>

<file path=xl/revisions/revisionLog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9" sId="4" odxf="1" dxf="1">
    <nc r="CH30" t="inlineStr">
      <is>
        <t>מסלול</t>
      </is>
    </nc>
    <odxf>
      <fill>
        <patternFill>
          <bgColor theme="7" tint="0.79998168889431442"/>
        </patternFill>
      </fill>
    </odxf>
    <ndxf>
      <fill>
        <patternFill>
          <bgColor rgb="FFFFFF00"/>
        </patternFill>
      </fill>
    </ndxf>
  </rcc>
  <rcc rId="430" sId="4" odxf="1" dxf="1">
    <nc r="CH33" t="inlineStr">
      <is>
        <t>מסלול</t>
      </is>
    </nc>
    <odxf>
      <fill>
        <patternFill>
          <bgColor theme="7" tint="0.79998168889431442"/>
        </patternFill>
      </fill>
    </odxf>
    <ndxf>
      <fill>
        <patternFill>
          <bgColor rgb="FFFFFF00"/>
        </patternFill>
      </fill>
    </ndxf>
  </rcc>
</revisions>
</file>

<file path=xl/revisions/revisionLog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4" cell="BX28" guid="{607F6A94-3979-4CFE-B14F-58A27541A407}" author="Merabi Kricheli" newLength="36"/>
</revisions>
</file>

<file path=xl/revisions/revisionLog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1" sId="4">
    <nc r="X30" t="inlineStr">
      <is>
        <t>חיפה</t>
      </is>
    </nc>
  </rcc>
  <rfmt sheetId="4" sqref="X30" start="0" length="2147483647">
    <dxf>
      <font>
        <sz val="8"/>
      </font>
    </dxf>
  </rfmt>
  <rfmt sheetId="4" sqref="X30" start="0" length="2147483647">
    <dxf>
      <font>
        <sz val="9"/>
      </font>
    </dxf>
  </rfmt>
  <rfmt sheetId="4" sqref="X30" start="0" length="2147483647">
    <dxf>
      <font>
        <sz val="10"/>
      </font>
    </dxf>
  </rfmt>
  <rcc rId="432" sId="4" odxf="1" dxf="1">
    <nc r="AF30" t="inlineStr">
      <is>
        <t>חיפה</t>
      </is>
    </nc>
    <odxf>
      <font>
        <sz val="5"/>
      </font>
    </odxf>
    <ndxf>
      <font>
        <sz val="10"/>
      </font>
    </ndxf>
  </rcc>
  <rcc rId="433" sId="4" odxf="1" dxf="1">
    <nc r="N30" t="inlineStr">
      <is>
        <t>חיפה</t>
      </is>
    </nc>
    <odxf>
      <font>
        <sz val="11"/>
        <color theme="1"/>
        <name val="Arial"/>
        <family val="2"/>
        <scheme val="minor"/>
      </font>
      <fill>
        <patternFill>
          <bgColor theme="9" tint="0.79998168889431442"/>
        </patternFill>
      </fill>
      <alignment vertical="center"/>
      <border outline="0">
        <left style="medium">
          <color indexed="64"/>
        </left>
        <right style="thin">
          <color indexed="64"/>
        </right>
      </border>
    </odxf>
    <ndxf>
      <font>
        <sz val="10"/>
        <color theme="1"/>
        <name val="Arial"/>
        <family val="2"/>
        <scheme val="minor"/>
      </font>
      <fill>
        <patternFill>
          <bgColor theme="7" tint="0.59999389629810485"/>
        </patternFill>
      </fill>
      <alignment vertical="top"/>
      <border outline="0">
        <left/>
        <right/>
      </border>
    </ndxf>
  </rcc>
  <rcc rId="434" sId="4" odxf="1" dxf="1">
    <nc r="L30" t="inlineStr">
      <is>
        <t>מ</t>
      </is>
    </nc>
    <odxf>
      <font>
        <sz val="5"/>
      </font>
      <alignment vertical="top"/>
      <border outline="0">
        <left/>
        <right/>
      </border>
    </odxf>
    <ndxf>
      <font>
        <sz val="11"/>
        <color theme="1"/>
        <name val="Arial"/>
        <family val="2"/>
        <scheme val="minor"/>
      </font>
      <alignment vertical="center"/>
      <border outline="0">
        <left style="medium">
          <color indexed="64"/>
        </left>
        <right style="thin">
          <color indexed="64"/>
        </right>
      </border>
    </ndxf>
  </rcc>
  <rfmt sheetId="4" sqref="N30" start="0" length="0">
    <dxf>
      <border>
        <left style="medium">
          <color indexed="64"/>
        </left>
        <right style="thin">
          <color indexed="64"/>
        </right>
        <top style="thin">
          <color indexed="64"/>
        </top>
        <bottom style="thin">
          <color indexed="64"/>
        </bottom>
      </border>
    </dxf>
  </rfmt>
  <rcv guid="{C6961C98-214A-4770-9A2D-B399A95C6C8B}" action="delete"/>
  <rcv guid="{C6961C98-214A-4770-9A2D-B399A95C6C8B}" action="add"/>
</revisions>
</file>

<file path=xl/revisions/revisionLog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5" sId="5">
    <oc r="BX6" t="inlineStr">
      <is>
        <t>י</t>
      </is>
    </oc>
    <nc r="BX6" t="inlineStr">
      <is>
        <t>פ</t>
      </is>
    </nc>
  </rcc>
  <rfmt sheetId="5" sqref="BX6">
    <dxf>
      <fill>
        <patternFill>
          <bgColor theme="9" tint="0.79998168889431442"/>
        </patternFill>
      </fill>
    </dxf>
  </rfmt>
  <rcc rId="436" sId="5">
    <oc r="BX18" t="inlineStr">
      <is>
        <t>י</t>
      </is>
    </oc>
    <nc r="BX18" t="inlineStr">
      <is>
        <t>ח</t>
      </is>
    </nc>
  </rcc>
  <rcc rId="437" sId="5">
    <oc r="BX19" t="inlineStr">
      <is>
        <t>ל</t>
      </is>
    </oc>
    <nc r="BX19" t="inlineStr">
      <is>
        <t>פ</t>
      </is>
    </nc>
  </rcc>
  <rfmt sheetId="5" sqref="BX19">
    <dxf>
      <fill>
        <patternFill>
          <bgColor theme="9" tint="0.79998168889431442"/>
        </patternFill>
      </fill>
    </dxf>
  </rfmt>
  <rcmt sheetId="5" cell="BX18" guid="{00000000-0000-0000-0000-000000000000}" action="delete" author="Merabi Kricheli"/>
</revisions>
</file>

<file path=xl/revisions/revisionLog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8" sId="5">
    <oc r="BX6" t="inlineStr">
      <is>
        <t>פ</t>
      </is>
    </oc>
    <nc r="BX6" t="inlineStr">
      <is>
        <t>י</t>
      </is>
    </nc>
  </rcc>
</revisions>
</file>

<file path=xl/revisions/revisionLog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5" cell="BT5" guid="{00000000-0000-0000-0000-000000000000}" action="delete" author="Merabi Kricheli"/>
</revisions>
</file>

<file path=xl/revisions/revisionLog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6" cell="BN22" guid="{FC398F74-5DBA-480A-B468-CB663F4E887C}" author="Merabi Kricheli" newLength="40"/>
</revisions>
</file>

<file path=xl/revisions/revisionLog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9" sId="5" odxf="1" dxf="1">
    <oc r="BR24" t="inlineStr">
      <is>
        <t>L</t>
      </is>
    </oc>
    <nc r="BR24"/>
    <odxf>
      <fill>
        <patternFill>
          <bgColor theme="0" tint="-0.249977111117893"/>
        </patternFill>
      </fill>
    </odxf>
    <ndxf>
      <fill>
        <patternFill>
          <bgColor theme="9" tint="0.79998168889431442"/>
        </patternFill>
      </fill>
    </ndxf>
  </rcc>
</revisions>
</file>

<file path=xl/revisions/revisionLog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0" sId="5">
    <oc r="BJ9" t="inlineStr">
      <is>
        <t>ח</t>
      </is>
    </oc>
    <nc r="BJ9" t="inlineStr">
      <is>
        <t>ל</t>
      </is>
    </nc>
  </rcc>
</revisions>
</file>

<file path=xl/revisions/revisionLog1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1" sId="4">
    <oc r="AD32" t="inlineStr">
      <is>
        <t>ק</t>
      </is>
    </oc>
    <nc r="AD32"/>
  </rcc>
  <rcv guid="{9C777CA9-4E1C-4A90-9032-5D0586052FC8}" action="delete"/>
  <rcv guid="{9C777CA9-4E1C-4A90-9032-5D0586052FC8}" action="add"/>
</revisions>
</file>

<file path=xl/revisions/revisionLog1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2" sId="4">
    <nc r="L31" t="inlineStr">
      <is>
        <t>מ</t>
      </is>
    </nc>
  </rcc>
  <rcv guid="{C6961C98-214A-4770-9A2D-B399A95C6C8B}" action="delete"/>
  <rcv guid="{C6961C98-214A-4770-9A2D-B399A95C6C8B}" action="add"/>
</revisions>
</file>

<file path=xl/revisions/revisionLog1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3" sId="4">
    <oc r="D31" t="inlineStr">
      <is>
        <t>contel</t>
      </is>
    </oc>
    <nc r="D31"/>
  </rcc>
  <rcc rId="444" sId="4">
    <oc r="D32" t="inlineStr">
      <is>
        <t>contel</t>
      </is>
    </oc>
    <nc r="D32"/>
  </rcc>
</revisions>
</file>

<file path=xl/revisions/revisionLog1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45" sId="4">
    <oc r="V23" t="inlineStr">
      <is>
        <t>מ</t>
      </is>
    </oc>
    <nc r="V23" t="inlineStr">
      <is>
        <t>מיל</t>
      </is>
    </nc>
  </rcc>
  <rcc rId="446" sId="4">
    <oc r="V24" t="inlineStr">
      <is>
        <t>מ</t>
      </is>
    </oc>
    <nc r="V24" t="inlineStr">
      <is>
        <t>מיל</t>
      </is>
    </nc>
  </rcc>
  <rcc rId="447" sId="4">
    <nc r="V30" t="inlineStr">
      <is>
        <t>מיל</t>
      </is>
    </nc>
  </rcc>
  <rcc rId="448" sId="4">
    <nc r="V26" t="inlineStr">
      <is>
        <t>מיל</t>
      </is>
    </nc>
  </rcc>
  <rcc rId="449" sId="4">
    <nc r="V28" t="inlineStr">
      <is>
        <t>מיל</t>
      </is>
    </nc>
  </rcc>
  <rcc rId="450" sId="4">
    <nc r="V29" t="inlineStr">
      <is>
        <t>מיל</t>
      </is>
    </nc>
  </rcc>
  <rcv guid="{9C777CA9-4E1C-4A90-9032-5D0586052FC8}" action="delete"/>
  <rcv guid="{9C777CA9-4E1C-4A90-9032-5D0586052FC8}" action="add"/>
</revisions>
</file>

<file path=xl/revisions/revisionLog1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51" sId="10">
    <nc r="F22" t="inlineStr">
      <is>
        <t>ק</t>
      </is>
    </nc>
  </rcc>
  <rcc rId="452" sId="10">
    <nc r="F23" t="inlineStr">
      <is>
        <t>ק</t>
      </is>
    </nc>
  </rcc>
  <rcc rId="453" sId="10">
    <nc r="F24" t="inlineStr">
      <is>
        <t>ק</t>
      </is>
    </nc>
  </rcc>
  <rcc rId="454" sId="10">
    <nc r="F25" t="inlineStr">
      <is>
        <t>ק</t>
      </is>
    </nc>
  </rcc>
  <rcc rId="455" sId="10">
    <nc r="F26" t="inlineStr">
      <is>
        <t>ק</t>
      </is>
    </nc>
  </rcc>
  <rcc rId="456" sId="10" odxf="1" dxf="1">
    <nc r="T22" t="inlineStr">
      <is>
        <t>ק</t>
      </is>
    </nc>
    <odxf>
      <border outline="0">
        <left/>
      </border>
    </odxf>
    <ndxf>
      <border outline="0">
        <left style="medium">
          <color indexed="64"/>
        </left>
      </border>
    </ndxf>
  </rcc>
  <rcc rId="457" sId="10" odxf="1" dxf="1">
    <nc r="T23" t="inlineStr">
      <is>
        <t>ק</t>
      </is>
    </nc>
    <odxf>
      <border outline="0">
        <left/>
      </border>
    </odxf>
    <ndxf>
      <border outline="0">
        <left style="medium">
          <color indexed="64"/>
        </left>
      </border>
    </ndxf>
  </rcc>
  <rcc rId="458" sId="10" odxf="1" dxf="1">
    <nc r="T24" t="inlineStr">
      <is>
        <t>ק</t>
      </is>
    </nc>
    <odxf>
      <border outline="0">
        <left/>
      </border>
    </odxf>
    <ndxf>
      <border outline="0">
        <left style="medium">
          <color indexed="64"/>
        </left>
      </border>
    </ndxf>
  </rcc>
  <rcc rId="459" sId="10" odxf="1" dxf="1">
    <nc r="T25" t="inlineStr">
      <is>
        <t>ק</t>
      </is>
    </nc>
    <odxf>
      <border outline="0">
        <left/>
      </border>
    </odxf>
    <ndxf>
      <border outline="0">
        <left style="medium">
          <color indexed="64"/>
        </left>
      </border>
    </ndxf>
  </rcc>
  <rcc rId="460" sId="10" odxf="1" dxf="1">
    <nc r="T26" t="inlineStr">
      <is>
        <t>ק</t>
      </is>
    </nc>
    <odxf>
      <border outline="0">
        <left/>
      </border>
    </odxf>
    <ndxf>
      <border outline="0">
        <left style="medium">
          <color indexed="64"/>
        </left>
      </border>
    </ndxf>
  </rcc>
  <rcc rId="461" sId="10" odxf="1" dxf="1">
    <nc r="BN22" t="inlineStr">
      <is>
        <t>ק</t>
      </is>
    </nc>
    <odxf>
      <border outline="0">
        <left style="thin">
          <color indexed="64"/>
        </left>
        <right/>
      </border>
    </odxf>
    <ndxf>
      <border outline="0">
        <left style="medium">
          <color indexed="64"/>
        </left>
        <right style="thin">
          <color indexed="64"/>
        </right>
      </border>
    </ndxf>
  </rcc>
  <rcc rId="462" sId="10" odxf="1" dxf="1">
    <nc r="BN23" t="inlineStr">
      <is>
        <t>ק</t>
      </is>
    </nc>
    <odxf>
      <border outline="0">
        <left style="thin">
          <color indexed="64"/>
        </left>
        <right/>
      </border>
    </odxf>
    <ndxf>
      <border outline="0">
        <left style="medium">
          <color indexed="64"/>
        </left>
        <right style="thin">
          <color indexed="64"/>
        </right>
      </border>
    </ndxf>
  </rcc>
  <rcc rId="463" sId="10" odxf="1" dxf="1">
    <oc r="BN24" t="inlineStr">
      <is>
        <t>י</t>
      </is>
    </oc>
    <nc r="BN24" t="inlineStr">
      <is>
        <t>ק</t>
      </is>
    </nc>
    <odxf>
      <border outline="0">
        <left style="thin">
          <color indexed="64"/>
        </left>
        <right/>
        <top/>
      </border>
    </odxf>
    <ndxf>
      <border outline="0">
        <left style="medium">
          <color indexed="64"/>
        </left>
        <right style="thin">
          <color indexed="64"/>
        </right>
        <top style="thin">
          <color indexed="64"/>
        </top>
      </border>
    </ndxf>
  </rcc>
  <rcc rId="464" sId="10" odxf="1" dxf="1">
    <oc r="BN25" t="inlineStr">
      <is>
        <t>ל</t>
      </is>
    </oc>
    <nc r="BN25" t="inlineStr">
      <is>
        <t>ק</t>
      </is>
    </nc>
    <odxf>
      <font>
        <sz val="12"/>
        <color auto="1"/>
      </font>
      <border outline="0">
        <left style="thin">
          <color indexed="64"/>
        </left>
      </border>
      <protection locked="0"/>
    </odxf>
    <ndxf>
      <font>
        <sz val="11"/>
        <color theme="1"/>
        <name val="Arial"/>
        <family val="2"/>
        <scheme val="minor"/>
      </font>
      <border outline="0">
        <left style="medium">
          <color indexed="64"/>
        </left>
      </border>
      <protection locked="1"/>
    </ndxf>
  </rcc>
  <rcc rId="465" sId="10" odxf="1" dxf="1">
    <nc r="BN26" t="inlineStr">
      <is>
        <t>ק</t>
      </is>
    </nc>
    <odxf>
      <border outline="0">
        <left style="thin">
          <color indexed="64"/>
        </left>
        <right/>
      </border>
    </odxf>
    <ndxf>
      <border outline="0">
        <left style="medium">
          <color indexed="64"/>
        </left>
        <right style="thin">
          <color indexed="64"/>
        </right>
      </border>
    </ndxf>
  </rcc>
  <rcc rId="466" sId="10" odxf="1" dxf="1">
    <nc r="BH22" t="inlineStr">
      <is>
        <t>ק</t>
      </is>
    </nc>
    <odxf>
      <border outline="0">
        <left style="thin">
          <color indexed="64"/>
        </left>
        <right/>
      </border>
    </odxf>
    <ndxf>
      <border outline="0">
        <left style="medium">
          <color indexed="64"/>
        </left>
        <right style="thin">
          <color indexed="64"/>
        </right>
      </border>
    </ndxf>
  </rcc>
  <rcc rId="467" sId="10" odxf="1" dxf="1">
    <oc r="BH23" t="inlineStr">
      <is>
        <t>י</t>
      </is>
    </oc>
    <nc r="BH23" t="inlineStr">
      <is>
        <t>ק</t>
      </is>
    </nc>
    <odxf>
      <border outline="0">
        <left style="thin">
          <color indexed="64"/>
        </left>
        <right/>
        <top/>
      </border>
    </odxf>
    <ndxf>
      <border outline="0">
        <left style="medium">
          <color indexed="64"/>
        </left>
        <right style="thin">
          <color indexed="64"/>
        </right>
        <top style="thin">
          <color indexed="64"/>
        </top>
      </border>
    </ndxf>
  </rcc>
  <rcc rId="468" sId="10" odxf="1" dxf="1">
    <oc r="BH24" t="inlineStr">
      <is>
        <t>ל</t>
      </is>
    </oc>
    <nc r="BH24" t="inlineStr">
      <is>
        <t>ק</t>
      </is>
    </nc>
    <odxf>
      <font>
        <sz val="12"/>
        <color auto="1"/>
      </font>
      <border outline="0">
        <left style="thin">
          <color indexed="64"/>
        </left>
      </border>
      <protection locked="0"/>
    </odxf>
    <ndxf>
      <font>
        <sz val="11"/>
        <color theme="1"/>
        <name val="Arial"/>
        <family val="2"/>
        <scheme val="minor"/>
      </font>
      <border outline="0">
        <left style="medium">
          <color indexed="64"/>
        </left>
      </border>
      <protection locked="1"/>
    </ndxf>
  </rcc>
  <rcc rId="469" sId="10" odxf="1" dxf="1">
    <nc r="BH25" t="inlineStr">
      <is>
        <t>ק</t>
      </is>
    </nc>
    <odxf>
      <border outline="0">
        <left style="thin">
          <color indexed="64"/>
        </left>
        <right/>
      </border>
    </odxf>
    <ndxf>
      <border outline="0">
        <left style="medium">
          <color indexed="64"/>
        </left>
        <right style="thin">
          <color indexed="64"/>
        </right>
      </border>
    </ndxf>
  </rcc>
  <rcc rId="470" sId="10" odxf="1" dxf="1">
    <nc r="BH26" t="inlineStr">
      <is>
        <t>ק</t>
      </is>
    </nc>
    <odxf>
      <border outline="0">
        <left style="thin">
          <color indexed="64"/>
        </left>
        <right/>
      </border>
    </odxf>
    <ndxf>
      <border outline="0">
        <left style="medium">
          <color indexed="64"/>
        </left>
        <right style="thin">
          <color indexed="64"/>
        </right>
      </border>
    </ndxf>
  </rcc>
  <rcv guid="{C6961C98-214A-4770-9A2D-B399A95C6C8B}" action="delete"/>
  <rcv guid="{C6961C98-214A-4770-9A2D-B399A95C6C8B}" action="add"/>
</revisions>
</file>

<file path=xl/revisions/revisionLog1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1" sId="10" odxf="1" dxf="1">
    <oc r="BN22" t="inlineStr">
      <is>
        <t>ק</t>
      </is>
    </oc>
    <nc r="BN22"/>
    <odxf>
      <border outline="0">
        <left style="medium">
          <color indexed="64"/>
        </left>
        <right style="thin">
          <color indexed="64"/>
        </right>
      </border>
    </odxf>
    <ndxf>
      <border outline="0">
        <left style="thin">
          <color indexed="64"/>
        </left>
        <right/>
      </border>
    </ndxf>
  </rcc>
  <rcc rId="472" sId="10" odxf="1" dxf="1">
    <oc r="BN23" t="inlineStr">
      <is>
        <t>ק</t>
      </is>
    </oc>
    <nc r="BN23"/>
    <odxf>
      <border outline="0">
        <left style="medium">
          <color indexed="64"/>
        </left>
        <right style="thin">
          <color indexed="64"/>
        </right>
      </border>
    </odxf>
    <ndxf>
      <border outline="0">
        <left style="thin">
          <color indexed="64"/>
        </left>
        <right/>
      </border>
    </ndxf>
  </rcc>
  <rcc rId="473" sId="10" odxf="1" dxf="1">
    <oc r="BN24" t="inlineStr">
      <is>
        <t>ק</t>
      </is>
    </oc>
    <nc r="BN24" t="inlineStr">
      <is>
        <t>י</t>
      </is>
    </nc>
    <odxf>
      <border outline="0">
        <left style="medium">
          <color indexed="64"/>
        </left>
        <right style="thin">
          <color indexed="64"/>
        </right>
        <top style="thin">
          <color indexed="64"/>
        </top>
      </border>
    </odxf>
    <ndxf>
      <border outline="0">
        <left style="thin">
          <color indexed="64"/>
        </left>
        <right/>
        <top/>
      </border>
    </ndxf>
  </rcc>
  <rcc rId="474" sId="10" odxf="1" dxf="1">
    <oc r="BN25" t="inlineStr">
      <is>
        <t>ק</t>
      </is>
    </oc>
    <nc r="BN25" t="inlineStr">
      <is>
        <t>ל</t>
      </is>
    </nc>
    <odxf>
      <font>
        <sz val="11"/>
        <color theme="1"/>
        <name val="Arial"/>
        <family val="2"/>
        <scheme val="minor"/>
      </font>
      <border outline="0">
        <left style="medium">
          <color indexed="64"/>
        </left>
      </border>
      <protection locked="1"/>
    </odxf>
    <ndxf>
      <font>
        <sz val="12"/>
        <color auto="1"/>
        <name val="Arial"/>
        <family val="2"/>
        <scheme val="minor"/>
      </font>
      <border outline="0">
        <left style="thin">
          <color indexed="64"/>
        </left>
      </border>
      <protection locked="0"/>
    </ndxf>
  </rcc>
  <rcc rId="475" sId="10" odxf="1" dxf="1">
    <oc r="BN26" t="inlineStr">
      <is>
        <t>ק</t>
      </is>
    </oc>
    <nc r="BN26"/>
    <odxf>
      <border outline="0">
        <left style="medium">
          <color indexed="64"/>
        </left>
        <right style="thin">
          <color indexed="64"/>
        </right>
      </border>
    </odxf>
    <ndxf>
      <border outline="0">
        <left style="thin">
          <color indexed="64"/>
        </left>
        <right/>
      </border>
    </ndxf>
  </rcc>
  <rcc rId="476" sId="10" odxf="1" dxf="1">
    <nc r="BM22" t="inlineStr">
      <is>
        <t>ק</t>
      </is>
    </nc>
    <odxf>
      <border outline="0">
        <right/>
      </border>
    </odxf>
    <ndxf>
      <border outline="0">
        <right style="thin">
          <color indexed="64"/>
        </right>
      </border>
    </ndxf>
  </rcc>
  <rcc rId="477" sId="10" odxf="1" dxf="1">
    <nc r="BM23" t="inlineStr">
      <is>
        <t>ק</t>
      </is>
    </nc>
    <odxf>
      <border outline="0">
        <right/>
      </border>
    </odxf>
    <ndxf>
      <border outline="0">
        <right style="thin">
          <color indexed="64"/>
        </right>
      </border>
    </ndxf>
  </rcc>
  <rcc rId="478" sId="10" odxf="1" dxf="1">
    <nc r="BM24" t="inlineStr">
      <is>
        <t>ק</t>
      </is>
    </nc>
    <odxf>
      <border outline="0">
        <right/>
      </border>
    </odxf>
    <ndxf>
      <border outline="0">
        <right style="thin">
          <color indexed="64"/>
        </right>
      </border>
    </ndxf>
  </rcc>
  <rcc rId="479" sId="10" odxf="1" dxf="1">
    <nc r="BM25" t="inlineStr">
      <is>
        <t>ק</t>
      </is>
    </nc>
    <odxf>
      <border outline="0">
        <right/>
      </border>
    </odxf>
    <ndxf>
      <border outline="0">
        <right style="thin">
          <color indexed="64"/>
        </right>
      </border>
    </ndxf>
  </rcc>
  <rcc rId="480" sId="10" odxf="1" dxf="1">
    <nc r="BM26" t="inlineStr">
      <is>
        <t>ק</t>
      </is>
    </nc>
    <odxf>
      <border outline="0">
        <right/>
      </border>
    </odxf>
    <ndxf>
      <border outline="0">
        <right style="thin">
          <color indexed="64"/>
        </right>
      </border>
    </ndxf>
  </rcc>
  <rcc rId="481" sId="10" odxf="1" dxf="1">
    <oc r="BH22" t="inlineStr">
      <is>
        <t>ק</t>
      </is>
    </oc>
    <nc r="BH22"/>
    <odxf>
      <border outline="0">
        <left style="medium">
          <color indexed="64"/>
        </left>
      </border>
    </odxf>
    <ndxf>
      <border outline="0">
        <left style="thin">
          <color indexed="64"/>
        </left>
      </border>
    </ndxf>
  </rcc>
  <rcc rId="482" sId="10" odxf="1" dxf="1">
    <oc r="BH23" t="inlineStr">
      <is>
        <t>ק</t>
      </is>
    </oc>
    <nc r="BH23" t="inlineStr">
      <is>
        <t>י</t>
      </is>
    </nc>
    <odxf>
      <border outline="0">
        <left style="medium">
          <color indexed="64"/>
        </left>
      </border>
    </odxf>
    <ndxf>
      <border outline="0">
        <left style="thin">
          <color indexed="64"/>
        </left>
      </border>
    </ndxf>
  </rcc>
  <rcc rId="483" sId="10" odxf="1" dxf="1">
    <oc r="BH24" t="inlineStr">
      <is>
        <t>ק</t>
      </is>
    </oc>
    <nc r="BH24" t="inlineStr">
      <is>
        <t>ל</t>
      </is>
    </nc>
    <odxf>
      <font>
        <sz val="11"/>
        <color theme="1"/>
        <name val="Arial"/>
        <family val="2"/>
        <scheme val="minor"/>
      </font>
      <border outline="0">
        <left style="medium">
          <color indexed="64"/>
        </left>
      </border>
      <protection locked="1"/>
    </odxf>
    <ndxf>
      <font>
        <sz val="12"/>
        <color auto="1"/>
        <name val="Arial"/>
        <family val="2"/>
        <scheme val="minor"/>
      </font>
      <border outline="0">
        <left style="thin">
          <color indexed="64"/>
        </left>
      </border>
      <protection locked="0"/>
    </ndxf>
  </rcc>
  <rcc rId="484" sId="10" odxf="1" dxf="1">
    <oc r="BH25" t="inlineStr">
      <is>
        <t>ק</t>
      </is>
    </oc>
    <nc r="BH25"/>
    <odxf>
      <border outline="0">
        <left style="medium">
          <color indexed="64"/>
        </left>
      </border>
    </odxf>
    <ndxf>
      <border outline="0">
        <left style="thin">
          <color indexed="64"/>
        </left>
      </border>
    </ndxf>
  </rcc>
  <rcc rId="485" sId="10" odxf="1" dxf="1">
    <oc r="BH26" t="inlineStr">
      <is>
        <t>ק</t>
      </is>
    </oc>
    <nc r="BH26"/>
    <odxf>
      <border outline="0">
        <left style="medium">
          <color indexed="64"/>
        </left>
      </border>
    </odxf>
    <ndxf>
      <border outline="0">
        <left style="thin">
          <color indexed="64"/>
        </left>
      </border>
    </ndxf>
  </rcc>
  <rcc rId="486" sId="10" odxf="1" dxf="1">
    <nc r="BG22" t="inlineStr">
      <is>
        <t>ק</t>
      </is>
    </nc>
    <odxf>
      <border outline="0">
        <left style="thin">
          <color indexed="64"/>
        </left>
      </border>
    </odxf>
    <ndxf>
      <border outline="0">
        <left style="medium">
          <color indexed="64"/>
        </left>
      </border>
    </ndxf>
  </rcc>
  <rcc rId="487" sId="10" odxf="1" dxf="1">
    <nc r="BG23" t="inlineStr">
      <is>
        <t>ק</t>
      </is>
    </nc>
    <odxf>
      <border outline="0">
        <left style="thin">
          <color indexed="64"/>
        </left>
        <top/>
      </border>
    </odxf>
    <ndxf>
      <border outline="0">
        <left style="medium">
          <color indexed="64"/>
        </left>
        <top style="thin">
          <color indexed="64"/>
        </top>
      </border>
    </ndxf>
  </rcc>
  <rcc rId="488" sId="10" odxf="1" dxf="1">
    <nc r="BG24" t="inlineStr">
      <is>
        <t>ק</t>
      </is>
    </nc>
    <odxf>
      <border outline="0">
        <left style="thin">
          <color indexed="64"/>
        </left>
        <top/>
      </border>
    </odxf>
    <ndxf>
      <border outline="0">
        <left style="medium">
          <color indexed="64"/>
        </left>
        <top style="thin">
          <color indexed="64"/>
        </top>
      </border>
    </ndxf>
  </rcc>
  <rcc rId="489" sId="10" odxf="1" dxf="1">
    <nc r="BG25" t="inlineStr">
      <is>
        <t>ק</t>
      </is>
    </nc>
    <odxf>
      <border outline="0">
        <left style="thin">
          <color indexed="64"/>
        </left>
      </border>
    </odxf>
    <ndxf>
      <border outline="0">
        <left style="medium">
          <color indexed="64"/>
        </left>
      </border>
    </ndxf>
  </rcc>
  <rcc rId="490" sId="10" odxf="1" dxf="1">
    <nc r="BG26" t="inlineStr">
      <is>
        <t>ק</t>
      </is>
    </nc>
    <odxf>
      <border outline="0">
        <left style="thin">
          <color indexed="64"/>
        </left>
      </border>
    </odxf>
    <ndxf>
      <border outline="0">
        <left style="medium">
          <color indexed="64"/>
        </left>
      </border>
    </ndxf>
  </rcc>
</revisions>
</file>

<file path=xl/revisions/revisionLog1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1" sId="10">
    <nc r="BM27" t="inlineStr">
      <is>
        <t>ח</t>
      </is>
    </nc>
  </rcc>
  <rcc rId="492" sId="10">
    <nc r="BM28" t="inlineStr">
      <is>
        <t>ח</t>
      </is>
    </nc>
  </rcc>
  <rcc rId="493" sId="10" odxf="1" dxf="1">
    <nc r="BM29" t="inlineStr">
      <is>
        <t>ח</t>
      </is>
    </nc>
    <odxf>
      <fill>
        <patternFill>
          <bgColor theme="9" tint="0.79998168889431442"/>
        </patternFill>
      </fill>
    </odxf>
    <ndxf>
      <fill>
        <patternFill>
          <bgColor theme="9" tint="0.39997558519241921"/>
        </patternFill>
      </fill>
    </ndxf>
  </rcc>
  <rcc rId="494" sId="10" odxf="1" dxf="1">
    <nc r="BM30" t="inlineStr">
      <is>
        <t>ח</t>
      </is>
    </nc>
    <odxf>
      <fill>
        <patternFill>
          <bgColor theme="9" tint="0.79998168889431442"/>
        </patternFill>
      </fill>
    </odxf>
    <ndxf>
      <fill>
        <patternFill>
          <bgColor theme="9" tint="0.39997558519241921"/>
        </patternFill>
      </fill>
    </ndxf>
  </rcc>
  <rcc rId="495" sId="10" odxf="1" dxf="1">
    <nc r="BM31" t="inlineStr">
      <is>
        <t>ח</t>
      </is>
    </nc>
    <odxf>
      <fill>
        <patternFill>
          <bgColor theme="9" tint="0.79998168889431442"/>
        </patternFill>
      </fill>
    </odxf>
    <ndxf>
      <fill>
        <patternFill>
          <bgColor theme="9" tint="0.39997558519241921"/>
        </patternFill>
      </fill>
    </ndxf>
  </rcc>
  <rcc rId="496" sId="10" odxf="1" dxf="1">
    <nc r="BM32" t="inlineStr">
      <is>
        <t>ח</t>
      </is>
    </nc>
    <odxf>
      <fill>
        <patternFill>
          <bgColor theme="9" tint="0.79998168889431442"/>
        </patternFill>
      </fill>
    </odxf>
    <ndxf>
      <fill>
        <patternFill>
          <bgColor theme="9" tint="0.39997558519241921"/>
        </patternFill>
      </fill>
    </ndxf>
  </rcc>
  <rcc rId="497" sId="10" odxf="1" dxf="1">
    <nc r="BM33" t="inlineStr">
      <is>
        <t>ח</t>
      </is>
    </nc>
    <odxf>
      <fill>
        <patternFill>
          <bgColor theme="9" tint="0.79998168889431442"/>
        </patternFill>
      </fill>
    </odxf>
    <ndxf>
      <fill>
        <patternFill>
          <bgColor theme="9" tint="0.39997558519241921"/>
        </patternFill>
      </fill>
    </ndxf>
  </rcc>
  <rcc rId="498" sId="10">
    <nc r="BM34" t="inlineStr">
      <is>
        <t>ח</t>
      </is>
    </nc>
  </rcc>
  <rcc rId="499" sId="10">
    <nc r="BM35" t="inlineStr">
      <is>
        <t>ח</t>
      </is>
    </nc>
  </rcc>
</revisions>
</file>

<file path=xl/revisions/revisionLog1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0" sId="4">
    <nc r="H31" t="inlineStr">
      <is>
        <t>ח</t>
      </is>
    </nc>
  </rcc>
  <rcc rId="501" sId="4">
    <nc r="H34" t="inlineStr">
      <is>
        <t>ח</t>
      </is>
    </nc>
  </rcc>
</revisions>
</file>

<file path=xl/revisions/revisionLog1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2" sId="4">
    <nc r="K24" t="inlineStr">
      <is>
        <t>כמ</t>
      </is>
    </nc>
  </rcc>
  <rcc rId="503" sId="4">
    <nc r="W31" t="inlineStr">
      <is>
        <t>כ</t>
      </is>
    </nc>
  </rcc>
  <rcc rId="504" sId="4">
    <oc r="K31" t="inlineStr">
      <is>
        <t>כ</t>
      </is>
    </oc>
    <nc r="K31"/>
  </rcc>
  <rcc rId="505" sId="4">
    <oc r="W24" t="inlineStr">
      <is>
        <t>כמ</t>
      </is>
    </oc>
    <nc r="W24"/>
  </rcc>
  <rcmt sheetId="4" cell="W24" guid="{00000000-0000-0000-0000-000000000000}" action="delete" author="Shmuel Fogel"/>
  <rcmt sheetId="4" cell="K24" guid="{86C7B008-8F5A-43F6-8D48-A4E630A2CAF1}" author="Shmuel Fogel" newLength="5"/>
</revisions>
</file>

<file path=xl/revisions/revisionLog1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X14:X18">
    <dxf>
      <fill>
        <patternFill>
          <bgColor rgb="FFFFFF00"/>
        </patternFill>
      </fill>
    </dxf>
  </rfmt>
  <rcc rId="506" sId="5">
    <nc r="X14" t="inlineStr">
      <is>
        <t>רמון</t>
      </is>
    </nc>
  </rcc>
  <rcc rId="507" sId="5">
    <nc r="X15" t="inlineStr">
      <is>
        <t>רמון</t>
      </is>
    </nc>
  </rcc>
  <rcc rId="508" sId="5">
    <nc r="X16" t="inlineStr">
      <is>
        <t>רמון</t>
      </is>
    </nc>
  </rcc>
  <rcc rId="509" sId="5">
    <nc r="X17" t="inlineStr">
      <is>
        <t>רמון</t>
      </is>
    </nc>
  </rcc>
  <rcc rId="510" sId="5">
    <nc r="X18" t="inlineStr">
      <is>
        <t>רמון</t>
      </is>
    </nc>
  </rcc>
  <rcc rId="511" sId="5" odxf="1" dxf="1">
    <nc r="AF14" t="inlineStr">
      <is>
        <t>רמון</t>
      </is>
    </nc>
    <odxf>
      <fill>
        <patternFill>
          <bgColor theme="9" tint="0.79998168889431442"/>
        </patternFill>
      </fill>
      <border outline="0">
        <left style="medium">
          <color indexed="64"/>
        </left>
      </border>
    </odxf>
    <ndxf>
      <fill>
        <patternFill>
          <bgColor rgb="FFFFFF00"/>
        </patternFill>
      </fill>
      <border outline="0">
        <left/>
      </border>
    </ndxf>
  </rcc>
  <rcc rId="512" sId="5" odxf="1" dxf="1">
    <nc r="AF15" t="inlineStr">
      <is>
        <t>רמון</t>
      </is>
    </nc>
    <odxf>
      <fill>
        <patternFill>
          <bgColor theme="9" tint="0.79998168889431442"/>
        </patternFill>
      </fill>
      <border outline="0">
        <left style="medium">
          <color indexed="64"/>
        </left>
      </border>
    </odxf>
    <ndxf>
      <fill>
        <patternFill>
          <bgColor rgb="FFFFFF00"/>
        </patternFill>
      </fill>
      <border outline="0">
        <left/>
      </border>
    </ndxf>
  </rcc>
  <rcc rId="513" sId="5" odxf="1" dxf="1">
    <nc r="AF16" t="inlineStr">
      <is>
        <t>רמון</t>
      </is>
    </nc>
    <odxf>
      <fill>
        <patternFill>
          <bgColor theme="9" tint="0.79998168889431442"/>
        </patternFill>
      </fill>
      <border outline="0">
        <left style="medium">
          <color indexed="64"/>
        </left>
      </border>
    </odxf>
    <ndxf>
      <fill>
        <patternFill>
          <bgColor rgb="FFFFFF00"/>
        </patternFill>
      </fill>
      <border outline="0">
        <left/>
      </border>
    </ndxf>
  </rcc>
  <rcc rId="514" sId="5" odxf="1" dxf="1">
    <nc r="AF17" t="inlineStr">
      <is>
        <t>רמון</t>
      </is>
    </nc>
    <odxf>
      <fill>
        <patternFill>
          <bgColor theme="9" tint="0.79998168889431442"/>
        </patternFill>
      </fill>
      <border outline="0">
        <left style="medium">
          <color indexed="64"/>
        </left>
      </border>
    </odxf>
    <ndxf>
      <fill>
        <patternFill>
          <bgColor rgb="FFFFFF00"/>
        </patternFill>
      </fill>
      <border outline="0">
        <left/>
      </border>
    </ndxf>
  </rcc>
  <rcc rId="515" sId="5" odxf="1" dxf="1">
    <nc r="AF18" t="inlineStr">
      <is>
        <t>רמון</t>
      </is>
    </nc>
    <odxf>
      <fill>
        <patternFill>
          <bgColor theme="9" tint="0.79998168889431442"/>
        </patternFill>
      </fill>
      <border outline="0">
        <left style="medium">
          <color indexed="64"/>
        </left>
      </border>
    </odxf>
    <ndxf>
      <fill>
        <patternFill>
          <bgColor rgb="FFFFFF00"/>
        </patternFill>
      </fill>
      <border outline="0">
        <left/>
      </border>
    </ndxf>
  </rcc>
</revisions>
</file>

<file path=xl/revisions/revisionLog1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6" sId="4">
    <oc r="G11" t="inlineStr">
      <is>
        <t>כ</t>
      </is>
    </oc>
    <nc r="G11" t="inlineStr">
      <is>
        <t>כש</t>
      </is>
    </nc>
  </rcc>
  <rcc rId="517" sId="4">
    <oc r="Q11" t="inlineStr">
      <is>
        <t>כמ</t>
      </is>
    </oc>
    <nc r="Q11" t="inlineStr">
      <is>
        <t>כמש</t>
      </is>
    </nc>
  </rcc>
  <rcc rId="518" sId="4">
    <oc r="U10" t="inlineStr">
      <is>
        <t>כמ</t>
      </is>
    </oc>
    <nc r="U10" t="inlineStr">
      <is>
        <t>כמש</t>
      </is>
    </nc>
  </rcc>
  <rcc rId="519" sId="4">
    <oc r="AC9" t="inlineStr">
      <is>
        <t>כ</t>
      </is>
    </oc>
    <nc r="AC9" t="inlineStr">
      <is>
        <t>כש</t>
      </is>
    </nc>
  </rcc>
  <rcc rId="520" sId="4">
    <oc r="AC10" t="inlineStr">
      <is>
        <t>כ</t>
      </is>
    </oc>
    <nc r="AC10" t="inlineStr">
      <is>
        <t>כש</t>
      </is>
    </nc>
  </rcc>
  <rcc rId="521" sId="4">
    <oc r="AK9" t="inlineStr">
      <is>
        <t>כמ</t>
      </is>
    </oc>
    <nc r="AK9" t="inlineStr">
      <is>
        <t>כמש</t>
      </is>
    </nc>
  </rcc>
</revisions>
</file>

<file path=xl/revisions/revisionLog1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J30" start="0" length="0">
    <dxf>
      <font>
        <sz val="5"/>
        <color auto="1"/>
      </font>
    </dxf>
  </rfmt>
  <rcv guid="{C6961C98-214A-4770-9A2D-B399A95C6C8B}" action="delete"/>
  <rcv guid="{C6961C98-214A-4770-9A2D-B399A95C6C8B}" action="add"/>
</revisions>
</file>

<file path=xl/revisions/revisionLog1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2" sId="5">
    <nc r="X11" t="inlineStr">
      <is>
        <t>ח</t>
      </is>
    </nc>
  </rcc>
  <rcc rId="523" sId="5" odxf="1" dxf="1">
    <nc r="X12" t="inlineStr">
      <is>
        <t>ח</t>
      </is>
    </nc>
    <odxf>
      <fill>
        <patternFill>
          <bgColor theme="9" tint="0.39997558519241921"/>
        </patternFill>
      </fill>
    </odxf>
    <ndxf>
      <fill>
        <patternFill>
          <bgColor theme="9" tint="0.79998168889431442"/>
        </patternFill>
      </fill>
    </ndxf>
  </rcc>
  <rcc rId="524" sId="5" odxf="1" dxf="1">
    <nc r="X13" t="inlineStr">
      <is>
        <t>ח</t>
      </is>
    </nc>
    <odxf>
      <fill>
        <patternFill>
          <bgColor theme="9" tint="0.39997558519241921"/>
        </patternFill>
      </fill>
    </odxf>
    <ndxf>
      <fill>
        <patternFill>
          <bgColor theme="9" tint="0.79998168889431442"/>
        </patternFill>
      </fill>
    </ndxf>
  </rcc>
</revisions>
</file>

<file path=xl/revisions/revisionLog1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5" sId="4">
    <nc r="T34" t="inlineStr">
      <is>
        <t>ח</t>
      </is>
    </nc>
  </rcc>
</revisions>
</file>

<file path=xl/revisions/revisionLog1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6" sId="5">
    <oc r="T7" t="inlineStr">
      <is>
        <t>ח</t>
      </is>
    </oc>
    <nc r="T7"/>
  </rcc>
</revisions>
</file>

<file path=xl/revisions/revisionLog1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J14">
    <dxf>
      <fill>
        <patternFill>
          <bgColor rgb="FFFFFF00"/>
        </patternFill>
      </fill>
    </dxf>
  </rfmt>
  <rcc rId="527" sId="5" odxf="1" dxf="1">
    <nc r="J14" t="inlineStr">
      <is>
        <t>רמון</t>
      </is>
    </nc>
    <odxf>
      <border outline="0">
        <left style="medium">
          <color indexed="64"/>
        </left>
      </border>
    </odxf>
    <ndxf>
      <border outline="0">
        <left/>
      </border>
    </ndxf>
  </rcc>
  <rcc rId="528" sId="5" odxf="1" dxf="1">
    <nc r="J15" t="inlineStr">
      <is>
        <t>רמון</t>
      </is>
    </nc>
    <odxf>
      <fill>
        <patternFill>
          <bgColor theme="9" tint="0.79998168889431442"/>
        </patternFill>
      </fill>
      <border outline="0">
        <left style="medium">
          <color indexed="64"/>
        </left>
      </border>
    </odxf>
    <ndxf>
      <fill>
        <patternFill>
          <bgColor rgb="FFFFFF00"/>
        </patternFill>
      </fill>
      <border outline="0">
        <left/>
      </border>
    </ndxf>
  </rcc>
  <rcc rId="529" sId="5" odxf="1" dxf="1">
    <nc r="J16" t="inlineStr">
      <is>
        <t>רמון</t>
      </is>
    </nc>
    <odxf>
      <fill>
        <patternFill>
          <bgColor theme="9" tint="0.79998168889431442"/>
        </patternFill>
      </fill>
      <border outline="0">
        <left style="medium">
          <color indexed="64"/>
        </left>
      </border>
    </odxf>
    <ndxf>
      <fill>
        <patternFill>
          <bgColor rgb="FFFFFF00"/>
        </patternFill>
      </fill>
      <border outline="0">
        <left/>
      </border>
    </ndxf>
  </rcc>
  <rcc rId="530" sId="5" odxf="1" dxf="1">
    <nc r="J17" t="inlineStr">
      <is>
        <t>רמון</t>
      </is>
    </nc>
    <odxf>
      <fill>
        <patternFill>
          <bgColor theme="9" tint="0.79998168889431442"/>
        </patternFill>
      </fill>
      <border outline="0">
        <left style="medium">
          <color indexed="64"/>
        </left>
      </border>
    </odxf>
    <ndxf>
      <fill>
        <patternFill>
          <bgColor rgb="FFFFFF00"/>
        </patternFill>
      </fill>
      <border outline="0">
        <left/>
      </border>
    </ndxf>
  </rcc>
  <rcc rId="531" sId="5" odxf="1" dxf="1">
    <nc r="J18" t="inlineStr">
      <is>
        <t>רמון</t>
      </is>
    </nc>
    <odxf>
      <fill>
        <patternFill>
          <bgColor theme="9" tint="0.79998168889431442"/>
        </patternFill>
      </fill>
      <border outline="0">
        <left style="medium">
          <color indexed="64"/>
        </left>
      </border>
    </odxf>
    <ndxf>
      <fill>
        <patternFill>
          <bgColor rgb="FFFFFF00"/>
        </patternFill>
      </fill>
      <border outline="0">
        <left/>
      </border>
    </ndxf>
  </rcc>
  <rcc rId="532" sId="5" odxf="1" dxf="1">
    <nc r="P14" t="inlineStr">
      <is>
        <t>רמון</t>
      </is>
    </nc>
    <odxf>
      <fill>
        <patternFill>
          <bgColor theme="9" tint="0.79998168889431442"/>
        </patternFill>
      </fill>
      <border outline="0">
        <left style="medium">
          <color indexed="64"/>
        </left>
      </border>
    </odxf>
    <ndxf>
      <fill>
        <patternFill>
          <bgColor rgb="FFFFFF00"/>
        </patternFill>
      </fill>
      <border outline="0">
        <left/>
      </border>
    </ndxf>
  </rcc>
  <rcc rId="533" sId="5" odxf="1" dxf="1">
    <nc r="P15" t="inlineStr">
      <is>
        <t>רמון</t>
      </is>
    </nc>
    <odxf>
      <fill>
        <patternFill>
          <bgColor theme="9" tint="0.79998168889431442"/>
        </patternFill>
      </fill>
      <border outline="0">
        <left style="medium">
          <color indexed="64"/>
        </left>
      </border>
    </odxf>
    <ndxf>
      <fill>
        <patternFill>
          <bgColor rgb="FFFFFF00"/>
        </patternFill>
      </fill>
      <border outline="0">
        <left/>
      </border>
    </ndxf>
  </rcc>
  <rcc rId="534" sId="5" odxf="1" dxf="1">
    <nc r="P16" t="inlineStr">
      <is>
        <t>רמון</t>
      </is>
    </nc>
    <odxf>
      <fill>
        <patternFill>
          <bgColor theme="9" tint="0.79998168889431442"/>
        </patternFill>
      </fill>
      <border outline="0">
        <left style="medium">
          <color indexed="64"/>
        </left>
      </border>
    </odxf>
    <ndxf>
      <fill>
        <patternFill>
          <bgColor rgb="FFFFFF00"/>
        </patternFill>
      </fill>
      <border outline="0">
        <left/>
      </border>
    </ndxf>
  </rcc>
  <rcc rId="535" sId="5" odxf="1" dxf="1">
    <nc r="P17" t="inlineStr">
      <is>
        <t>רמון</t>
      </is>
    </nc>
    <odxf>
      <fill>
        <patternFill>
          <bgColor theme="9" tint="0.79998168889431442"/>
        </patternFill>
      </fill>
      <border outline="0">
        <left style="medium">
          <color indexed="64"/>
        </left>
      </border>
    </odxf>
    <ndxf>
      <fill>
        <patternFill>
          <bgColor rgb="FFFFFF00"/>
        </patternFill>
      </fill>
      <border outline="0">
        <left/>
      </border>
    </ndxf>
  </rcc>
  <rcc rId="536" sId="5" odxf="1" dxf="1">
    <nc r="P18" t="inlineStr">
      <is>
        <t>רמון</t>
      </is>
    </nc>
    <odxf>
      <fill>
        <patternFill>
          <bgColor theme="9" tint="0.79998168889431442"/>
        </patternFill>
      </fill>
      <border outline="0">
        <left style="medium">
          <color indexed="64"/>
        </left>
      </border>
    </odxf>
    <ndxf>
      <fill>
        <patternFill>
          <bgColor rgb="FFFFFF00"/>
        </patternFill>
      </fill>
      <border outline="0">
        <left/>
      </border>
    </ndxf>
  </rcc>
  <rfmt sheetId="5" sqref="H14" start="0" length="0">
    <dxf>
      <font>
        <b val="0"/>
        <sz val="9"/>
        <color auto="1"/>
      </font>
      <fill>
        <patternFill>
          <bgColor rgb="FFFFFF00"/>
        </patternFill>
      </fill>
      <border outline="0">
        <left/>
      </border>
    </dxf>
  </rfmt>
  <rfmt sheetId="5" sqref="H15" start="0" length="0">
    <dxf>
      <fill>
        <patternFill>
          <bgColor rgb="FFFFFF00"/>
        </patternFill>
      </fill>
      <border outline="0">
        <left/>
      </border>
    </dxf>
  </rfmt>
  <rfmt sheetId="5" sqref="H16" start="0" length="0">
    <dxf>
      <fill>
        <patternFill>
          <bgColor rgb="FFFFFF00"/>
        </patternFill>
      </fill>
      <border outline="0">
        <left/>
      </border>
    </dxf>
  </rfmt>
  <rfmt sheetId="5" sqref="H17" start="0" length="0">
    <dxf>
      <fill>
        <patternFill>
          <bgColor rgb="FFFFFF00"/>
        </patternFill>
      </fill>
      <border outline="0">
        <left/>
      </border>
    </dxf>
  </rfmt>
  <rfmt sheetId="5" sqref="H18" start="0" length="0">
    <dxf>
      <fill>
        <patternFill>
          <bgColor rgb="FFFFFF00"/>
        </patternFill>
      </fill>
      <border outline="0">
        <left/>
      </border>
    </dxf>
  </rfmt>
  <rfmt sheetId="5" sqref="P14:P18" start="0" length="0">
    <dxf>
      <border>
        <left style="thin">
          <color indexed="64"/>
        </left>
      </border>
    </dxf>
  </rfmt>
  <rfmt sheetId="5" sqref="H14" start="0" length="0">
    <dxf>
      <fill>
        <patternFill>
          <bgColor theme="9" tint="0.79998168889431442"/>
        </patternFill>
      </fill>
      <border outline="0">
        <left style="medium">
          <color indexed="64"/>
        </left>
      </border>
    </dxf>
  </rfmt>
  <rfmt sheetId="5" sqref="H15" start="0" length="0">
    <dxf>
      <fill>
        <patternFill>
          <bgColor theme="9" tint="0.79998168889431442"/>
        </patternFill>
      </fill>
      <border outline="0">
        <left style="medium">
          <color indexed="64"/>
        </left>
      </border>
    </dxf>
  </rfmt>
  <rfmt sheetId="5" sqref="H16" start="0" length="0">
    <dxf>
      <fill>
        <patternFill>
          <bgColor theme="9" tint="0.79998168889431442"/>
        </patternFill>
      </fill>
      <border outline="0">
        <left style="medium">
          <color indexed="64"/>
        </left>
      </border>
    </dxf>
  </rfmt>
  <rfmt sheetId="5" sqref="H17" start="0" length="0">
    <dxf>
      <fill>
        <patternFill>
          <bgColor theme="9" tint="0.79998168889431442"/>
        </patternFill>
      </fill>
      <border outline="0">
        <left style="medium">
          <color indexed="64"/>
        </left>
      </border>
    </dxf>
  </rfmt>
  <rfmt sheetId="5" sqref="H18" start="0" length="0">
    <dxf>
      <fill>
        <patternFill>
          <bgColor theme="9" tint="0.79998168889431442"/>
        </patternFill>
      </fill>
      <border outline="0">
        <left style="medium">
          <color indexed="64"/>
        </left>
      </border>
    </dxf>
  </rfmt>
  <rcc rId="537" sId="5" odxf="1" dxf="1">
    <nc r="V14" t="inlineStr">
      <is>
        <t>רמון</t>
      </is>
    </nc>
    <odxf>
      <font>
        <b/>
        <sz val="9"/>
        <color auto="1"/>
      </font>
      <fill>
        <patternFill>
          <bgColor theme="9" tint="0.79998168889431442"/>
        </patternFill>
      </fill>
      <border outline="0">
        <left style="thin">
          <color indexed="64"/>
        </left>
      </border>
    </odxf>
    <ndxf>
      <font>
        <b val="0"/>
        <sz val="9"/>
        <color auto="1"/>
      </font>
      <fill>
        <patternFill>
          <bgColor rgb="FFFFFF00"/>
        </patternFill>
      </fill>
      <border outline="0">
        <left/>
      </border>
    </ndxf>
  </rcc>
  <rcc rId="538" sId="5" odxf="1" dxf="1">
    <nc r="V15" t="inlineStr">
      <is>
        <t>רמון</t>
      </is>
    </nc>
    <odxf>
      <fill>
        <patternFill>
          <bgColor theme="9" tint="0.79998168889431442"/>
        </patternFill>
      </fill>
    </odxf>
    <ndxf>
      <fill>
        <patternFill>
          <bgColor rgb="FFFFFF00"/>
        </patternFill>
      </fill>
    </ndxf>
  </rcc>
  <rcc rId="539" sId="5" odxf="1" dxf="1">
    <nc r="V16" t="inlineStr">
      <is>
        <t>רמון</t>
      </is>
    </nc>
    <odxf>
      <fill>
        <patternFill>
          <bgColor theme="9" tint="0.79998168889431442"/>
        </patternFill>
      </fill>
    </odxf>
    <ndxf>
      <fill>
        <patternFill>
          <bgColor rgb="FFFFFF00"/>
        </patternFill>
      </fill>
    </ndxf>
  </rcc>
  <rcc rId="540" sId="5" odxf="1" dxf="1">
    <nc r="V17" t="inlineStr">
      <is>
        <t>רמון</t>
      </is>
    </nc>
    <odxf>
      <fill>
        <patternFill>
          <bgColor theme="9" tint="0.79998168889431442"/>
        </patternFill>
      </fill>
    </odxf>
    <ndxf>
      <fill>
        <patternFill>
          <bgColor rgb="FFFFFF00"/>
        </patternFill>
      </fill>
    </ndxf>
  </rcc>
  <rcc rId="541" sId="5" odxf="1" dxf="1">
    <nc r="V18" t="inlineStr">
      <is>
        <t>רמון</t>
      </is>
    </nc>
    <odxf>
      <fill>
        <patternFill>
          <bgColor theme="9" tint="0.79998168889431442"/>
        </patternFill>
      </fill>
    </odxf>
    <ndxf>
      <fill>
        <patternFill>
          <bgColor rgb="FFFFFF00"/>
        </patternFill>
      </fill>
    </ndxf>
  </rcc>
  <rcc rId="542" sId="5" odxf="1" dxf="1">
    <oc r="X14" t="inlineStr">
      <is>
        <t>רמון</t>
      </is>
    </oc>
    <nc r="X14"/>
    <odxf>
      <fill>
        <patternFill>
          <bgColor rgb="FFFFFF00"/>
        </patternFill>
      </fill>
      <border outline="0">
        <left/>
      </border>
    </odxf>
    <ndxf>
      <fill>
        <patternFill>
          <bgColor theme="9" tint="0.79998168889431442"/>
        </patternFill>
      </fill>
      <border outline="0">
        <left style="medium">
          <color indexed="64"/>
        </left>
      </border>
    </ndxf>
  </rcc>
  <rcc rId="543" sId="5" odxf="1" dxf="1">
    <oc r="X15" t="inlineStr">
      <is>
        <t>רמון</t>
      </is>
    </oc>
    <nc r="X15"/>
    <odxf>
      <fill>
        <patternFill>
          <bgColor rgb="FFFFFF00"/>
        </patternFill>
      </fill>
      <border outline="0">
        <left/>
      </border>
    </odxf>
    <ndxf>
      <fill>
        <patternFill>
          <bgColor theme="9" tint="0.79998168889431442"/>
        </patternFill>
      </fill>
      <border outline="0">
        <left style="medium">
          <color indexed="64"/>
        </left>
      </border>
    </ndxf>
  </rcc>
  <rcc rId="544" sId="5" odxf="1" dxf="1">
    <oc r="X16" t="inlineStr">
      <is>
        <t>רמון</t>
      </is>
    </oc>
    <nc r="X16"/>
    <odxf>
      <fill>
        <patternFill>
          <bgColor rgb="FFFFFF00"/>
        </patternFill>
      </fill>
      <border outline="0">
        <left/>
      </border>
    </odxf>
    <ndxf>
      <fill>
        <patternFill>
          <bgColor theme="9" tint="0.79998168889431442"/>
        </patternFill>
      </fill>
      <border outline="0">
        <left style="medium">
          <color indexed="64"/>
        </left>
      </border>
    </ndxf>
  </rcc>
  <rcc rId="545" sId="5" odxf="1" dxf="1">
    <oc r="X17" t="inlineStr">
      <is>
        <t>רמון</t>
      </is>
    </oc>
    <nc r="X17"/>
    <odxf>
      <fill>
        <patternFill>
          <bgColor rgb="FFFFFF00"/>
        </patternFill>
      </fill>
      <border outline="0">
        <left/>
      </border>
    </odxf>
    <ndxf>
      <fill>
        <patternFill>
          <bgColor theme="9" tint="0.79998168889431442"/>
        </patternFill>
      </fill>
      <border outline="0">
        <left style="medium">
          <color indexed="64"/>
        </left>
      </border>
    </ndxf>
  </rcc>
  <rcc rId="546" sId="5" odxf="1" dxf="1">
    <oc r="X18" t="inlineStr">
      <is>
        <t>רמון</t>
      </is>
    </oc>
    <nc r="X18"/>
    <odxf>
      <fill>
        <patternFill>
          <bgColor rgb="FFFFFF00"/>
        </patternFill>
      </fill>
      <border outline="0">
        <left/>
      </border>
    </odxf>
    <ndxf>
      <fill>
        <patternFill>
          <bgColor theme="9" tint="0.79998168889431442"/>
        </patternFill>
      </fill>
      <border outline="0">
        <left style="medium">
          <color indexed="64"/>
        </left>
      </border>
    </ndxf>
  </rcc>
</revisions>
</file>

<file path=xl/revisions/revisionLog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47" sId="5" odxf="1" dxf="1">
    <nc r="L9" t="inlineStr">
      <is>
        <t>חיפה</t>
      </is>
    </nc>
    <odxf>
      <fill>
        <patternFill>
          <bgColor theme="9" tint="0.79998168889431442"/>
        </patternFill>
      </fill>
      <border outline="0">
        <left style="medium">
          <color indexed="64"/>
        </left>
      </border>
    </odxf>
    <ndxf>
      <fill>
        <patternFill>
          <bgColor rgb="FFFFFF00"/>
        </patternFill>
      </fill>
      <border outline="0">
        <left/>
      </border>
    </ndxf>
  </rcc>
  <rcc rId="548" sId="5" odxf="1" dxf="1">
    <nc r="H9" t="inlineStr">
      <is>
        <t>חיפה</t>
      </is>
    </nc>
    <odxf>
      <fill>
        <patternFill>
          <bgColor theme="9" tint="0.79998168889431442"/>
        </patternFill>
      </fill>
      <border outline="0">
        <left style="medium">
          <color indexed="64"/>
        </left>
      </border>
    </odxf>
    <ndxf>
      <fill>
        <patternFill>
          <bgColor rgb="FFFFFF00"/>
        </patternFill>
      </fill>
      <border outline="0">
        <left/>
      </border>
    </ndxf>
  </rcc>
  <rcc rId="549" sId="5" odxf="1" dxf="1">
    <nc r="F9" t="inlineStr">
      <is>
        <t>חיפה</t>
      </is>
    </nc>
    <odxf>
      <fill>
        <patternFill>
          <bgColor theme="9" tint="0.79998168889431442"/>
        </patternFill>
      </fill>
      <border outline="0">
        <left style="medium">
          <color indexed="64"/>
        </left>
      </border>
    </odxf>
    <ndxf>
      <fill>
        <patternFill>
          <bgColor rgb="FFFFFF00"/>
        </patternFill>
      </fill>
      <border outline="0">
        <left/>
      </border>
    </ndxf>
  </rcc>
</revisions>
</file>

<file path=xl/revisions/revisionLog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0" sId="5">
    <nc r="T9" t="inlineStr">
      <is>
        <t>PBB</t>
      </is>
    </nc>
  </rcc>
  <rfmt sheetId="5" sqref="T9">
    <dxf>
      <fill>
        <patternFill>
          <bgColor rgb="FFFFC000"/>
        </patternFill>
      </fill>
    </dxf>
  </rfmt>
  <rcc rId="551" sId="5" odxf="1" dxf="1">
    <nc r="AF9" t="inlineStr">
      <is>
        <t>חיפה</t>
      </is>
    </nc>
    <odxf>
      <fill>
        <patternFill>
          <bgColor theme="9" tint="0.79998168889431442"/>
        </patternFill>
      </fill>
      <border outline="0">
        <left style="medium">
          <color indexed="64"/>
        </left>
      </border>
    </odxf>
    <ndxf>
      <fill>
        <patternFill>
          <bgColor rgb="FFFFFF00"/>
        </patternFill>
      </fill>
      <border outline="0">
        <left/>
      </border>
    </ndxf>
  </rcc>
  <rcc rId="552" sId="5" odxf="1" dxf="1">
    <oc r="X9" t="inlineStr">
      <is>
        <t>חיפה</t>
      </is>
    </oc>
    <nc r="X9"/>
    <odxf>
      <fill>
        <patternFill>
          <bgColor rgb="FFFFFF00"/>
        </patternFill>
      </fill>
    </odxf>
    <ndxf>
      <fill>
        <patternFill>
          <bgColor theme="9" tint="0.79998168889431442"/>
        </patternFill>
      </fill>
    </ndxf>
  </rcc>
</revisions>
</file>

<file path=xl/revisions/revisionLog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AD10">
    <dxf>
      <fill>
        <patternFill>
          <bgColor rgb="FFFFFF00"/>
        </patternFill>
      </fill>
    </dxf>
  </rfmt>
  <rfmt sheetId="5" sqref="AJ10">
    <dxf>
      <fill>
        <patternFill>
          <bgColor rgb="FFFFFF00"/>
        </patternFill>
      </fill>
    </dxf>
  </rfmt>
  <rfmt sheetId="5" sqref="X10">
    <dxf>
      <fill>
        <patternFill>
          <bgColor rgb="FFFFFF00"/>
        </patternFill>
      </fill>
    </dxf>
  </rfmt>
  <rfmt sheetId="5" sqref="T10">
    <dxf>
      <fill>
        <patternFill>
          <bgColor rgb="FFFFFF00"/>
        </patternFill>
      </fill>
    </dxf>
  </rfmt>
</revisions>
</file>

<file path=xl/revisions/revisionLog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3" sId="4">
    <nc r="F32" t="inlineStr">
      <is>
        <t>ק</t>
      </is>
    </nc>
  </rcc>
  <rcc rId="554" sId="4">
    <nc r="N32" t="inlineStr">
      <is>
        <t>ק</t>
      </is>
    </nc>
  </rcc>
  <rfmt sheetId="5" sqref="F10" start="0" length="0">
    <dxf>
      <font>
        <sz val="11"/>
        <color theme="1"/>
        <name val="Arial"/>
        <family val="2"/>
        <scheme val="minor"/>
      </font>
    </dxf>
  </rfmt>
  <rfmt sheetId="5" sqref="J10" start="0" length="0">
    <dxf>
      <font>
        <sz val="11"/>
        <color theme="1"/>
        <name val="Arial"/>
        <family val="2"/>
        <scheme val="minor"/>
      </font>
    </dxf>
  </rfmt>
  <rfmt sheetId="5" sqref="L10" start="0" length="0">
    <dxf>
      <font>
        <sz val="11"/>
        <color theme="1"/>
        <name val="Arial"/>
        <family val="2"/>
        <scheme val="minor"/>
      </font>
    </dxf>
  </rfmt>
  <rfmt sheetId="5" sqref="L17" start="0" length="0">
    <dxf>
      <font>
        <sz val="11"/>
        <color theme="1"/>
        <name val="Arial"/>
        <family val="2"/>
        <scheme val="minor"/>
      </font>
    </dxf>
  </rfmt>
  <rfmt sheetId="5" sqref="F17" start="0" length="0">
    <dxf>
      <font>
        <sz val="11"/>
        <color theme="1"/>
        <name val="Arial"/>
        <family val="2"/>
        <scheme val="minor"/>
      </font>
    </dxf>
  </rfmt>
  <rfmt sheetId="5" sqref="F24" start="0" length="0">
    <dxf>
      <font>
        <sz val="11"/>
        <color theme="1"/>
        <name val="Arial"/>
        <family val="2"/>
        <scheme val="minor"/>
      </font>
    </dxf>
  </rfmt>
  <rfmt sheetId="5" sqref="J24" start="0" length="0">
    <dxf>
      <font>
        <sz val="11"/>
        <color theme="1"/>
        <name val="Arial"/>
        <family val="2"/>
        <scheme val="minor"/>
      </font>
    </dxf>
  </rfmt>
  <rfmt sheetId="5" sqref="L24" start="0" length="0">
    <dxf>
      <font>
        <sz val="11"/>
        <color theme="1"/>
        <name val="Arial"/>
        <family val="2"/>
        <scheme val="minor"/>
      </font>
    </dxf>
  </rfmt>
  <rfmt sheetId="5" sqref="L31" start="0" length="0">
    <dxf>
      <font>
        <sz val="11"/>
        <color theme="1"/>
        <name val="Arial"/>
        <family val="2"/>
        <scheme val="minor"/>
      </font>
    </dxf>
  </rfmt>
  <rfmt sheetId="5" sqref="F31" start="0" length="0">
    <dxf>
      <font>
        <sz val="11"/>
        <color theme="1"/>
        <name val="Arial"/>
        <family val="2"/>
        <scheme val="minor"/>
      </font>
    </dxf>
  </rfmt>
  <rcmt sheetId="4" cell="F33" guid="{0B5C5C11-C9E7-4264-B2FE-24838DEC95E8}" author="Avi Manorr" newLength="39"/>
  <rcmt sheetId="4" cell="J33" guid="{8FABAECF-134C-459C-AD90-B371785C9854}" author="Avi Manorr" newLength="39"/>
  <rcmt sheetId="4" cell="L33" guid="{62485907-51BF-4EA2-9168-F590DB70CE03}" author="Avi Manorr" newLength="39"/>
  <rcmt sheetId="5" cell="F10" guid="{863E1994-0F23-41FC-A96C-83EC98A34A81}" author="Avi Manorr" newLength="39"/>
  <rcmt sheetId="5" cell="J10" guid="{D1523E83-B4B2-4CDC-9CDE-FD33E5AE01E2}" author="Avi Manorr" newLength="39"/>
  <rcmt sheetId="5" cell="L10" guid="{B00F5DCF-9C09-406B-AAD2-187C41F96152}" author="Avi Manorr" newLength="39"/>
  <rcmt sheetId="5" cell="F17" guid="{49E25312-9CFF-4A5E-BD93-4C4E80FAEFED}" author="Avi Manorr" newLength="39"/>
  <rcmt sheetId="5" cell="L17" guid="{93A4EC66-737D-4428-81EB-C0D2C1E24217}" author="Avi Manorr" newLength="39"/>
  <rcmt sheetId="5" cell="F24" guid="{86D8AE54-08F9-4BE4-B366-5B81AE1B6D21}" author="Avi Manorr" newLength="39"/>
  <rcmt sheetId="5" cell="J24" guid="{7051FF21-6D7E-4515-A953-65B1B4A7CF05}" author="Avi Manorr" newLength="39"/>
  <rcmt sheetId="5" cell="L24" guid="{BF75C1B8-FF31-44E7-84C2-220F8DAA36D0}" author="Avi Manorr" newLength="39"/>
  <rcmt sheetId="5" cell="F31" guid="{A8E00CFA-3FD1-4269-A8C5-D746B65F3F30}" author="Avi Manorr" newLength="39"/>
  <rcmt sheetId="5" cell="L31" guid="{F28C6D8F-1464-4947-B2B2-E1934FCA3BB6}" author="Avi Manorr" newLength="39"/>
  <rcv guid="{C6961C98-214A-4770-9A2D-B399A95C6C8B}" action="delete"/>
  <rcv guid="{C6961C98-214A-4770-9A2D-B399A95C6C8B}" action="add"/>
</revisions>
</file>

<file path=xl/revisions/revisionLog1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5" sId="5">
    <nc r="AL7" t="inlineStr">
      <is>
        <t>ח</t>
      </is>
    </nc>
  </rcc>
  <rcc rId="556" sId="5">
    <nc r="AL9" t="inlineStr">
      <is>
        <t>ח</t>
      </is>
    </nc>
  </rcc>
  <rm rId="557" sheetId="5" source="AM9" destination="AK9" sourceSheetId="5">
    <rfmt sheetId="5" sqref="AK9" start="0" length="0">
      <dxf>
        <font>
          <sz val="11"/>
          <color auto="1"/>
          <name val="Arial"/>
          <family val="2"/>
          <scheme val="minor"/>
        </font>
        <fill>
          <patternFill patternType="solid">
            <bgColor theme="9" tint="0.79998168889431442"/>
          </patternFill>
        </fill>
        <alignment horizontal="center" vertical="center"/>
        <border outline="0">
          <left style="thin">
            <color indexed="64"/>
          </left>
          <right style="medium">
            <color indexed="64"/>
          </right>
          <top style="thin">
            <color indexed="64"/>
          </top>
          <bottom style="thin">
            <color indexed="64"/>
          </bottom>
        </border>
      </dxf>
    </rfmt>
  </rm>
  <rm rId="558" sheetId="5" source="AK15" destination="AM15" sourceSheetId="5">
    <rfmt sheetId="5" sqref="AM15" start="0" length="0">
      <dxf>
        <font>
          <sz val="11"/>
          <color auto="1"/>
          <name val="Arial"/>
          <family val="2"/>
          <scheme val="minor"/>
        </font>
        <fill>
          <patternFill patternType="solid">
            <bgColor theme="9" tint="0.79998168889431442"/>
          </patternFill>
        </fill>
        <alignment horizontal="center" vertical="center"/>
        <border outline="0">
          <left style="thin">
            <color indexed="64"/>
          </left>
          <right style="medium">
            <color indexed="64"/>
          </right>
          <top style="thin">
            <color indexed="64"/>
          </top>
          <bottom style="thin">
            <color indexed="64"/>
          </bottom>
        </border>
      </dxf>
    </rfmt>
  </rm>
  <rfmt sheetId="5" sqref="AM9" start="0" length="0">
    <dxf>
      <font>
        <sz val="11"/>
        <color auto="1"/>
        <name val="Arial"/>
        <family val="2"/>
        <scheme val="minor"/>
      </font>
      <fill>
        <patternFill patternType="solid">
          <bgColor theme="9" tint="0.79998168889431442"/>
        </patternFill>
      </fill>
      <border outline="0">
        <left style="thin">
          <color indexed="64"/>
        </left>
        <right style="medium">
          <color indexed="64"/>
        </right>
        <top style="thin">
          <color indexed="64"/>
        </top>
        <bottom style="thin">
          <color indexed="64"/>
        </bottom>
      </border>
    </dxf>
  </rfmt>
  <rfmt sheetId="5" sqref="AK15" start="0" length="0">
    <dxf>
      <font>
        <sz val="11"/>
        <color auto="1"/>
        <name val="Arial"/>
        <family val="2"/>
        <scheme val="minor"/>
      </font>
      <fill>
        <patternFill patternType="solid">
          <bgColor theme="9" tint="0.79998168889431442"/>
        </patternFill>
      </fill>
      <border outline="0">
        <left style="thin">
          <color indexed="64"/>
        </left>
        <right style="medium">
          <color indexed="64"/>
        </right>
        <top style="thin">
          <color indexed="64"/>
        </top>
        <bottom style="thin">
          <color indexed="64"/>
        </bottom>
      </border>
    </dxf>
  </rfmt>
  <rcmt sheetId="5" cell="AK9" guid="{94EBE883-2F60-4A13-8538-228795EC47BD}" author="Shmuel Fogel" newLength="5"/>
  <rcmt sheetId="5" cell="AM15" guid="{7CAD3D55-C7D0-47E2-B45D-A497CA607BFB}" author="Shmuel Fogel" newLength="6"/>
  <rcv guid="{FEBD343F-EB1E-4B3A-B093-25A74DB60DAB}" action="delete"/>
  <rcv guid="{FEBD343F-EB1E-4B3A-B093-25A74DB60DAB}" action="add"/>
</revisions>
</file>

<file path=xl/revisions/revisionLog1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59" sId="5" odxf="1" dxf="1">
    <nc r="AN7" t="inlineStr">
      <is>
        <t>מיל</t>
      </is>
    </nc>
    <odxf>
      <font>
        <color auto="1"/>
      </font>
      <fill>
        <patternFill>
          <bgColor theme="9" tint="0.79998168889431442"/>
        </patternFill>
      </fill>
      <border outline="0">
        <top style="thin">
          <color indexed="64"/>
        </top>
      </border>
    </odxf>
    <ndxf>
      <font>
        <sz val="11"/>
        <color theme="1"/>
        <name val="Arial"/>
        <family val="2"/>
        <scheme val="minor"/>
      </font>
      <fill>
        <patternFill>
          <bgColor theme="4" tint="0.59999389629810485"/>
        </patternFill>
      </fill>
      <border outline="0">
        <top/>
      </border>
    </ndxf>
  </rcc>
  <rcc rId="560" sId="5" odxf="1" dxf="1">
    <nc r="AN8" t="inlineStr">
      <is>
        <t>מיל</t>
      </is>
    </nc>
    <odxf>
      <font>
        <color auto="1"/>
      </font>
      <fill>
        <patternFill>
          <bgColor theme="9" tint="0.79998168889431442"/>
        </patternFill>
      </fill>
      <border outline="0">
        <top style="thin">
          <color indexed="64"/>
        </top>
      </border>
    </odxf>
    <ndxf>
      <font>
        <sz val="11"/>
        <color theme="1"/>
        <name val="Arial"/>
        <family val="2"/>
        <scheme val="minor"/>
      </font>
      <fill>
        <patternFill>
          <bgColor theme="4" tint="0.59999389629810485"/>
        </patternFill>
      </fill>
      <border outline="0">
        <top/>
      </border>
    </ndxf>
  </rcc>
  <rfmt sheetId="5" sqref="AN5" start="0" length="0">
    <dxf>
      <font>
        <sz val="11"/>
        <color theme="1"/>
        <name val="Arial"/>
        <family val="2"/>
        <scheme val="minor"/>
      </font>
      <fill>
        <patternFill>
          <bgColor theme="4" tint="0.59999389629810485"/>
        </patternFill>
      </fill>
    </dxf>
  </rfmt>
  <rcc rId="561" sId="5">
    <nc r="AN5" t="inlineStr">
      <is>
        <t>מיל</t>
      </is>
    </nc>
  </rcc>
  <rcc rId="562" sId="5" odxf="1" dxf="1">
    <nc r="AN6" t="inlineStr">
      <is>
        <t>מיל</t>
      </is>
    </nc>
    <odxf>
      <font>
        <color auto="1"/>
      </font>
      <fill>
        <patternFill>
          <bgColor theme="9" tint="0.39997558519241921"/>
        </patternFill>
      </fill>
      <border outline="0">
        <top style="thin">
          <color indexed="64"/>
        </top>
      </border>
    </odxf>
    <ndxf>
      <font>
        <sz val="11"/>
        <color theme="1"/>
        <name val="Arial"/>
        <family val="2"/>
        <scheme val="minor"/>
      </font>
      <fill>
        <patternFill>
          <bgColor theme="4" tint="0.59999389629810485"/>
        </patternFill>
      </fill>
      <border outline="0">
        <top/>
      </border>
    </ndxf>
  </rcc>
</revisions>
</file>

<file path=xl/revisions/revisionLog1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3" sId="5">
    <nc r="P11" t="inlineStr">
      <is>
        <t>ח</t>
      </is>
    </nc>
  </rcc>
</revisions>
</file>

<file path=xl/revisions/revisionLog1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4" sId="5">
    <oc r="V14" t="inlineStr">
      <is>
        <t>רמון</t>
      </is>
    </oc>
    <nc r="V14" t="inlineStr">
      <is>
        <t>מיל</t>
      </is>
    </nc>
  </rcc>
  <rcc rId="565" sId="5">
    <oc r="V18" t="inlineStr">
      <is>
        <t>רמון</t>
      </is>
    </oc>
    <nc r="V18" t="inlineStr">
      <is>
        <t>מיל</t>
      </is>
    </nc>
  </rcc>
  <rcc rId="566" sId="5" odxf="1" dxf="1">
    <nc r="V19" t="inlineStr">
      <is>
        <t>מיל</t>
      </is>
    </nc>
    <odxf>
      <fill>
        <patternFill>
          <bgColor theme="9" tint="0.39997558519241921"/>
        </patternFill>
      </fill>
    </odxf>
    <ndxf>
      <fill>
        <patternFill>
          <bgColor rgb="FFFFFF00"/>
        </patternFill>
      </fill>
    </ndxf>
  </rcc>
  <rcc rId="567" sId="5" odxf="1" dxf="1">
    <nc r="V20" t="inlineStr">
      <is>
        <t>מיל</t>
      </is>
    </nc>
    <odxf>
      <fill>
        <patternFill>
          <bgColor theme="9" tint="0.39997558519241921"/>
        </patternFill>
      </fill>
    </odxf>
    <ndxf>
      <fill>
        <patternFill>
          <bgColor rgb="FFFFFF00"/>
        </patternFill>
      </fill>
    </ndxf>
  </rcc>
  <rcc rId="568" sId="5" odxf="1" dxf="1">
    <nc r="V21" t="inlineStr">
      <is>
        <t>מיל</t>
      </is>
    </nc>
    <odxf>
      <fill>
        <patternFill>
          <bgColor theme="9" tint="0.79998168889431442"/>
        </patternFill>
      </fill>
    </odxf>
    <ndxf>
      <fill>
        <patternFill>
          <bgColor rgb="FFFFFF00"/>
        </patternFill>
      </fill>
    </ndxf>
  </rcc>
  <rcc rId="569" sId="5" odxf="1" dxf="1">
    <nc r="V22" t="inlineStr">
      <is>
        <t>מיל</t>
      </is>
    </nc>
    <odxf>
      <fill>
        <patternFill>
          <bgColor theme="9" tint="0.79998168889431442"/>
        </patternFill>
      </fill>
    </odxf>
    <ndxf>
      <fill>
        <patternFill>
          <bgColor rgb="FFFFFF00"/>
        </patternFill>
      </fill>
    </ndxf>
  </rcc>
  <rcc rId="570" sId="5" odxf="1" dxf="1">
    <nc r="V23" t="inlineStr">
      <is>
        <t>מיל</t>
      </is>
    </nc>
    <odxf>
      <fill>
        <patternFill>
          <bgColor theme="9" tint="0.79998168889431442"/>
        </patternFill>
      </fill>
    </odxf>
    <ndxf>
      <fill>
        <patternFill>
          <bgColor rgb="FFFFFF00"/>
        </patternFill>
      </fill>
    </ndxf>
  </rcc>
  <rcc rId="571" sId="5" odxf="1" dxf="1">
    <nc r="V24" t="inlineStr">
      <is>
        <t>מיל</t>
      </is>
    </nc>
    <odxf>
      <fill>
        <patternFill>
          <bgColor theme="9" tint="0.79998168889431442"/>
        </patternFill>
      </fill>
    </odxf>
    <ndxf>
      <fill>
        <patternFill>
          <bgColor rgb="FFFFFF00"/>
        </patternFill>
      </fill>
    </ndxf>
  </rcc>
  <rcc rId="572" sId="5" odxf="1" dxf="1">
    <nc r="V25" t="inlineStr">
      <is>
        <t>מיל</t>
      </is>
    </nc>
    <odxf>
      <fill>
        <patternFill>
          <bgColor theme="9" tint="0.79998168889431442"/>
        </patternFill>
      </fill>
    </odxf>
    <ndxf>
      <fill>
        <patternFill>
          <bgColor rgb="FFFFFF00"/>
        </patternFill>
      </fill>
    </ndxf>
  </rcc>
</revisions>
</file>

<file path=xl/revisions/revisionLog1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3" sId="5" odxf="1" dxf="1">
    <oc r="V15" t="inlineStr">
      <is>
        <t>רמון</t>
      </is>
    </oc>
    <nc r="V15"/>
    <odxf>
      <fill>
        <patternFill>
          <bgColor rgb="FFFFFF00"/>
        </patternFill>
      </fill>
    </odxf>
    <ndxf>
      <fill>
        <patternFill>
          <bgColor theme="9" tint="0.79998168889431442"/>
        </patternFill>
      </fill>
    </ndxf>
  </rcc>
  <rcc rId="574" sId="5" odxf="1" dxf="1">
    <oc r="V16" t="inlineStr">
      <is>
        <t>רמון</t>
      </is>
    </oc>
    <nc r="V16"/>
    <odxf>
      <fill>
        <patternFill>
          <bgColor rgb="FFFFFF00"/>
        </patternFill>
      </fill>
    </odxf>
    <ndxf>
      <fill>
        <patternFill>
          <bgColor theme="9" tint="0.79998168889431442"/>
        </patternFill>
      </fill>
    </ndxf>
  </rcc>
  <rcc rId="575" sId="5" odxf="1" dxf="1">
    <oc r="V17" t="inlineStr">
      <is>
        <t>רמון</t>
      </is>
    </oc>
    <nc r="V17"/>
    <odxf>
      <fill>
        <patternFill>
          <bgColor rgb="FFFFFF00"/>
        </patternFill>
      </fill>
    </odxf>
    <ndxf>
      <fill>
        <patternFill>
          <bgColor theme="9" tint="0.79998168889431442"/>
        </patternFill>
      </fill>
    </ndxf>
  </rcc>
</revisions>
</file>

<file path=xl/revisions/revisionLog1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76" sId="5" odxf="1" dxf="1">
    <nc r="X14"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cc rId="577" sId="5" odxf="1" dxf="1">
    <nc r="X15"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cc rId="578" sId="5" odxf="1" dxf="1">
    <nc r="X16"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cc rId="579" sId="5" odxf="1" dxf="1">
    <nc r="X17"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cc rId="580" sId="5" odxf="1" dxf="1">
    <nc r="X18"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evisions>
</file>

<file path=xl/revisions/revisionLog1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1" sId="4">
    <nc r="U27" t="inlineStr">
      <is>
        <t>כ</t>
      </is>
    </nc>
  </rcc>
  <rcc rId="582" sId="4">
    <oc r="K27" t="inlineStr">
      <is>
        <t>כ</t>
      </is>
    </oc>
    <nc r="K27"/>
  </rcc>
  <rcc rId="583" sId="4">
    <nc r="K34" t="inlineStr">
      <is>
        <t>כמ</t>
      </is>
    </nc>
  </rcc>
  <rcc rId="584" sId="4">
    <oc r="U34" t="inlineStr">
      <is>
        <t>כמ</t>
      </is>
    </oc>
    <nc r="U34"/>
  </rcc>
  <rcmt sheetId="4" cell="U27" guid="{914D07C2-BAE8-459C-B44B-C793CE5C7C53}" author="Avi Manorr" newLength="18"/>
  <rcmt sheetId="4" cell="K34" guid="{DE2A2F56-114C-4502-83CB-EAA3C95E97C8}" author="Avi Manorr" newLength="17"/>
  <rcv guid="{C6961C98-214A-4770-9A2D-B399A95C6C8B}" action="delete"/>
  <rcv guid="{C6961C98-214A-4770-9A2D-B399A95C6C8B}" action="add"/>
</revisions>
</file>

<file path=xl/revisions/revisionLog1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5" sId="5" odxf="1" dxf="1">
    <nc r="V9" t="inlineStr">
      <is>
        <t>מיל</t>
      </is>
    </nc>
    <odxf>
      <fill>
        <patternFill>
          <bgColor theme="9" tint="0.79998168889431442"/>
        </patternFill>
      </fill>
    </odxf>
    <ndxf>
      <fill>
        <patternFill>
          <bgColor rgb="FFFFFF00"/>
        </patternFill>
      </fill>
    </ndxf>
  </rcc>
</revisions>
</file>

<file path=xl/revisions/revisionLog1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6" sId="5" odxf="1" dxf="1">
    <nc r="T14" t="inlineStr">
      <is>
        <t>רמון</t>
      </is>
    </nc>
    <odxf>
      <font>
        <b/>
        <sz val="9"/>
        <color auto="1"/>
      </font>
      <fill>
        <patternFill>
          <bgColor theme="9" tint="0.79998168889431442"/>
        </patternFill>
      </fill>
    </odxf>
    <ndxf>
      <font>
        <b val="0"/>
        <sz val="9"/>
        <color auto="1"/>
      </font>
      <fill>
        <patternFill>
          <bgColor rgb="FFFFFF00"/>
        </patternFill>
      </fill>
    </ndxf>
  </rcc>
  <rcc rId="587" sId="5" odxf="1" dxf="1">
    <nc r="T15" t="inlineStr">
      <is>
        <t>רמון</t>
      </is>
    </nc>
    <odxf>
      <fill>
        <patternFill>
          <bgColor theme="9" tint="0.79998168889431442"/>
        </patternFill>
      </fill>
      <border outline="0">
        <left/>
      </border>
    </odxf>
    <ndxf>
      <fill>
        <patternFill>
          <bgColor rgb="FFFFFF00"/>
        </patternFill>
      </fill>
      <border outline="0">
        <left style="thin">
          <color indexed="64"/>
        </left>
      </border>
    </ndxf>
  </rcc>
  <rcc rId="588" sId="5" odxf="1" dxf="1">
    <nc r="T16" t="inlineStr">
      <is>
        <t>רמון</t>
      </is>
    </nc>
    <odxf>
      <fill>
        <patternFill>
          <bgColor theme="9" tint="0.79998168889431442"/>
        </patternFill>
      </fill>
      <border outline="0">
        <left/>
      </border>
    </odxf>
    <ndxf>
      <fill>
        <patternFill>
          <bgColor rgb="FFFFFF00"/>
        </patternFill>
      </fill>
      <border outline="0">
        <left style="thin">
          <color indexed="64"/>
        </left>
      </border>
    </ndxf>
  </rcc>
  <rcc rId="589" sId="5" odxf="1" dxf="1">
    <nc r="T17" t="inlineStr">
      <is>
        <t>רמון</t>
      </is>
    </nc>
    <odxf>
      <fill>
        <patternFill>
          <bgColor theme="9" tint="0.79998168889431442"/>
        </patternFill>
      </fill>
      <border outline="0">
        <left/>
      </border>
    </odxf>
    <ndxf>
      <fill>
        <patternFill>
          <bgColor rgb="FFFFFF00"/>
        </patternFill>
      </fill>
      <border outline="0">
        <left style="thin">
          <color indexed="64"/>
        </left>
      </border>
    </ndxf>
  </rcc>
  <rcc rId="590" sId="5" odxf="1" dxf="1">
    <nc r="T18" t="inlineStr">
      <is>
        <t>רמון</t>
      </is>
    </nc>
    <odxf>
      <fill>
        <patternFill>
          <bgColor theme="9" tint="0.79998168889431442"/>
        </patternFill>
      </fill>
      <border outline="0">
        <left/>
      </border>
    </odxf>
    <ndxf>
      <fill>
        <patternFill>
          <bgColor rgb="FFFFFF00"/>
        </patternFill>
      </fill>
      <border outline="0">
        <left style="thin">
          <color indexed="64"/>
        </left>
      </border>
    </ndxf>
  </rcc>
  <rcc rId="591" sId="5" odxf="1" dxf="1">
    <oc r="X14" t="inlineStr">
      <is>
        <t>רמון</t>
      </is>
    </oc>
    <nc r="X14"/>
    <odxf>
      <fill>
        <patternFill>
          <bgColor rgb="FFFFFF00"/>
        </patternFill>
      </fill>
      <border outline="0">
        <left style="thin">
          <color indexed="64"/>
        </left>
      </border>
    </odxf>
    <ndxf>
      <fill>
        <patternFill>
          <bgColor theme="9" tint="0.79998168889431442"/>
        </patternFill>
      </fill>
      <border outline="0">
        <left style="medium">
          <color indexed="64"/>
        </left>
      </border>
    </ndxf>
  </rcc>
  <rcc rId="592" sId="5" odxf="1" dxf="1">
    <oc r="X15" t="inlineStr">
      <is>
        <t>רמון</t>
      </is>
    </oc>
    <nc r="X15"/>
    <odxf>
      <fill>
        <patternFill>
          <bgColor rgb="FFFFFF00"/>
        </patternFill>
      </fill>
      <border outline="0">
        <left style="thin">
          <color indexed="64"/>
        </left>
      </border>
    </odxf>
    <ndxf>
      <fill>
        <patternFill>
          <bgColor theme="9" tint="0.79998168889431442"/>
        </patternFill>
      </fill>
      <border outline="0">
        <left/>
      </border>
    </ndxf>
  </rcc>
  <rcc rId="593" sId="5" odxf="1" dxf="1">
    <oc r="X16" t="inlineStr">
      <is>
        <t>רמון</t>
      </is>
    </oc>
    <nc r="X16"/>
    <odxf>
      <fill>
        <patternFill>
          <bgColor rgb="FFFFFF00"/>
        </patternFill>
      </fill>
      <border outline="0">
        <left style="thin">
          <color indexed="64"/>
        </left>
      </border>
    </odxf>
    <ndxf>
      <fill>
        <patternFill>
          <bgColor theme="9" tint="0.79998168889431442"/>
        </patternFill>
      </fill>
      <border outline="0">
        <left/>
      </border>
    </ndxf>
  </rcc>
  <rcc rId="594" sId="5" odxf="1" dxf="1">
    <oc r="X17" t="inlineStr">
      <is>
        <t>רמון</t>
      </is>
    </oc>
    <nc r="X17"/>
    <odxf>
      <fill>
        <patternFill>
          <bgColor rgb="FFFFFF00"/>
        </patternFill>
      </fill>
      <border outline="0">
        <left style="thin">
          <color indexed="64"/>
        </left>
      </border>
    </odxf>
    <ndxf>
      <fill>
        <patternFill>
          <bgColor theme="9" tint="0.79998168889431442"/>
        </patternFill>
      </fill>
      <border outline="0">
        <left/>
      </border>
    </ndxf>
  </rcc>
  <rcc rId="595" sId="5" odxf="1" dxf="1">
    <oc r="X18" t="inlineStr">
      <is>
        <t>רמון</t>
      </is>
    </oc>
    <nc r="X18"/>
    <odxf>
      <fill>
        <patternFill>
          <bgColor rgb="FFFFFF00"/>
        </patternFill>
      </fill>
      <border outline="0">
        <left style="thin">
          <color indexed="64"/>
        </left>
      </border>
    </odxf>
    <ndxf>
      <fill>
        <patternFill>
          <bgColor theme="9" tint="0.79998168889431442"/>
        </patternFill>
      </fill>
      <border outline="0">
        <left/>
      </border>
    </ndxf>
  </rcc>
</revisions>
</file>

<file path=xl/revisions/revisionLog1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96" sId="5">
    <nc r="W16" t="inlineStr">
      <is>
        <t>כ</t>
      </is>
    </nc>
  </rcc>
  <rcc rId="597" sId="5">
    <nc r="U22" t="inlineStr">
      <is>
        <t>כ</t>
      </is>
    </nc>
  </rcc>
  <rm rId="598" sheetId="5" source="W21" destination="W22" sourceSheetId="5">
    <rcc rId="0" sId="5" dxf="1">
      <nc r="W22" t="inlineStr">
        <is>
          <t>כ</t>
        </is>
      </nc>
      <ndxf>
        <font>
          <sz val="11"/>
          <color auto="1"/>
          <name val="Arial"/>
          <family val="2"/>
          <scheme val="minor"/>
        </font>
        <fill>
          <patternFill patternType="solid">
            <bgColor theme="9" tint="0.79998168889431442"/>
          </patternFill>
        </fill>
        <alignment horizontal="center" vertical="center"/>
        <border outline="0">
          <left style="thin">
            <color indexed="64"/>
          </left>
          <right style="medium">
            <color indexed="64"/>
          </right>
          <top style="thin">
            <color indexed="64"/>
          </top>
          <bottom style="thin">
            <color indexed="64"/>
          </bottom>
        </border>
      </ndxf>
    </rcc>
  </rm>
  <rcc rId="599" sId="5">
    <oc r="U16" t="inlineStr">
      <is>
        <t>כ</t>
      </is>
    </oc>
    <nc r="U16"/>
  </rcc>
  <rcv guid="{C6961C98-214A-4770-9A2D-B399A95C6C8B}" action="delete"/>
  <rcv guid="{C6961C98-214A-4770-9A2D-B399A95C6C8B}" action="add"/>
</revisions>
</file>

<file path=xl/revisions/revisionLog1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0" sId="5" odxf="1" dxf="1">
    <oc r="T14" t="inlineStr">
      <is>
        <t>רמון</t>
      </is>
    </oc>
    <nc r="T14"/>
    <odxf>
      <fill>
        <patternFill>
          <bgColor rgb="FFFFFF00"/>
        </patternFill>
      </fill>
      <border outline="0">
        <left style="thin">
          <color indexed="64"/>
        </left>
      </border>
    </odxf>
    <ndxf>
      <fill>
        <patternFill>
          <bgColor theme="9" tint="0.79998168889431442"/>
        </patternFill>
      </fill>
      <border outline="0">
        <left style="medium">
          <color indexed="64"/>
        </left>
      </border>
    </ndxf>
  </rcc>
  <rcc rId="601" sId="5" odxf="1" dxf="1">
    <oc r="T15" t="inlineStr">
      <is>
        <t>רמון</t>
      </is>
    </oc>
    <nc r="T15"/>
    <odxf>
      <fill>
        <patternFill>
          <bgColor rgb="FFFFFF00"/>
        </patternFill>
      </fill>
      <border outline="0">
        <left style="thin">
          <color indexed="64"/>
        </left>
      </border>
    </odxf>
    <ndxf>
      <fill>
        <patternFill>
          <bgColor theme="9" tint="0.79998168889431442"/>
        </patternFill>
      </fill>
      <border outline="0">
        <left style="medium">
          <color indexed="64"/>
        </left>
      </border>
    </ndxf>
  </rcc>
  <rcc rId="602" sId="5" odxf="1" dxf="1">
    <oc r="T16" t="inlineStr">
      <is>
        <t>רמון</t>
      </is>
    </oc>
    <nc r="T16"/>
    <odxf>
      <fill>
        <patternFill>
          <bgColor rgb="FFFFFF00"/>
        </patternFill>
      </fill>
      <border outline="0">
        <left style="thin">
          <color indexed="64"/>
        </left>
      </border>
    </odxf>
    <ndxf>
      <fill>
        <patternFill>
          <bgColor theme="9" tint="0.79998168889431442"/>
        </patternFill>
      </fill>
      <border outline="0">
        <left style="medium">
          <color indexed="64"/>
        </left>
      </border>
    </ndxf>
  </rcc>
  <rcc rId="603" sId="5" odxf="1" dxf="1">
    <oc r="T17" t="inlineStr">
      <is>
        <t>רמון</t>
      </is>
    </oc>
    <nc r="T17"/>
    <odxf>
      <fill>
        <patternFill>
          <bgColor rgb="FFFFFF00"/>
        </patternFill>
      </fill>
      <border outline="0">
        <left style="thin">
          <color indexed="64"/>
        </left>
      </border>
    </odxf>
    <ndxf>
      <fill>
        <patternFill>
          <bgColor theme="9" tint="0.79998168889431442"/>
        </patternFill>
      </fill>
      <border outline="0">
        <left style="medium">
          <color indexed="64"/>
        </left>
      </border>
    </ndxf>
  </rcc>
  <rcc rId="604" sId="5" odxf="1" dxf="1">
    <oc r="T18" t="inlineStr">
      <is>
        <t>רמון</t>
      </is>
    </oc>
    <nc r="T18"/>
    <odxf>
      <fill>
        <patternFill>
          <bgColor rgb="FFFFFF00"/>
        </patternFill>
      </fill>
      <border outline="0">
        <left style="thin">
          <color indexed="64"/>
        </left>
      </border>
    </odxf>
    <ndxf>
      <fill>
        <patternFill>
          <bgColor theme="9" tint="0.79998168889431442"/>
        </patternFill>
      </fill>
      <border outline="0">
        <left style="medium">
          <color indexed="64"/>
        </left>
      </border>
    </ndxf>
  </rcc>
</revisions>
</file>

<file path=xl/revisions/revisionLog1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5" sId="5" odxf="1" dxf="1">
    <nc r="AD10" t="inlineStr">
      <is>
        <t>ק</t>
      </is>
    </nc>
    <odxf>
      <fill>
        <patternFill>
          <bgColor rgb="FFFFFF00"/>
        </patternFill>
      </fill>
    </odxf>
    <ndxf>
      <fill>
        <patternFill>
          <bgColor theme="9" tint="0.79998168889431442"/>
        </patternFill>
      </fill>
    </ndxf>
  </rcc>
  <rcc rId="606" sId="5">
    <oc r="AD9" t="inlineStr">
      <is>
        <t>ק</t>
      </is>
    </oc>
    <nc r="AD9"/>
  </rcc>
  <rcc rId="607" sId="5">
    <oc r="AD14" t="inlineStr">
      <is>
        <t>ח</t>
      </is>
    </oc>
    <nc r="AD14"/>
  </rcc>
  <rcc rId="608" sId="5" odxf="1" dxf="1">
    <oc r="AD31" t="inlineStr">
      <is>
        <t>ק</t>
      </is>
    </oc>
    <nc r="AD31"/>
    <odxf>
      <font>
        <color auto="1"/>
      </font>
      <alignment vertical="center"/>
      <border outline="0">
        <right style="thin">
          <color indexed="64"/>
        </right>
      </border>
    </odxf>
    <ndxf>
      <font>
        <sz val="5"/>
        <color auto="1"/>
      </font>
      <alignment vertical="top"/>
      <border outline="0">
        <right/>
      </border>
    </ndxf>
  </rcc>
  <rcc rId="609" sId="5">
    <oc r="AD16" t="inlineStr">
      <is>
        <t>ק</t>
      </is>
    </oc>
    <nc r="AD16"/>
  </rcc>
  <rcc rId="610" sId="5">
    <nc r="AD17" t="inlineStr">
      <is>
        <t>ק</t>
      </is>
    </nc>
  </rcc>
  <rcmt sheetId="5" cell="AD10" guid="{A7176B0A-4940-4903-9460-B962298E5A54}" author="Avi Shmueli" newLength="43"/>
  <rcmt sheetId="5" cell="AD17" guid="{BDEB820F-8562-4A4C-A002-C4EE5418140D}" author="Avi Shmueli" newLength="43"/>
  <rcmt sheetId="5" cell="AD23" guid="{7BC050F9-39B6-4F93-8E7A-C32BCF00DF81}" author="Avi Shmueli" newLength="43"/>
</revisions>
</file>

<file path=xl/revisions/revisionLog1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1" sId="5" odxf="1" dxf="1">
    <nc r="T14"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cc rId="612" sId="5" odxf="1" dxf="1">
    <nc r="T15"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cc rId="613" sId="5" odxf="1" dxf="1">
    <nc r="T16"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cc rId="614" sId="5" odxf="1" dxf="1">
    <nc r="T17"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cc rId="615" sId="5" odxf="1" dxf="1">
    <nc r="T18" t="inlineStr">
      <is>
        <t>רמון</t>
      </is>
    </nc>
    <odxf>
      <fill>
        <patternFill>
          <bgColor theme="9" tint="0.79998168889431442"/>
        </patternFill>
      </fill>
      <border outline="0">
        <left style="medium">
          <color indexed="64"/>
        </left>
      </border>
    </odxf>
    <ndxf>
      <fill>
        <patternFill>
          <bgColor rgb="FFFFFF00"/>
        </patternFill>
      </fill>
      <border outline="0">
        <left style="thin">
          <color indexed="64"/>
        </left>
      </border>
    </ndxf>
  </rcc>
</revisions>
</file>

<file path=xl/revisions/revisionLog1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6" sId="5">
    <nc r="AD24" t="inlineStr">
      <is>
        <t>ק</t>
      </is>
    </nc>
  </rcc>
  <rcc rId="617" sId="5">
    <oc r="AD23" t="inlineStr">
      <is>
        <t>ק</t>
      </is>
    </oc>
    <nc r="AD23"/>
  </rcc>
  <rcmt sheetId="5" cell="AD23" guid="{00000000-0000-0000-0000-000000000000}" action="delete" author="Avi Shmueli"/>
  <rcmt sheetId="5" cell="AD24" guid="{40715262-F0E5-4583-8CCC-17CFC5FF20C4}" author="Avi Shmueli" newLength="43"/>
  <rcv guid="{9C777CA9-4E1C-4A90-9032-5D0586052FC8}" action="delete"/>
  <rcv guid="{9C777CA9-4E1C-4A90-9032-5D0586052FC8}" action="add"/>
</revisions>
</file>

<file path=xl/revisions/revisionLog1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6961C98-214A-4770-9A2D-B399A95C6C8B}" action="delete"/>
  <rcv guid="{C6961C98-214A-4770-9A2D-B399A95C6C8B}" action="add"/>
</revisions>
</file>

<file path=xl/revisions/revisionLog1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18" sId="5">
    <nc r="AW41" t="inlineStr">
      <is>
        <t>פ</t>
      </is>
    </nc>
  </rcc>
  <rcc rId="619" sId="5">
    <oc r="BX6" t="inlineStr">
      <is>
        <t>י</t>
      </is>
    </oc>
    <nc r="BX6" t="inlineStr">
      <is>
        <t>פ</t>
      </is>
    </nc>
  </rcc>
  <rcv guid="{C5360886-767B-4F33-B24F-A6512AA390CC}" action="delete"/>
  <rcv guid="{C5360886-767B-4F33-B24F-A6512AA390CC}" action="add"/>
</revisions>
</file>

<file path=xl/revisions/revisionLog1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0" sId="6">
    <oc r="BN18" t="inlineStr">
      <is>
        <t>י</t>
      </is>
    </oc>
    <nc r="BN18" t="inlineStr">
      <is>
        <t>ח</t>
      </is>
    </nc>
  </rcc>
  <rcc rId="621" sId="6" odxf="1" dxf="1">
    <oc r="BN19" t="inlineStr">
      <is>
        <t>ל</t>
      </is>
    </oc>
    <nc r="BN19" t="inlineStr">
      <is>
        <t>ח</t>
      </is>
    </nc>
    <odxf>
      <border outline="0">
        <top style="thin">
          <color indexed="64"/>
        </top>
      </border>
    </odxf>
    <ndxf>
      <border outline="0">
        <top/>
      </border>
    </ndxf>
  </rcc>
  <rcc rId="622" sId="6" odxf="1" dxf="1">
    <nc r="BN20" t="inlineStr">
      <is>
        <t>ח</t>
      </is>
    </nc>
    <odxf>
      <border outline="0">
        <top style="thin">
          <color indexed="64"/>
        </top>
      </border>
    </odxf>
    <ndxf>
      <border outline="0">
        <top/>
      </border>
    </ndxf>
  </rcc>
  <rcc rId="623" sId="6" odxf="1" dxf="1">
    <nc r="BN21" t="inlineStr">
      <is>
        <t>ח</t>
      </is>
    </nc>
    <odxf>
      <border outline="0">
        <top style="thin">
          <color indexed="64"/>
        </top>
      </border>
    </odxf>
    <ndxf>
      <border outline="0">
        <top/>
      </border>
    </ndxf>
  </rcc>
  <rcc rId="624" sId="6">
    <oc r="BN22" t="inlineStr">
      <is>
        <t>י</t>
      </is>
    </oc>
    <nc r="BN22" t="inlineStr">
      <is>
        <t>ח</t>
      </is>
    </nc>
  </rcc>
  <rcmt sheetId="6" cell="BN22" guid="{00000000-0000-0000-0000-000000000000}" action="delete" author="Merabi Kricheli"/>
  <rcv guid="{C5360886-767B-4F33-B24F-A6512AA390CC}" action="delete"/>
  <rcv guid="{C5360886-767B-4F33-B24F-A6512AA390CC}" action="add"/>
</revisions>
</file>

<file path=xl/revisions/revisionLog1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5" sId="5">
    <oc r="AW41" t="inlineStr">
      <is>
        <t>פ</t>
      </is>
    </oc>
    <nc r="AW41"/>
  </rcc>
</revisions>
</file>

<file path=xl/revisions/revisionLog1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6" sId="5" odxf="1" dxf="1">
    <nc r="AX5" t="inlineStr">
      <is>
        <t>L</t>
      </is>
    </nc>
    <odxf>
      <fill>
        <patternFill>
          <bgColor theme="9" tint="0.39997558519241921"/>
        </patternFill>
      </fill>
      <border outline="0">
        <top/>
      </border>
    </odxf>
    <ndxf>
      <fill>
        <patternFill>
          <bgColor theme="0" tint="-0.249977111117893"/>
        </patternFill>
      </fill>
      <border outline="0">
        <top style="thin">
          <color indexed="64"/>
        </top>
      </border>
    </ndxf>
  </rcc>
</revisions>
</file>

<file path=xl/revisions/revisionLog1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0" sId="4">
    <nc r="AB30" t="inlineStr">
      <is>
        <t>מ</t>
      </is>
    </nc>
  </rcc>
  <rcc rId="641" sId="5">
    <oc r="BP5" t="inlineStr">
      <is>
        <t>י</t>
      </is>
    </oc>
    <nc r="BP5" t="inlineStr">
      <is>
        <t>ח</t>
      </is>
    </nc>
  </rcc>
</revisions>
</file>

<file path=xl/revisions/revisionLog1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2" sId="5">
    <nc r="N8" t="inlineStr">
      <is>
        <t>שילוט</t>
      </is>
    </nc>
  </rcc>
  <rfmt sheetId="5" sqref="N8">
    <dxf>
      <fill>
        <patternFill>
          <bgColor rgb="FFFFE733"/>
        </patternFill>
      </fill>
    </dxf>
  </rfmt>
  <rcc rId="643" sId="5" odxf="1" dxf="1">
    <nc r="N10" t="inlineStr">
      <is>
        <t>שילוט</t>
      </is>
    </nc>
    <odxf>
      <fill>
        <patternFill>
          <bgColor theme="9" tint="0.79998168889431442"/>
        </patternFill>
      </fill>
    </odxf>
    <ndxf>
      <fill>
        <patternFill>
          <bgColor rgb="FFFFE733"/>
        </patternFill>
      </fill>
    </ndxf>
  </rcc>
  <rcc rId="644" sId="5" odxf="1" dxf="1">
    <nc r="X9" t="inlineStr">
      <is>
        <t>שילוט</t>
      </is>
    </nc>
    <odxf>
      <fill>
        <patternFill>
          <bgColor theme="9" tint="0.79998168889431442"/>
        </patternFill>
      </fill>
      <border outline="0">
        <left/>
      </border>
    </odxf>
    <ndxf>
      <fill>
        <patternFill>
          <bgColor rgb="FFFFE733"/>
        </patternFill>
      </fill>
      <border outline="0">
        <left style="medium">
          <color indexed="64"/>
        </left>
      </border>
    </ndxf>
  </rcc>
</revisions>
</file>

<file path=xl/revisions/revisionLog1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5" sId="4" odxf="1" dxf="1">
    <oc r="N30" t="inlineStr">
      <is>
        <t>חיפה</t>
      </is>
    </oc>
    <nc r="N30"/>
    <odxf>
      <font>
        <sz val="10"/>
      </font>
      <fill>
        <patternFill>
          <bgColor theme="7" tint="0.59999389629810485"/>
        </patternFill>
      </fill>
      <alignment vertical="top"/>
    </odxf>
    <ndxf>
      <font>
        <sz val="11"/>
        <color theme="1"/>
        <name val="Arial"/>
        <family val="2"/>
        <scheme val="minor"/>
      </font>
      <fill>
        <patternFill>
          <bgColor theme="9" tint="0.79998168889431442"/>
        </patternFill>
      </fill>
      <alignment vertical="center"/>
    </ndxf>
  </rcc>
  <rcc rId="646" sId="4" odxf="1" dxf="1">
    <nc r="Z30" t="inlineStr">
      <is>
        <t>חיפה</t>
      </is>
    </nc>
    <odxf>
      <font>
        <sz val="5"/>
      </font>
      <fill>
        <patternFill>
          <bgColor theme="9" tint="0.79998168889431442"/>
        </patternFill>
      </fill>
    </odxf>
    <ndxf>
      <font>
        <sz val="10"/>
      </font>
      <fill>
        <patternFill>
          <bgColor theme="7" tint="0.59999389629810485"/>
        </patternFill>
      </fill>
    </ndxf>
  </rcc>
</revisions>
</file>

<file path=xl/revisions/revisionLog1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7" sId="5" odxf="1" dxf="1">
    <oc r="P14" t="inlineStr">
      <is>
        <t>רמון</t>
      </is>
    </oc>
    <nc r="P14"/>
    <odxf>
      <fill>
        <patternFill>
          <bgColor rgb="FFFFFF00"/>
        </patternFill>
      </fill>
      <border outline="0">
        <left style="thin">
          <color indexed="64"/>
        </left>
      </border>
    </odxf>
    <ndxf>
      <fill>
        <patternFill>
          <bgColor theme="9" tint="0.79998168889431442"/>
        </patternFill>
      </fill>
      <border outline="0">
        <left style="medium">
          <color indexed="64"/>
        </left>
      </border>
    </ndxf>
  </rcc>
</revisions>
</file>

<file path=xl/revisions/revisionLog1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8" sId="5" odxf="1" dxf="1">
    <nc r="AL14" t="inlineStr">
      <is>
        <t>רמון</t>
      </is>
    </nc>
    <odxf>
      <fill>
        <patternFill>
          <bgColor theme="9" tint="0.79998168889431442"/>
        </patternFill>
      </fill>
      <border outline="0">
        <left style="medium">
          <color indexed="64"/>
        </left>
      </border>
    </odxf>
    <ndxf>
      <fill>
        <patternFill>
          <bgColor rgb="FFFFFF00"/>
        </patternFill>
      </fill>
      <border outline="0">
        <left/>
      </border>
    </ndxf>
  </rcc>
  <rcc rId="649" sId="5" odxf="1" dxf="1">
    <nc r="AL15" t="inlineStr">
      <is>
        <t>רמון</t>
      </is>
    </nc>
    <odxf>
      <fill>
        <patternFill>
          <bgColor theme="9" tint="0.79998168889431442"/>
        </patternFill>
      </fill>
      <border outline="0">
        <left style="medium">
          <color indexed="64"/>
        </left>
      </border>
    </odxf>
    <ndxf>
      <fill>
        <patternFill>
          <bgColor rgb="FFFFFF00"/>
        </patternFill>
      </fill>
      <border outline="0">
        <left/>
      </border>
    </ndxf>
  </rcc>
  <rcc rId="650" sId="5" odxf="1" dxf="1">
    <nc r="AL16" t="inlineStr">
      <is>
        <t>רמון</t>
      </is>
    </nc>
    <odxf>
      <fill>
        <patternFill>
          <bgColor theme="9" tint="0.79998168889431442"/>
        </patternFill>
      </fill>
      <border outline="0">
        <left style="medium">
          <color indexed="64"/>
        </left>
      </border>
    </odxf>
    <ndxf>
      <fill>
        <patternFill>
          <bgColor rgb="FFFFFF00"/>
        </patternFill>
      </fill>
      <border outline="0">
        <left/>
      </border>
    </ndxf>
  </rcc>
  <rcc rId="651" sId="5" odxf="1" dxf="1">
    <oc r="AL17" t="inlineStr">
      <is>
        <t>ק</t>
      </is>
    </oc>
    <nc r="AL17" t="inlineStr">
      <is>
        <t>רמון</t>
      </is>
    </nc>
    <odxf>
      <font>
        <sz val="11"/>
        <color theme="1"/>
        <name val="Arial"/>
        <family val="2"/>
        <scheme val="minor"/>
      </font>
      <fill>
        <patternFill>
          <bgColor theme="9" tint="0.79998168889431442"/>
        </patternFill>
      </fill>
      <border outline="0">
        <left style="medium">
          <color indexed="64"/>
        </left>
      </border>
    </odxf>
    <ndxf>
      <font>
        <sz val="11"/>
        <color auto="1"/>
        <name val="Arial"/>
        <family val="2"/>
        <scheme val="minor"/>
      </font>
      <fill>
        <patternFill>
          <bgColor rgb="FFFFFF00"/>
        </patternFill>
      </fill>
      <border outline="0">
        <left/>
      </border>
    </ndxf>
  </rcc>
  <rcc rId="652" sId="5" odxf="1" dxf="1">
    <nc r="AL18" t="inlineStr">
      <is>
        <t>רמון</t>
      </is>
    </nc>
    <odxf>
      <fill>
        <patternFill>
          <bgColor theme="9" tint="0.79998168889431442"/>
        </patternFill>
      </fill>
      <border outline="0">
        <left style="medium">
          <color indexed="64"/>
        </left>
      </border>
    </odxf>
    <ndxf>
      <fill>
        <patternFill>
          <bgColor rgb="FFFFFF00"/>
        </patternFill>
      </fill>
      <border outline="0">
        <left/>
      </border>
    </ndxf>
  </rcc>
  <rcmt sheetId="5" cell="AL17" guid="{00000000-0000-0000-0000-000000000000}" action="delete" author="Shmuel Fogel"/>
  <rm rId="653" sheetId="5" source="AM15" destination="AO15" sourceSheetId="5">
    <rfmt sheetId="5" sqref="AO15" start="0" length="0">
      <dxf>
        <font>
          <sz val="11"/>
          <color auto="1"/>
          <name val="Arial"/>
          <family val="2"/>
          <scheme val="minor"/>
        </font>
        <fill>
          <patternFill patternType="solid">
            <bgColor theme="9" tint="0.79998168889431442"/>
          </patternFill>
        </fill>
        <alignment horizontal="center" vertical="center"/>
        <border outline="0">
          <left style="thin">
            <color indexed="64"/>
          </left>
          <right style="medium">
            <color indexed="64"/>
          </right>
          <top style="thin">
            <color indexed="64"/>
          </top>
          <bottom style="thin">
            <color indexed="64"/>
          </bottom>
        </border>
      </dxf>
    </rfmt>
  </rm>
  <rfmt sheetId="5" sqref="AM15" start="0" length="0">
    <dxf>
      <font>
        <sz val="11"/>
        <color auto="1"/>
        <name val="Arial"/>
        <family val="2"/>
        <scheme val="minor"/>
      </font>
      <fill>
        <patternFill patternType="solid">
          <bgColor theme="9" tint="0.79998168889431442"/>
        </patternFill>
      </fill>
      <border outline="0">
        <left style="thin">
          <color indexed="64"/>
        </left>
        <right style="medium">
          <color indexed="64"/>
        </right>
        <top style="thin">
          <color indexed="64"/>
        </top>
        <bottom style="thin">
          <color indexed="64"/>
        </bottom>
      </border>
    </dxf>
  </rfmt>
  <rm rId="654" sheetId="5" source="AO22" destination="AM22" sourceSheetId="5">
    <rfmt sheetId="5" sqref="AM22" start="0" length="0">
      <dxf>
        <font>
          <sz val="11"/>
          <color auto="1"/>
          <name val="Arial"/>
          <family val="2"/>
          <scheme val="minor"/>
        </font>
        <fill>
          <patternFill patternType="solid">
            <bgColor theme="9" tint="0.79998168889431442"/>
          </patternFill>
        </fill>
        <alignment horizontal="center" vertical="center"/>
        <border outline="0">
          <left style="thin">
            <color indexed="64"/>
          </left>
          <right style="medium">
            <color indexed="64"/>
          </right>
          <top style="thin">
            <color indexed="64"/>
          </top>
          <bottom style="thin">
            <color indexed="64"/>
          </bottom>
        </border>
      </dxf>
    </rfmt>
  </rm>
  <rfmt sheetId="5" sqref="AO22" start="0" length="0">
    <dxf>
      <font>
        <sz val="11"/>
        <color auto="1"/>
        <name val="Arial"/>
        <family val="2"/>
        <scheme val="minor"/>
      </font>
      <fill>
        <patternFill patternType="solid">
          <bgColor theme="9" tint="0.79998168889431442"/>
        </patternFill>
      </fill>
      <border outline="0">
        <left style="thin">
          <color indexed="64"/>
        </left>
        <right style="medium">
          <color indexed="64"/>
        </right>
        <top style="thin">
          <color indexed="64"/>
        </top>
        <bottom style="thin">
          <color indexed="64"/>
        </bottom>
      </border>
    </dxf>
  </rfmt>
  <rm rId="655" sheetId="5" source="AF9" destination="AJ9" sourceSheetId="5">
    <rfmt sheetId="5" sqref="AJ9" start="0" length="0">
      <dxf>
        <font>
          <sz val="11"/>
          <color auto="1"/>
          <name val="Arial"/>
          <family val="2"/>
          <scheme val="minor"/>
        </font>
        <fill>
          <patternFill patternType="solid">
            <bgColor theme="9" tint="0.79998168889431442"/>
          </patternFill>
        </fill>
        <alignment horizontal="center" vertical="center"/>
        <border outline="0">
          <left style="medium">
            <color indexed="64"/>
          </left>
          <right style="thin">
            <color indexed="64"/>
          </right>
          <top style="thin">
            <color indexed="64"/>
          </top>
          <bottom style="thin">
            <color indexed="64"/>
          </bottom>
        </border>
      </dxf>
    </rfmt>
  </rm>
  <rfmt sheetId="5" sqref="AF9" start="0" length="0">
    <dxf>
      <font>
        <sz val="11"/>
        <color auto="1"/>
        <name val="Arial"/>
        <family val="2"/>
        <scheme val="minor"/>
      </font>
      <fill>
        <patternFill patternType="solid">
          <bgColor theme="9" tint="0.79998168889431442"/>
        </patternFill>
      </fill>
      <border outline="0">
        <left style="medium">
          <color indexed="64"/>
        </left>
        <right style="thin">
          <color indexed="64"/>
        </right>
        <top style="thin">
          <color indexed="64"/>
        </top>
        <bottom style="thin">
          <color indexed="64"/>
        </bottom>
      </border>
    </dxf>
  </rfmt>
  <rm rId="656" sheetId="5" source="AK9" destination="AO9" sourceSheetId="5">
    <rfmt sheetId="5" sqref="AO9" start="0" length="0">
      <dxf>
        <font>
          <sz val="11"/>
          <color auto="1"/>
          <name val="Arial"/>
          <family val="2"/>
          <scheme val="minor"/>
        </font>
        <fill>
          <patternFill patternType="solid">
            <bgColor theme="9" tint="0.79998168889431442"/>
          </patternFill>
        </fill>
        <alignment horizontal="center" vertical="center"/>
        <border outline="0">
          <left style="thin">
            <color indexed="64"/>
          </left>
          <right style="medium">
            <color indexed="64"/>
          </right>
          <top style="thin">
            <color indexed="64"/>
          </top>
          <bottom style="thin">
            <color indexed="64"/>
          </bottom>
        </border>
      </dxf>
    </rfmt>
  </rm>
  <rfmt sheetId="5" sqref="AK9" start="0" length="0">
    <dxf>
      <font>
        <sz val="11"/>
        <color auto="1"/>
        <name val="Arial"/>
        <family val="2"/>
        <scheme val="minor"/>
      </font>
      <fill>
        <patternFill patternType="solid">
          <bgColor theme="9" tint="0.79998168889431442"/>
        </patternFill>
      </fill>
      <border outline="0">
        <left style="thin">
          <color indexed="64"/>
        </left>
        <right style="medium">
          <color indexed="64"/>
        </right>
        <top style="thin">
          <color indexed="64"/>
        </top>
        <bottom style="thin">
          <color indexed="64"/>
        </bottom>
      </border>
    </dxf>
  </rfmt>
  <rm rId="657" sheetId="5" source="AO18" destination="AK18" sourceSheetId="5">
    <rfmt sheetId="5" sqref="AK18" start="0" length="0">
      <dxf>
        <font>
          <sz val="11"/>
          <color auto="1"/>
          <name val="Arial"/>
          <family val="2"/>
          <scheme val="minor"/>
        </font>
        <fill>
          <patternFill patternType="solid">
            <bgColor theme="9" tint="0.79998168889431442"/>
          </patternFill>
        </fill>
        <alignment horizontal="center" vertical="center"/>
        <border outline="0">
          <left style="thin">
            <color indexed="64"/>
          </left>
          <right style="medium">
            <color indexed="64"/>
          </right>
          <top style="thin">
            <color indexed="64"/>
          </top>
          <bottom style="thin">
            <color indexed="64"/>
          </bottom>
        </border>
      </dxf>
    </rfmt>
  </rm>
  <rfmt sheetId="5" sqref="AO18" start="0" length="0">
    <dxf>
      <font>
        <sz val="11"/>
        <color auto="1"/>
        <name val="Arial"/>
        <family val="2"/>
        <scheme val="minor"/>
      </font>
      <fill>
        <patternFill patternType="solid">
          <bgColor theme="9" tint="0.79998168889431442"/>
        </patternFill>
      </fill>
      <border outline="0">
        <left style="thin">
          <color indexed="64"/>
        </left>
        <right style="medium">
          <color indexed="64"/>
        </right>
        <top style="thin">
          <color indexed="64"/>
        </top>
        <bottom style="thin">
          <color indexed="64"/>
        </bottom>
      </border>
    </dxf>
  </rfmt>
  <rcmt sheetId="5" cell="AO9" guid="{0F1A2782-6EDB-4511-8AF2-FA08754D3636}" author="Shmuel Fogel" oldLength="5" newLength="6"/>
  <rcmt sheetId="5" cell="AO15" guid="{315B165F-3A9E-4793-8FEB-E73EFC955D8B}" author="Shmuel Fogel" oldLength="6" newLength="5"/>
  <rcmt sheetId="5" cell="AK18" guid="{F20E5FC3-85D3-4941-A28C-A053576E8CA1}" author="Shmuel Fogel" newLength="5"/>
  <rcmt sheetId="5" cell="AM22" guid="{9EBB5838-4C1D-41EB-B5B0-656C9BD7BCDC}" author="Shmuel Fogel" newLength="5"/>
  <rcv guid="{FEBD343F-EB1E-4B3A-B093-25A74DB60DAB}" action="delete"/>
  <rcv guid="{FEBD343F-EB1E-4B3A-B093-25A74DB60DAB}" action="add"/>
</revisions>
</file>

<file path=xl/revisions/revisionLog1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W21" start="0" length="0">
    <dxf>
      <font>
        <sz val="11"/>
        <color auto="1"/>
        <name val="Arial"/>
        <family val="2"/>
        <scheme val="minor"/>
      </font>
      <fill>
        <patternFill patternType="solid">
          <bgColor theme="9" tint="0.79998168889431442"/>
        </patternFill>
      </fill>
      <border outline="0">
        <left style="thin">
          <color indexed="64"/>
        </left>
        <right style="medium">
          <color indexed="64"/>
        </right>
        <top style="thin">
          <color indexed="64"/>
        </top>
        <bottom style="thin">
          <color indexed="64"/>
        </bottom>
      </border>
    </dxf>
  </rfmt>
</revisions>
</file>

<file path=xl/revisions/revisionLog1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8" sId="4">
    <nc r="H33" t="inlineStr">
      <is>
        <t>כמ</t>
      </is>
    </nc>
  </rcc>
  <rcc rId="659" sId="4">
    <oc r="U33" t="inlineStr">
      <is>
        <t>כמ</t>
      </is>
    </oc>
    <nc r="U33"/>
  </rcc>
  <rcc rId="660" sId="4">
    <nc r="U32" t="inlineStr">
      <is>
        <t>כמ</t>
      </is>
    </nc>
  </rcc>
  <rcc rId="661" sId="4">
    <oc r="I32" t="inlineStr">
      <is>
        <t>כמ</t>
      </is>
    </oc>
    <nc r="I32"/>
  </rcc>
  <rcc rId="662" sId="4">
    <nc r="T33" t="inlineStr">
      <is>
        <t>ח</t>
      </is>
    </nc>
  </rcc>
  <rcc rId="663" sId="4">
    <oc r="T34" t="inlineStr">
      <is>
        <t>ח</t>
      </is>
    </oc>
    <nc r="T34"/>
  </rcc>
  <rcv guid="{C6961C98-214A-4770-9A2D-B399A95C6C8B}" action="delete"/>
  <rcv guid="{C6961C98-214A-4770-9A2D-B399A95C6C8B}" action="add"/>
</revisions>
</file>

<file path=xl/revisions/revisionLog1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4" sId="4">
    <nc r="D33" t="inlineStr">
      <is>
        <t>תיעוד</t>
      </is>
    </nc>
  </rcc>
  <rcc rId="665" sId="4">
    <nc r="F33" t="inlineStr">
      <is>
        <t>PBB</t>
      </is>
    </nc>
  </rcc>
  <rcc rId="666" sId="4">
    <nc r="J33" t="inlineStr">
      <is>
        <t>AVDGS</t>
      </is>
    </nc>
  </rcc>
  <rcc rId="667" sId="4">
    <nc r="L33" t="inlineStr">
      <is>
        <t>PBB</t>
      </is>
    </nc>
  </rcc>
  <rcc rId="668" sId="4">
    <nc r="N33" t="inlineStr">
      <is>
        <t>שילוט</t>
      </is>
    </nc>
  </rcc>
  <rcc rId="669" sId="4">
    <nc r="P33" t="inlineStr">
      <is>
        <t>CRM</t>
      </is>
    </nc>
  </rcc>
  <rcc rId="670" sId="4">
    <nc r="X33" t="inlineStr">
      <is>
        <t>ראש פינה</t>
      </is>
    </nc>
  </rcc>
  <rcc rId="671" sId="4">
    <nc r="AF33" t="inlineStr">
      <is>
        <t>ראש פינה</t>
      </is>
    </nc>
  </rcc>
</revisions>
</file>

<file path=xl/revisions/revisionLog1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T14" start="0" length="0">
    <dxf>
      <font>
        <sz val="9"/>
        <color auto="1"/>
      </font>
    </dxf>
  </rfmt>
</revisions>
</file>

<file path=xl/revisions/revisionLog1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9" sId="4">
    <nc r="D34" t="inlineStr">
      <is>
        <t>ח</t>
      </is>
    </nc>
  </rcc>
  <rcc rId="680" sId="4">
    <oc r="T34" t="inlineStr">
      <is>
        <t>ח</t>
      </is>
    </oc>
    <nc r="T34" t="inlineStr">
      <is>
        <t>מ</t>
      </is>
    </nc>
  </rcc>
  <rcv guid="{C6961C98-214A-4770-9A2D-B399A95C6C8B}" action="delete"/>
  <rcv guid="{C6961C98-214A-4770-9A2D-B399A95C6C8B}" action="add"/>
</revisions>
</file>

<file path=xl/revisions/revisionLog1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1" sId="5">
    <nc r="H30" t="inlineStr">
      <is>
        <t>רמון</t>
      </is>
    </nc>
  </rcc>
  <rfmt sheetId="5" sqref="H30" start="0" length="2147483647">
    <dxf>
      <font>
        <sz val="8"/>
      </font>
    </dxf>
  </rfmt>
  <rfmt sheetId="5" sqref="H30" start="0" length="2147483647">
    <dxf>
      <font>
        <sz val="9"/>
      </font>
    </dxf>
  </rfmt>
  <rfmt sheetId="5" sqref="H30" start="0" length="2147483647">
    <dxf>
      <font>
        <sz val="10"/>
      </font>
    </dxf>
  </rfmt>
  <rfmt sheetId="5" sqref="H30" start="0" length="2147483647">
    <dxf>
      <font>
        <sz val="11"/>
      </font>
    </dxf>
  </rfmt>
  <rfmt sheetId="5" sqref="H30">
    <dxf>
      <fill>
        <patternFill>
          <bgColor rgb="FFFFFF00"/>
        </patternFill>
      </fill>
    </dxf>
  </rfmt>
  <rcc rId="682" sId="5" odxf="1" dxf="1">
    <nc r="H29" t="inlineStr">
      <is>
        <t>רמון</t>
      </is>
    </nc>
    <odxf>
      <fill>
        <patternFill>
          <bgColor theme="9" tint="0.79998168889431442"/>
        </patternFill>
      </fill>
      <alignment vertical="center"/>
      <border outline="0">
        <left style="medium">
          <color indexed="64"/>
        </left>
        <right style="thin">
          <color indexed="64"/>
        </right>
      </border>
    </odxf>
    <ndxf>
      <fill>
        <patternFill>
          <bgColor rgb="FFFFFF00"/>
        </patternFill>
      </fill>
      <alignment vertical="top"/>
      <border outline="0">
        <left/>
        <right/>
      </border>
    </ndxf>
  </rcc>
  <rcc rId="683" sId="5" odxf="1" dxf="1">
    <nc r="H31" t="inlineStr">
      <is>
        <t>רמון</t>
      </is>
    </nc>
    <odxf>
      <fill>
        <patternFill>
          <bgColor theme="9" tint="0.79998168889431442"/>
        </patternFill>
      </fill>
      <alignment vertical="center"/>
      <border outline="0">
        <left style="medium">
          <color indexed="64"/>
        </left>
        <right style="thin">
          <color indexed="64"/>
        </right>
      </border>
    </odxf>
    <ndxf>
      <fill>
        <patternFill>
          <bgColor rgb="FFFFFF00"/>
        </patternFill>
      </fill>
      <alignment vertical="top"/>
      <border outline="0">
        <left/>
        <right/>
      </border>
    </ndxf>
  </rcc>
  <rcc rId="684" sId="5" odxf="1" dxf="1">
    <nc r="X29" t="inlineStr">
      <is>
        <t>רמון</t>
      </is>
    </nc>
    <odxf>
      <fill>
        <patternFill>
          <bgColor theme="9" tint="0.79998168889431442"/>
        </patternFill>
      </fill>
      <alignment vertical="center"/>
      <border outline="0">
        <right style="thin">
          <color indexed="64"/>
        </right>
      </border>
    </odxf>
    <ndxf>
      <fill>
        <patternFill>
          <bgColor rgb="FFFFFF00"/>
        </patternFill>
      </fill>
      <alignment vertical="top"/>
      <border outline="0">
        <right/>
      </border>
    </ndxf>
  </rcc>
  <rcc rId="685" sId="5" odxf="1" dxf="1">
    <nc r="X30" t="inlineStr">
      <is>
        <t>רמון</t>
      </is>
    </nc>
    <odxf>
      <font>
        <sz val="5"/>
        <color auto="1"/>
      </font>
      <fill>
        <patternFill>
          <bgColor theme="9" tint="0.79998168889431442"/>
        </patternFill>
      </fill>
    </odxf>
    <ndxf>
      <font>
        <sz val="5"/>
        <color auto="1"/>
      </font>
      <fill>
        <patternFill>
          <bgColor rgb="FFFFFF00"/>
        </patternFill>
      </fill>
    </ndxf>
  </rcc>
  <rcc rId="686" sId="5" odxf="1" dxf="1">
    <nc r="X31" t="inlineStr">
      <is>
        <t>רמון</t>
      </is>
    </nc>
    <odxf>
      <fill>
        <patternFill>
          <bgColor theme="9" tint="0.79998168889431442"/>
        </patternFill>
      </fill>
      <alignment vertical="center"/>
      <border outline="0">
        <right style="thin">
          <color indexed="64"/>
        </right>
      </border>
    </odxf>
    <ndxf>
      <fill>
        <patternFill>
          <bgColor rgb="FFFFFF00"/>
        </patternFill>
      </fill>
      <alignment vertical="top"/>
      <border outline="0">
        <right/>
      </border>
    </ndxf>
  </rcc>
  <rcmt sheetId="5" cell="H29" guid="{4E6C0B17-C0CD-4461-B31C-DB4E830C7472}" author="Avi Manorr" newLength="24"/>
  <rcmt sheetId="5" cell="X29" guid="{31A8A3F2-FF26-445D-A10E-DA01D3558BB1}" author="Avi Manorr" newLength="24"/>
  <rcmt sheetId="5" cell="H30" guid="{E203154A-DC0A-4180-9B79-8A0C1F7B3339}" author="Avi Manorr" newLength="24"/>
  <rcmt sheetId="5" cell="X30" guid="{40F2D06F-C4FA-4C76-B076-1130377FF3E1}" author="Avi Manorr" newLength="24"/>
  <rcmt sheetId="5" cell="H31" guid="{D608B78F-BD08-43ED-934A-6DDA97683E01}" author="Avi Manorr" newLength="24"/>
  <rcmt sheetId="5" cell="X31" guid="{CC697FA3-341F-4B5A-83A7-4EDABD23F1C1}" author="Avi Manorr" newLength="24"/>
</revisions>
</file>

<file path=xl/revisions/revisionLog1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7" sId="5">
    <nc r="D9" t="inlineStr">
      <is>
        <t>Contel</t>
      </is>
    </nc>
  </rcc>
  <rcc rId="688" sId="5">
    <nc r="D10" t="inlineStr">
      <is>
        <t>Contel</t>
      </is>
    </nc>
  </rcc>
</revisions>
</file>

<file path=xl/revisions/revisionLog1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9" sId="5">
    <nc r="AJ8" t="inlineStr">
      <is>
        <t>מסלול</t>
      </is>
    </nc>
  </rcc>
  <rfmt sheetId="5" sqref="AJ8">
    <dxf>
      <fill>
        <patternFill>
          <bgColor rgb="FF92D050"/>
        </patternFill>
      </fill>
    </dxf>
  </rfmt>
</revisions>
</file>

<file path=xl/revisions/revisionLog1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0" sId="5">
    <nc r="L8" t="inlineStr">
      <is>
        <t>PBB</t>
      </is>
    </nc>
  </rcc>
  <rcc rId="691" sId="5" odxf="1" dxf="1">
    <nc r="V8" t="inlineStr">
      <is>
        <t>PBB</t>
      </is>
    </nc>
    <odxf>
      <border outline="0">
        <left/>
      </border>
    </odxf>
    <ndxf>
      <border outline="0">
        <left style="medium">
          <color indexed="64"/>
        </left>
      </border>
    </ndxf>
  </rcc>
  <rfmt sheetId="5" sqref="V8">
    <dxf>
      <fill>
        <patternFill>
          <bgColor rgb="FFFFC000"/>
        </patternFill>
      </fill>
    </dxf>
  </rfmt>
  <rcc rId="692" sId="5" odxf="1" dxf="1">
    <nc r="V10" t="inlineStr">
      <is>
        <t>PBB</t>
      </is>
    </nc>
    <odxf>
      <fill>
        <patternFill>
          <bgColor theme="9" tint="0.79998168889431442"/>
        </patternFill>
      </fill>
      <border outline="0">
        <left/>
      </border>
    </odxf>
    <ndxf>
      <fill>
        <patternFill>
          <bgColor rgb="FFFFC000"/>
        </patternFill>
      </fill>
      <border outline="0">
        <left style="medium">
          <color indexed="64"/>
        </left>
      </border>
    </ndxf>
  </rcc>
  <rcc rId="693" sId="5">
    <nc r="F10" t="inlineStr">
      <is>
        <t>PBB</t>
      </is>
    </nc>
  </rcc>
  <rfmt sheetId="5" sqref="F10">
    <dxf>
      <fill>
        <patternFill>
          <bgColor rgb="FFFFC000"/>
        </patternFill>
      </fill>
    </dxf>
  </rfmt>
  <rcc rId="694" sId="5">
    <nc r="X8" t="inlineStr">
      <is>
        <t>ראש פינה</t>
      </is>
    </nc>
  </rcc>
  <rcc rId="695" sId="5">
    <nc r="AD8" t="inlineStr">
      <is>
        <t>ראש פינה</t>
      </is>
    </nc>
  </rcc>
  <rcc rId="696" sId="5" odxf="1" dxf="1">
    <nc r="D8" t="inlineStr">
      <is>
        <t>ראש פינה</t>
      </is>
    </nc>
    <odxf>
      <border outline="0">
        <left style="medium">
          <color indexed="64"/>
        </left>
      </border>
    </odxf>
    <ndxf>
      <border outline="0">
        <left/>
      </border>
    </ndxf>
  </rcc>
</revisions>
</file>

<file path=xl/revisions/revisionLog1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X10">
    <dxf>
      <fill>
        <patternFill>
          <bgColor theme="9" tint="0.79998168889431442"/>
        </patternFill>
      </fill>
    </dxf>
  </rfmt>
  <rfmt sheetId="5" sqref="T10" start="0" length="0">
    <dxf>
      <fill>
        <patternFill>
          <bgColor theme="9" tint="0.79998168889431442"/>
        </patternFill>
      </fill>
    </dxf>
  </rfmt>
  <rfmt sheetId="5" sqref="AJ10" start="0" length="0">
    <dxf>
      <fill>
        <patternFill>
          <bgColor theme="9" tint="0.79998168889431442"/>
        </patternFill>
      </fill>
      <border outline="0">
        <left/>
      </border>
    </dxf>
  </rfmt>
</revisions>
</file>

<file path=xl/revisions/revisionLog1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97" sId="5">
    <nc r="P7" t="inlineStr">
      <is>
        <t>CRM</t>
      </is>
    </nc>
  </rcc>
  <rcc rId="698" sId="5">
    <nc r="P8" t="inlineStr">
      <is>
        <t>CRM</t>
      </is>
    </nc>
  </rcc>
  <rcc rId="699" sId="5">
    <nc r="P10" t="inlineStr">
      <is>
        <t>CRM</t>
      </is>
    </nc>
  </rcc>
</revisions>
</file>

<file path=xl/revisions/revisionLog1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0" sId="5" odxf="1" dxf="1">
    <nc r="T8" t="inlineStr">
      <is>
        <t>מסלול</t>
      </is>
    </nc>
    <odxf>
      <fill>
        <patternFill>
          <bgColor theme="9" tint="0.79998168889431442"/>
        </patternFill>
      </fill>
      <border outline="0">
        <left/>
      </border>
    </odxf>
    <ndxf>
      <fill>
        <patternFill>
          <bgColor rgb="FF92D050"/>
        </patternFill>
      </fill>
      <border outline="0">
        <left style="medium">
          <color indexed="64"/>
        </left>
      </border>
    </ndxf>
  </rcc>
  <rcc rId="701" sId="5" odxf="1" dxf="1">
    <nc r="H8" t="inlineStr">
      <is>
        <t>מסלול</t>
      </is>
    </nc>
    <odxf>
      <fill>
        <patternFill>
          <bgColor theme="9" tint="0.79998168889431442"/>
        </patternFill>
      </fill>
    </odxf>
    <ndxf>
      <fill>
        <patternFill>
          <bgColor rgb="FF92D050"/>
        </patternFill>
      </fill>
    </ndxf>
  </rcc>
  <rcc rId="702" sId="5" odxf="1" dxf="1">
    <oc r="AJ8" t="inlineStr">
      <is>
        <t>מסלול</t>
      </is>
    </oc>
    <nc r="AJ8" t="inlineStr">
      <is>
        <t>ראש פינה</t>
      </is>
    </nc>
    <odxf>
      <fill>
        <patternFill>
          <bgColor rgb="FF92D050"/>
        </patternFill>
      </fill>
      <border outline="0">
        <left style="medium">
          <color indexed="64"/>
        </left>
      </border>
    </odxf>
    <ndxf>
      <fill>
        <patternFill>
          <bgColor theme="9" tint="0.79998168889431442"/>
        </patternFill>
      </fill>
      <border outline="0">
        <left/>
      </border>
    </ndxf>
  </rcc>
</revisions>
</file>

<file path=xl/revisions/revisionLog1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3" sId="5">
    <nc r="J9" t="inlineStr">
      <is>
        <t>E2E4</t>
      </is>
    </nc>
  </rcc>
  <rcc rId="704" sId="5">
    <nc r="J10" t="inlineStr">
      <is>
        <t>E5E9</t>
      </is>
    </nc>
  </rcc>
  <rfmt sheetId="5" sqref="L8">
    <dxf>
      <fill>
        <patternFill>
          <bgColor rgb="FFFFC000"/>
        </patternFill>
      </fill>
    </dxf>
  </rfmt>
</revisions>
</file>

<file path=xl/revisions/revisionLog1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5" sId="5">
    <nc r="X32" t="inlineStr">
      <is>
        <t>כ</t>
      </is>
    </nc>
  </rcc>
  <rcv guid="{319CE2B6-D20C-48B8-B7D9-15D19162A7CD}" action="add"/>
</revisions>
</file>

<file path=xl/revisions/revisionLog1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6" sId="5">
    <nc r="X15" t="inlineStr">
      <is>
        <t>ראש פינה</t>
      </is>
    </nc>
  </rcc>
  <rcc rId="707" sId="5" odxf="1" dxf="1">
    <nc r="N15" t="inlineStr">
      <is>
        <t>ראש פינה</t>
      </is>
    </nc>
    <odxf>
      <border outline="0">
        <left style="medium">
          <color indexed="64"/>
        </left>
      </border>
    </odxf>
    <ndxf>
      <border outline="0">
        <left/>
      </border>
    </ndxf>
  </rcc>
  <rcc rId="708" sId="5">
    <nc r="X17" t="inlineStr">
      <is>
        <t>ראש פינה</t>
      </is>
    </nc>
  </rcc>
  <rcv guid="{C6961C98-214A-4770-9A2D-B399A95C6C8B}" action="delete"/>
  <rcv guid="{C6961C98-214A-4770-9A2D-B399A95C6C8B}" action="add"/>
</revisions>
</file>

<file path=xl/revisions/revisionLog1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9" sId="5">
    <nc r="N7" t="inlineStr">
      <is>
        <t>UPS</t>
      </is>
    </nc>
  </rcc>
  <rcc rId="710" sId="5">
    <nc r="N9" t="inlineStr">
      <is>
        <t>ק</t>
      </is>
    </nc>
  </rcc>
  <rcc rId="711" sId="5">
    <nc r="N11" t="inlineStr">
      <is>
        <t>UPS</t>
      </is>
    </nc>
  </rcc>
</revisions>
</file>

<file path=xl/revisions/revisionLog1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2" sId="14">
    <oc r="M24" t="inlineStr">
      <is>
        <t>עומרי סלמן</t>
      </is>
    </oc>
    <nc r="M24" t="inlineStr">
      <is>
        <t>עמרי סלמן</t>
      </is>
    </nc>
  </rcc>
</revisions>
</file>

<file path=xl/revisions/revisionLog1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3" sId="1">
    <oc r="BI3" t="inlineStr">
      <is>
        <t>עומרי סלמן</t>
      </is>
    </oc>
    <nc r="BI3" t="inlineStr">
      <is>
        <t>עמרי סלמן</t>
      </is>
    </nc>
  </rcc>
</revisions>
</file>

<file path=xl/revisions/revisionLog1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4" sId="4">
    <nc r="G34" t="inlineStr">
      <is>
        <t>כ</t>
      </is>
    </nc>
  </rcc>
  <rcc rId="715" sId="4">
    <oc r="W34" t="inlineStr">
      <is>
        <t>כ</t>
      </is>
    </oc>
    <nc r="W34"/>
  </rcc>
  <rcc rId="716" sId="4">
    <nc r="W16" t="inlineStr">
      <is>
        <t>כמ</t>
      </is>
    </nc>
  </rcc>
  <rcc rId="717" sId="4">
    <oc r="G16" t="inlineStr">
      <is>
        <t>כמ</t>
      </is>
    </oc>
    <nc r="G16"/>
  </rcc>
  <rcmt sheetId="4" cell="G16" guid="{00000000-0000-0000-0000-000000000000}" action="delete" author="Avi Manorr"/>
  <rcmt sheetId="4" cell="W16" guid="{57B45BAA-BF47-4285-AD5B-7432C7715A35}" author="Avi Manorr" newLength="20"/>
</revisions>
</file>

<file path=xl/revisions/revisionLog1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8" sId="5" odxf="1" dxf="1">
    <oc r="X29" t="inlineStr">
      <is>
        <t>רמון</t>
      </is>
    </oc>
    <nc r="X29"/>
    <odxf>
      <fill>
        <patternFill>
          <bgColor rgb="FFFFFF00"/>
        </patternFill>
      </fill>
      <alignment vertical="top"/>
      <border outline="0">
        <right/>
      </border>
    </odxf>
    <ndxf>
      <fill>
        <patternFill>
          <bgColor theme="9" tint="0.79998168889431442"/>
        </patternFill>
      </fill>
      <alignment vertical="center"/>
      <border outline="0">
        <right style="thin">
          <color indexed="64"/>
        </right>
      </border>
    </ndxf>
  </rcc>
  <rcc rId="719" sId="5" odxf="1" dxf="1">
    <oc r="X30" t="inlineStr">
      <is>
        <t>רמון</t>
      </is>
    </oc>
    <nc r="X30"/>
    <odxf>
      <font>
        <sz val="12"/>
        <color auto="1"/>
      </font>
      <fill>
        <patternFill>
          <bgColor rgb="FFFFFF00"/>
        </patternFill>
      </fill>
      <alignment vertical="top"/>
      <border outline="0">
        <right/>
      </border>
    </odxf>
    <ndxf>
      <font>
        <sz val="12"/>
        <color auto="1"/>
      </font>
      <fill>
        <patternFill>
          <bgColor theme="9" tint="0.79998168889431442"/>
        </patternFill>
      </fill>
      <alignment vertical="center"/>
      <border outline="0">
        <right style="thin">
          <color indexed="64"/>
        </right>
      </border>
    </ndxf>
  </rcc>
  <rcc rId="720" sId="5" odxf="1" dxf="1">
    <oc r="X31" t="inlineStr">
      <is>
        <t>רמון</t>
      </is>
    </oc>
    <nc r="X31"/>
    <odxf>
      <fill>
        <patternFill>
          <bgColor rgb="FFFFFF00"/>
        </patternFill>
      </fill>
      <alignment vertical="top"/>
      <border outline="0">
        <right/>
      </border>
    </odxf>
    <ndxf>
      <fill>
        <patternFill>
          <bgColor theme="9" tint="0.79998168889431442"/>
        </patternFill>
      </fill>
      <alignment vertical="center"/>
      <border outline="0">
        <right style="thin">
          <color indexed="64"/>
        </right>
      </border>
    </ndxf>
  </rcc>
  <rcc rId="721" sId="5">
    <oc r="X17" t="inlineStr">
      <is>
        <t>ראש פינה</t>
      </is>
    </oc>
    <nc r="X17" t="inlineStr">
      <is>
        <t xml:space="preserve"> </t>
      </is>
    </nc>
  </rcc>
  <rcc rId="722" sId="5">
    <oc r="X15" t="inlineStr">
      <is>
        <t>ראש פינה</t>
      </is>
    </oc>
    <nc r="X15" t="inlineStr">
      <is>
        <t xml:space="preserve"> </t>
      </is>
    </nc>
  </rcc>
</revisions>
</file>

<file path=xl/revisions/revisionLog1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3" sId="5">
    <oc r="N15" t="inlineStr">
      <is>
        <t>ראש פינה</t>
      </is>
    </oc>
    <nc r="N15"/>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0">
  <userInfo guid="{222E8026-75EA-4DDE-8DC8-4BD10F6C5F21}" name="Avi Manorr" id="-1414443039" dateTime="2026-04-06T10:37:22"/>
  <userInfo guid="{1B1B806A-550D-4F34-8A43-0C989681EE62}" name="Moti Halfon" id="-2133671177" dateTime="2026-04-15T10:13:31"/>
  <userInfo guid="{F8A51073-43FC-42B1-A5DA-70CD20A094F7}" name="Shmuel Fogel" id="-1596918916" dateTime="2026-04-15T14:04:47"/>
  <userInfo guid="{E607ABE3-D2C7-4F9C-A19A-48F916919F8D}" name="Yoav Bardugo" id="-920087632" dateTime="2026-04-20T08:25:18"/>
  <userInfo guid="{3348F4E2-90FD-4A7F-8454-446E5483934D}" name="Avi Manorr" id="-1414429455" dateTime="2026-04-23T08:03:17"/>
  <userInfo guid="{7C7C0675-AD8A-41E5-87C2-C4F937EDA1A1}" name="Merabi Kricheli" id="-8044982" dateTime="2026-04-27T20:39:47"/>
  <userInfo guid="{26199614-2F44-4E4D-AF53-F1CAF83B4D8D}" name="Shmuel Fogel" id="-1596958600" dateTime="2026-04-28T16:45:19"/>
  <userInfo guid="{26199614-2F44-4E4D-AF53-F1CAF83B4D8D}" name="Moti Halfon" id="-2133682833" dateTime="2026-04-30T15:20:13"/>
  <userInfo guid="{AA7106E4-62EF-46AF-811E-4DC1CAFFA44C}" name="Avi Shmueli" id="-1347008638" dateTime="2026-05-03T09:40:30"/>
  <userInfo guid="{7C0A91B5-0A58-4DC3-A934-641B418E6AA8}" name="Avi Manorr" id="-1414451242" dateTime="2026-05-03T13:51:08"/>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vmlDrawing" Target="../drawings/vmlDrawing1.vm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1.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9.bin"/><Relationship Id="rId13" Type="http://schemas.openxmlformats.org/officeDocument/2006/relationships/vmlDrawing" Target="../drawings/vmlDrawing2.vml"/><Relationship Id="rId3" Type="http://schemas.openxmlformats.org/officeDocument/2006/relationships/printerSettings" Target="../printerSettings/printerSettings14.bin"/><Relationship Id="rId7" Type="http://schemas.openxmlformats.org/officeDocument/2006/relationships/printerSettings" Target="../printerSettings/printerSettings18.bin"/><Relationship Id="rId12" Type="http://schemas.openxmlformats.org/officeDocument/2006/relationships/printerSettings" Target="../printerSettings/printerSettings22.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6" Type="http://schemas.openxmlformats.org/officeDocument/2006/relationships/printerSettings" Target="../printerSettings/printerSettings17.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16.bin"/><Relationship Id="rId10" Type="http://schemas.openxmlformats.org/officeDocument/2006/relationships/printerSettings" Target="../printerSettings/printerSettings21.bin"/><Relationship Id="rId4" Type="http://schemas.openxmlformats.org/officeDocument/2006/relationships/printerSettings" Target="../printerSettings/printerSettings15.bin"/><Relationship Id="rId9" Type="http://schemas.openxmlformats.org/officeDocument/2006/relationships/printerSettings" Target="../printerSettings/printerSettings20.bin"/><Relationship Id="rId1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0.bin"/><Relationship Id="rId13" Type="http://schemas.openxmlformats.org/officeDocument/2006/relationships/vmlDrawing" Target="../drawings/vmlDrawing3.vml"/><Relationship Id="rId3" Type="http://schemas.openxmlformats.org/officeDocument/2006/relationships/printerSettings" Target="../printerSettings/printerSettings25.bin"/><Relationship Id="rId7" Type="http://schemas.openxmlformats.org/officeDocument/2006/relationships/printerSettings" Target="../printerSettings/printerSettings29.bin"/><Relationship Id="rId12" Type="http://schemas.openxmlformats.org/officeDocument/2006/relationships/printerSettings" Target="../printerSettings/printerSettings33.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6" Type="http://schemas.openxmlformats.org/officeDocument/2006/relationships/printerSettings" Target="../printerSettings/printerSettings28.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27.bin"/><Relationship Id="rId10" Type="http://schemas.openxmlformats.org/officeDocument/2006/relationships/printerSettings" Target="../printerSettings/printerSettings32.bin"/><Relationship Id="rId4" Type="http://schemas.openxmlformats.org/officeDocument/2006/relationships/printerSettings" Target="../printerSettings/printerSettings26.bin"/><Relationship Id="rId9" Type="http://schemas.openxmlformats.org/officeDocument/2006/relationships/printerSettings" Target="../printerSettings/printerSettings31.bin"/><Relationship Id="rId1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1.bin"/><Relationship Id="rId13" Type="http://schemas.openxmlformats.org/officeDocument/2006/relationships/vmlDrawing" Target="../drawings/vmlDrawing4.vml"/><Relationship Id="rId3" Type="http://schemas.openxmlformats.org/officeDocument/2006/relationships/printerSettings" Target="../printerSettings/printerSettings36.bin"/><Relationship Id="rId7" Type="http://schemas.openxmlformats.org/officeDocument/2006/relationships/printerSettings" Target="../printerSettings/printerSettings40.bin"/><Relationship Id="rId12" Type="http://schemas.openxmlformats.org/officeDocument/2006/relationships/printerSettings" Target="../printerSettings/printerSettings44.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6" Type="http://schemas.openxmlformats.org/officeDocument/2006/relationships/printerSettings" Target="../printerSettings/printerSettings39.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38.bin"/><Relationship Id="rId10" Type="http://schemas.openxmlformats.org/officeDocument/2006/relationships/printerSettings" Target="../printerSettings/printerSettings43.bin"/><Relationship Id="rId4" Type="http://schemas.openxmlformats.org/officeDocument/2006/relationships/printerSettings" Target="../printerSettings/printerSettings37.bin"/><Relationship Id="rId9" Type="http://schemas.openxmlformats.org/officeDocument/2006/relationships/printerSettings" Target="../printerSettings/printerSettings42.bin"/><Relationship Id="rId1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2.bin"/><Relationship Id="rId13" Type="http://schemas.openxmlformats.org/officeDocument/2006/relationships/vmlDrawing" Target="../drawings/vmlDrawing5.vml"/><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12" Type="http://schemas.openxmlformats.org/officeDocument/2006/relationships/printerSettings" Target="../printerSettings/printerSettings55.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49.bin"/><Relationship Id="rId10" Type="http://schemas.openxmlformats.org/officeDocument/2006/relationships/printerSettings" Target="../printerSettings/printerSettings54.bin"/><Relationship Id="rId4" Type="http://schemas.openxmlformats.org/officeDocument/2006/relationships/printerSettings" Target="../printerSettings/printerSettings48.bin"/><Relationship Id="rId9" Type="http://schemas.openxmlformats.org/officeDocument/2006/relationships/printerSettings" Target="../printerSettings/printerSettings53.bin"/><Relationship Id="rId1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3.bin"/><Relationship Id="rId13" Type="http://schemas.openxmlformats.org/officeDocument/2006/relationships/vmlDrawing" Target="../drawings/vmlDrawing6.vml"/><Relationship Id="rId3" Type="http://schemas.openxmlformats.org/officeDocument/2006/relationships/printerSettings" Target="../printerSettings/printerSettings58.bin"/><Relationship Id="rId7" Type="http://schemas.openxmlformats.org/officeDocument/2006/relationships/printerSettings" Target="../printerSettings/printerSettings62.bin"/><Relationship Id="rId12" Type="http://schemas.openxmlformats.org/officeDocument/2006/relationships/printerSettings" Target="../printerSettings/printerSettings66.bin"/><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 Id="rId6" Type="http://schemas.openxmlformats.org/officeDocument/2006/relationships/printerSettings" Target="../printerSettings/printerSettings61.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60.bin"/><Relationship Id="rId10" Type="http://schemas.openxmlformats.org/officeDocument/2006/relationships/printerSettings" Target="../printerSettings/printerSettings65.bin"/><Relationship Id="rId4" Type="http://schemas.openxmlformats.org/officeDocument/2006/relationships/printerSettings" Target="../printerSettings/printerSettings59.bin"/><Relationship Id="rId9" Type="http://schemas.openxmlformats.org/officeDocument/2006/relationships/printerSettings" Target="../printerSettings/printerSettings64.bin"/><Relationship Id="rId1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4.bin"/><Relationship Id="rId13" Type="http://schemas.openxmlformats.org/officeDocument/2006/relationships/vmlDrawing" Target="../drawings/vmlDrawing7.vml"/><Relationship Id="rId3" Type="http://schemas.openxmlformats.org/officeDocument/2006/relationships/printerSettings" Target="../printerSettings/printerSettings69.bin"/><Relationship Id="rId7" Type="http://schemas.openxmlformats.org/officeDocument/2006/relationships/printerSettings" Target="../printerSettings/printerSettings73.bin"/><Relationship Id="rId12" Type="http://schemas.openxmlformats.org/officeDocument/2006/relationships/printerSettings" Target="../printerSettings/printerSettings77.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 Id="rId6" Type="http://schemas.openxmlformats.org/officeDocument/2006/relationships/printerSettings" Target="../printerSettings/printerSettings72.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71.bin"/><Relationship Id="rId10" Type="http://schemas.openxmlformats.org/officeDocument/2006/relationships/printerSettings" Target="../printerSettings/printerSettings76.bin"/><Relationship Id="rId4" Type="http://schemas.openxmlformats.org/officeDocument/2006/relationships/printerSettings" Target="../printerSettings/printerSettings70.bin"/><Relationship Id="rId9" Type="http://schemas.openxmlformats.org/officeDocument/2006/relationships/printerSettings" Target="../printerSettings/printerSettings75.bin"/><Relationship Id="rId1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5.bin"/><Relationship Id="rId13" Type="http://schemas.openxmlformats.org/officeDocument/2006/relationships/vmlDrawing" Target="../drawings/vmlDrawing8.vml"/><Relationship Id="rId3" Type="http://schemas.openxmlformats.org/officeDocument/2006/relationships/printerSettings" Target="../printerSettings/printerSettings80.bin"/><Relationship Id="rId7" Type="http://schemas.openxmlformats.org/officeDocument/2006/relationships/printerSettings" Target="../printerSettings/printerSettings84.bin"/><Relationship Id="rId12" Type="http://schemas.openxmlformats.org/officeDocument/2006/relationships/printerSettings" Target="../printerSettings/printerSettings88.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3.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82.bin"/><Relationship Id="rId10" Type="http://schemas.openxmlformats.org/officeDocument/2006/relationships/printerSettings" Target="../printerSettings/printerSettings87.bin"/><Relationship Id="rId4" Type="http://schemas.openxmlformats.org/officeDocument/2006/relationships/printerSettings" Target="../printerSettings/printerSettings81.bin"/><Relationship Id="rId9" Type="http://schemas.openxmlformats.org/officeDocument/2006/relationships/printerSettings" Target="../printerSettings/printerSettings86.bin"/><Relationship Id="rId1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96.bin"/><Relationship Id="rId13"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3" Type="http://schemas.openxmlformats.org/officeDocument/2006/relationships/printerSettings" Target="../printerSettings/printerSettings91.bin"/><Relationship Id="rId7" Type="http://schemas.openxmlformats.org/officeDocument/2006/relationships/printerSettings" Target="../printerSettings/printerSettings95.bin"/><Relationship Id="rId12" Type="http://schemas.openxmlformats.org/officeDocument/2006/relationships/printerSettings" Target="../printerSettings/printerSettings100.bin"/><Relationship Id="rId2" Type="http://schemas.openxmlformats.org/officeDocument/2006/relationships/printerSettings" Target="../printerSettings/printerSettings90.bin"/><Relationship Id="rId16" Type="http://schemas.openxmlformats.org/officeDocument/2006/relationships/comments" Target="../comments9.xml"/><Relationship Id="rId1" Type="http://schemas.openxmlformats.org/officeDocument/2006/relationships/printerSettings" Target="../printerSettings/printerSettings89.bin"/><Relationship Id="rId6" Type="http://schemas.openxmlformats.org/officeDocument/2006/relationships/printerSettings" Target="../printerSettings/printerSettings94.bin"/><Relationship Id="rId11" Type="http://schemas.openxmlformats.org/officeDocument/2006/relationships/printerSettings" Target="../printerSettings/printerSettings99.bin"/><Relationship Id="rId5" Type="http://schemas.openxmlformats.org/officeDocument/2006/relationships/printerSettings" Target="../printerSettings/printerSettings93.bin"/><Relationship Id="rId15" Type="http://schemas.openxmlformats.org/officeDocument/2006/relationships/vmlDrawing" Target="../drawings/vmlDrawing9.vml"/><Relationship Id="rId10" Type="http://schemas.openxmlformats.org/officeDocument/2006/relationships/printerSettings" Target="../printerSettings/printerSettings98.bin"/><Relationship Id="rId4" Type="http://schemas.openxmlformats.org/officeDocument/2006/relationships/printerSettings" Target="../printerSettings/printerSettings92.bin"/><Relationship Id="rId9" Type="http://schemas.openxmlformats.org/officeDocument/2006/relationships/printerSettings" Target="../printerSettings/printerSettings97.bin"/><Relationship Id="rId14" Type="http://schemas.openxmlformats.org/officeDocument/2006/relationships/printerSettings" Target="../printerSettings/printerSettings101.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109.bin"/><Relationship Id="rId13" Type="http://schemas.openxmlformats.org/officeDocument/2006/relationships/vmlDrawing" Target="../drawings/vmlDrawing10.vml"/><Relationship Id="rId3" Type="http://schemas.openxmlformats.org/officeDocument/2006/relationships/printerSettings" Target="../printerSettings/printerSettings104.bin"/><Relationship Id="rId7" Type="http://schemas.openxmlformats.org/officeDocument/2006/relationships/printerSettings" Target="../printerSettings/printerSettings108.bin"/><Relationship Id="rId12" Type="http://schemas.openxmlformats.org/officeDocument/2006/relationships/printerSettings" Target="../printerSettings/printerSettings112.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 Id="rId6" Type="http://schemas.openxmlformats.org/officeDocument/2006/relationships/printerSettings" Target="../printerSettings/printerSettings107.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106.bin"/><Relationship Id="rId10" Type="http://schemas.openxmlformats.org/officeDocument/2006/relationships/printerSettings" Target="../printerSettings/printerSettings111.bin"/><Relationship Id="rId4" Type="http://schemas.openxmlformats.org/officeDocument/2006/relationships/printerSettings" Target="../printerSettings/printerSettings105.bin"/><Relationship Id="rId9" Type="http://schemas.openxmlformats.org/officeDocument/2006/relationships/printerSettings" Target="../printerSettings/printerSettings110.bin"/><Relationship Id="rId1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20.bin"/><Relationship Id="rId13" Type="http://schemas.openxmlformats.org/officeDocument/2006/relationships/vmlDrawing" Target="../drawings/vmlDrawing11.vml"/><Relationship Id="rId3" Type="http://schemas.openxmlformats.org/officeDocument/2006/relationships/printerSettings" Target="../printerSettings/printerSettings115.bin"/><Relationship Id="rId7" Type="http://schemas.openxmlformats.org/officeDocument/2006/relationships/printerSettings" Target="../printerSettings/printerSettings119.bin"/><Relationship Id="rId12" Type="http://schemas.openxmlformats.org/officeDocument/2006/relationships/printerSettings" Target="../printerSettings/printerSettings123.bin"/><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 Id="rId6" Type="http://schemas.openxmlformats.org/officeDocument/2006/relationships/printerSettings" Target="../printerSettings/printerSettings118.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117.bin"/><Relationship Id="rId10" Type="http://schemas.openxmlformats.org/officeDocument/2006/relationships/printerSettings" Target="../printerSettings/printerSettings122.bin"/><Relationship Id="rId4" Type="http://schemas.openxmlformats.org/officeDocument/2006/relationships/printerSettings" Target="../printerSettings/printerSettings116.bin"/><Relationship Id="rId9" Type="http://schemas.openxmlformats.org/officeDocument/2006/relationships/printerSettings" Target="../printerSettings/printerSettings121.bin"/><Relationship Id="rId1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131.bin"/><Relationship Id="rId13" Type="http://schemas.openxmlformats.org/officeDocument/2006/relationships/vmlDrawing" Target="../drawings/vmlDrawing12.vml"/><Relationship Id="rId3" Type="http://schemas.openxmlformats.org/officeDocument/2006/relationships/printerSettings" Target="../printerSettings/printerSettings126.bin"/><Relationship Id="rId7" Type="http://schemas.openxmlformats.org/officeDocument/2006/relationships/printerSettings" Target="../printerSettings/printerSettings130.bin"/><Relationship Id="rId12" Type="http://schemas.openxmlformats.org/officeDocument/2006/relationships/printerSettings" Target="../printerSettings/printerSettings134.bin"/><Relationship Id="rId2" Type="http://schemas.openxmlformats.org/officeDocument/2006/relationships/printerSettings" Target="../printerSettings/printerSettings125.bin"/><Relationship Id="rId1" Type="http://schemas.openxmlformats.org/officeDocument/2006/relationships/printerSettings" Target="../printerSettings/printerSettings124.bin"/><Relationship Id="rId6" Type="http://schemas.openxmlformats.org/officeDocument/2006/relationships/printerSettings" Target="../printerSettings/printerSettings129.bin"/><Relationship Id="rId11" Type="http://schemas.openxmlformats.org/officeDocument/2006/relationships/hyperlink" Target="mailto:avima@iaa.gov.il?subject=&#1512;&#1488;&#1492;%20&#1513;&#1497;&#1504;&#1493;&#1497;&#1497;&#1501;%20&#1489;&#1514;&#1493;&#1499;&#1504;&#1497;&#1514;%20&#1506;&#1489;&#1493;&#1491;&#1492;,%20&amp;body=&#1512;&#1488;&#1492;%20&#1513;&#1497;&#1504;&#1493;&#1497;&#1497;&#1501;%20&#1489;&#1514;&#1493;&#1499;&#1504;&#1497;&#1514;%20&#1506;&#1489;&#1493;&#1491;&#1492;" TargetMode="External"/><Relationship Id="rId5" Type="http://schemas.openxmlformats.org/officeDocument/2006/relationships/printerSettings" Target="../printerSettings/printerSettings128.bin"/><Relationship Id="rId10" Type="http://schemas.openxmlformats.org/officeDocument/2006/relationships/printerSettings" Target="../printerSettings/printerSettings133.bin"/><Relationship Id="rId4" Type="http://schemas.openxmlformats.org/officeDocument/2006/relationships/printerSettings" Target="../printerSettings/printerSettings127.bin"/><Relationship Id="rId9" Type="http://schemas.openxmlformats.org/officeDocument/2006/relationships/printerSettings" Target="../printerSettings/printerSettings132.bin"/><Relationship Id="rId1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4.xml.rels><?xml version="1.0" encoding="UTF-8" standalone="yes"?>
<Relationships xmlns="http://schemas.openxmlformats.org/package/2006/relationships"><Relationship Id="rId13" Type="http://schemas.openxmlformats.org/officeDocument/2006/relationships/hyperlink" Target="mailto:MichaelDa@iaa.gov.il" TargetMode="External"/><Relationship Id="rId18" Type="http://schemas.openxmlformats.org/officeDocument/2006/relationships/hyperlink" Target="mailto:KobiDn@iaa.gov.il" TargetMode="External"/><Relationship Id="rId26" Type="http://schemas.openxmlformats.org/officeDocument/2006/relationships/hyperlink" Target="mailto:Aharonsh@iaa.gov.il" TargetMode="External"/><Relationship Id="rId3" Type="http://schemas.openxmlformats.org/officeDocument/2006/relationships/hyperlink" Target="mailto:ILYAPA@iaa.gov.il" TargetMode="External"/><Relationship Id="rId21" Type="http://schemas.openxmlformats.org/officeDocument/2006/relationships/hyperlink" Target="mailto:ShlomiCh@iaa.gov.il" TargetMode="External"/><Relationship Id="rId7" Type="http://schemas.openxmlformats.org/officeDocument/2006/relationships/hyperlink" Target="mailto:DorSh2@iaa.gov.il" TargetMode="External"/><Relationship Id="rId12" Type="http://schemas.openxmlformats.org/officeDocument/2006/relationships/hyperlink" Target="mailto:LiorAv@iaa.gov.il" TargetMode="External"/><Relationship Id="rId17" Type="http://schemas.openxmlformats.org/officeDocument/2006/relationships/hyperlink" Target="mailto:OmriSa@iaa.gov.il" TargetMode="External"/><Relationship Id="rId25" Type="http://schemas.openxmlformats.org/officeDocument/2006/relationships/hyperlink" Target="mailto:MerabiKr@iaa.gov.il" TargetMode="External"/><Relationship Id="rId33" Type="http://schemas.openxmlformats.org/officeDocument/2006/relationships/hyperlink" Target="mailto:tomerLe@iaa.gov.il" TargetMode="External"/><Relationship Id="rId2" Type="http://schemas.openxmlformats.org/officeDocument/2006/relationships/hyperlink" Target="mailto:AviSh3@iaa.gov.il" TargetMode="External"/><Relationship Id="rId16" Type="http://schemas.openxmlformats.org/officeDocument/2006/relationships/hyperlink" Target="mailto:AmitNa@iaa.gov.il" TargetMode="External"/><Relationship Id="rId20" Type="http://schemas.openxmlformats.org/officeDocument/2006/relationships/hyperlink" Target="mailto:ShaySu@iaa.gov.il" TargetMode="External"/><Relationship Id="rId29" Type="http://schemas.openxmlformats.org/officeDocument/2006/relationships/hyperlink" Target="mailto:alonwi@iaa.gov.il" TargetMode="External"/><Relationship Id="rId1" Type="http://schemas.openxmlformats.org/officeDocument/2006/relationships/hyperlink" Target="mailto:Davidma2@iaa.gov.il" TargetMode="External"/><Relationship Id="rId6" Type="http://schemas.openxmlformats.org/officeDocument/2006/relationships/hyperlink" Target="mailto:BarakMo@iaa.gov.il" TargetMode="External"/><Relationship Id="rId11" Type="http://schemas.openxmlformats.org/officeDocument/2006/relationships/hyperlink" Target="mailto:YaronTa@iaa.gov.il" TargetMode="External"/><Relationship Id="rId24" Type="http://schemas.openxmlformats.org/officeDocument/2006/relationships/hyperlink" Target="mailto:TomerSa@iaa.gov.il" TargetMode="External"/><Relationship Id="rId32" Type="http://schemas.openxmlformats.org/officeDocument/2006/relationships/hyperlink" Target="mailto:getawoAb@iaa.gov.il" TargetMode="External"/><Relationship Id="rId5" Type="http://schemas.openxmlformats.org/officeDocument/2006/relationships/hyperlink" Target="mailto:IzhakAf@iaa.gov.il" TargetMode="External"/><Relationship Id="rId15" Type="http://schemas.openxmlformats.org/officeDocument/2006/relationships/hyperlink" Target="mailto:OmerGe@iaa.gov.il" TargetMode="External"/><Relationship Id="rId23" Type="http://schemas.openxmlformats.org/officeDocument/2006/relationships/hyperlink" Target="mailto:SheteBi@iaa.gov.il" TargetMode="External"/><Relationship Id="rId28" Type="http://schemas.openxmlformats.org/officeDocument/2006/relationships/hyperlink" Target="mailto:AviMa@iaa.gov.il" TargetMode="External"/><Relationship Id="rId10" Type="http://schemas.openxmlformats.org/officeDocument/2006/relationships/hyperlink" Target="mailto:YoavBa@iaa.gov.il" TargetMode="External"/><Relationship Id="rId19" Type="http://schemas.openxmlformats.org/officeDocument/2006/relationships/hyperlink" Target="mailto:BUZNAHRE@iaa.gov.il" TargetMode="External"/><Relationship Id="rId31" Type="http://schemas.openxmlformats.org/officeDocument/2006/relationships/hyperlink" Target="mailto:sagivbe@iaa.gov.il" TargetMode="External"/><Relationship Id="rId4" Type="http://schemas.openxmlformats.org/officeDocument/2006/relationships/hyperlink" Target="mailto:itzikho@iaa.gov.il" TargetMode="External"/><Relationship Id="rId9" Type="http://schemas.openxmlformats.org/officeDocument/2006/relationships/hyperlink" Target="mailto:DanielSw@iaa.gov.il" TargetMode="External"/><Relationship Id="rId14" Type="http://schemas.openxmlformats.org/officeDocument/2006/relationships/hyperlink" Target="mailto:MotiHa@iaa.gov.il" TargetMode="External"/><Relationship Id="rId22" Type="http://schemas.openxmlformats.org/officeDocument/2006/relationships/hyperlink" Target="mailto:shmuelf@iaa.gov.il" TargetMode="External"/><Relationship Id="rId27" Type="http://schemas.openxmlformats.org/officeDocument/2006/relationships/hyperlink" Target="mailto:Adamco2@iaa.gov.il" TargetMode="External"/><Relationship Id="rId30" Type="http://schemas.openxmlformats.org/officeDocument/2006/relationships/hyperlink" Target="mailto:saharku@iaa.gov.il" TargetMode="External"/><Relationship Id="rId8" Type="http://schemas.openxmlformats.org/officeDocument/2006/relationships/hyperlink" Target="mailto:GabrielVe@iaa.gov.i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39"/>
  <sheetViews>
    <sheetView rightToLeft="1" zoomScale="85" zoomScaleNormal="59" workbookViewId="0">
      <pane ySplit="4" topLeftCell="A5" activePane="bottomLeft" state="frozen"/>
      <selection pane="bottomLeft" activeCell="D5" sqref="D5"/>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7.625" style="1" customWidth="1"/>
    <col min="29" max="29" width="4.625" style="1" customWidth="1"/>
    <col min="30" max="30" width="7.75" style="1" bestFit="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279</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0">
        <v>1</v>
      </c>
      <c r="AU1" s="341"/>
      <c r="AV1" s="342"/>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366">
        <v>1</v>
      </c>
      <c r="CD1" s="367"/>
      <c r="CE1" s="368"/>
      <c r="CF1" s="91"/>
      <c r="CG1" s="92"/>
      <c r="CH1" s="92"/>
      <c r="CI1" s="92"/>
      <c r="CJ1" s="92"/>
      <c r="CK1" s="92"/>
    </row>
    <row r="2" spans="1:89" ht="15" customHeight="1" thickBot="1">
      <c r="A2" s="340"/>
      <c r="B2" s="341"/>
      <c r="C2" s="342"/>
      <c r="D2" s="375" t="s">
        <v>329</v>
      </c>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55"/>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69"/>
      <c r="CD2" s="370"/>
      <c r="CE2" s="371"/>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390" t="s">
        <v>0</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346</v>
      </c>
      <c r="BJ3" s="400"/>
      <c r="BK3" s="399" t="s">
        <v>26</v>
      </c>
      <c r="BL3" s="401"/>
      <c r="BM3" s="349" t="s">
        <v>27</v>
      </c>
      <c r="BN3" s="350"/>
      <c r="BO3" s="351" t="s">
        <v>21</v>
      </c>
      <c r="BP3" s="352"/>
      <c r="BQ3" s="351" t="s">
        <v>23</v>
      </c>
      <c r="BR3" s="352"/>
      <c r="BS3" s="350" t="s">
        <v>28</v>
      </c>
      <c r="BT3" s="392"/>
      <c r="BU3" s="393" t="s">
        <v>29</v>
      </c>
      <c r="BV3" s="394"/>
      <c r="BW3" s="395" t="s">
        <v>30</v>
      </c>
      <c r="BX3" s="395"/>
      <c r="BY3" s="395" t="s">
        <v>31</v>
      </c>
      <c r="BZ3" s="395"/>
      <c r="CA3" s="396" t="s">
        <v>227</v>
      </c>
      <c r="CB3" s="397"/>
      <c r="CC3" s="369"/>
      <c r="CD3" s="370"/>
      <c r="CE3" s="371"/>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t="str">
        <f>HYPERLINK("maiLto:" &amp; מיילים!B4 &amp; "?subject=" &amp; מיילים!G$3 &amp; "&amp;body=" &amp; מיילים!H$3,"עדכון במייל")</f>
        <v>עדכון במייל</v>
      </c>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428"/>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6"/>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443"/>
      <c r="BI4" s="36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446" t="str">
        <f>HYPERLINK("maiLto:" &amp; מיילים!B26 &amp; "?subject=" &amp; מיילים!G$3 &amp; "&amp;body=" &amp; מיילים!H$3,"עדכון במייל")</f>
        <v>עדכון במייל</v>
      </c>
      <c r="BN4" s="447"/>
      <c r="BO4" s="448" t="str">
        <f>HYPERLINK("maiLto:" &amp; מיילים!R19 &amp; "?subject=" &amp; מיילים!W$3 &amp; "&amp;body=" &amp; מיילים!X$3,"עדכון במייל")</f>
        <v>עדכון במייל</v>
      </c>
      <c r="BP4" s="447"/>
      <c r="BQ4" s="448" t="str">
        <f>HYPERLINK("maiLto:" &amp; מיילים!P21 &amp; "?subject=" &amp; מיילים!U$3 &amp; "&amp;body=" &amp; מיילים!V$3,"עדכון במייל")</f>
        <v>עדכון במייל</v>
      </c>
      <c r="BR4" s="447"/>
      <c r="BS4" s="431" t="str">
        <f>HYPERLINK("maiLto:" &amp; מיילים!B27 &amp; "?subject=" &amp; מיילים!G$3 &amp; "&amp;body=" &amp; מיילים!H$3,"עדכון במייל")</f>
        <v>עדכון במייל</v>
      </c>
      <c r="BT4" s="432"/>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72"/>
      <c r="CD4" s="373"/>
      <c r="CE4" s="374"/>
      <c r="CF4" s="24" t="s">
        <v>38</v>
      </c>
      <c r="CG4" s="23" t="s">
        <v>39</v>
      </c>
      <c r="CH4" s="95" t="s">
        <v>36</v>
      </c>
      <c r="CI4" s="95" t="s">
        <v>37</v>
      </c>
      <c r="CJ4" s="412"/>
      <c r="CK4" s="413"/>
    </row>
    <row r="5" spans="1:89" ht="15" customHeight="1">
      <c r="A5" s="12">
        <v>1</v>
      </c>
      <c r="B5" s="12" t="s">
        <v>129</v>
      </c>
      <c r="C5" s="334">
        <v>1</v>
      </c>
      <c r="D5" s="181" t="s">
        <v>41</v>
      </c>
      <c r="E5" s="180"/>
      <c r="F5" s="181"/>
      <c r="G5" s="180"/>
      <c r="H5" s="181"/>
      <c r="I5" s="180"/>
      <c r="J5" s="181"/>
      <c r="K5" s="98" t="s">
        <v>51</v>
      </c>
      <c r="L5" s="181"/>
      <c r="M5" s="180"/>
      <c r="N5" s="181"/>
      <c r="O5" s="245"/>
      <c r="P5" s="181"/>
      <c r="Q5" s="182"/>
      <c r="R5" s="181"/>
      <c r="S5" s="180"/>
      <c r="T5" s="181"/>
      <c r="U5" s="180"/>
      <c r="V5" s="181" t="s">
        <v>57</v>
      </c>
      <c r="W5" s="180"/>
      <c r="X5" s="181"/>
      <c r="Y5" s="180"/>
      <c r="Z5" s="181"/>
      <c r="AA5" s="180"/>
      <c r="AB5" s="181"/>
      <c r="AC5" s="180"/>
      <c r="AD5" s="181" t="s">
        <v>65</v>
      </c>
      <c r="AE5" s="180"/>
      <c r="AF5" s="181"/>
      <c r="AG5" s="180"/>
      <c r="AH5" s="181"/>
      <c r="AI5" s="180"/>
      <c r="AJ5" s="181" t="s">
        <v>65</v>
      </c>
      <c r="AK5" s="180"/>
      <c r="AL5" s="181"/>
      <c r="AM5" s="180" t="s">
        <v>136</v>
      </c>
      <c r="AN5" s="181"/>
      <c r="AO5" s="182"/>
      <c r="AP5" s="438"/>
      <c r="AQ5" s="439"/>
      <c r="AR5" s="98"/>
      <c r="AS5" s="34"/>
      <c r="AT5" s="12">
        <v>1</v>
      </c>
      <c r="AU5" s="12" t="s">
        <v>129</v>
      </c>
      <c r="AV5" s="455">
        <v>1</v>
      </c>
      <c r="AW5" s="14"/>
      <c r="AX5" s="67"/>
      <c r="AY5" s="69"/>
      <c r="AZ5" s="67"/>
      <c r="BA5" s="69"/>
      <c r="BB5" s="139"/>
      <c r="BC5" s="87"/>
      <c r="BD5" s="67"/>
      <c r="BE5" s="84"/>
      <c r="BF5" s="99" t="s">
        <v>41</v>
      </c>
      <c r="BG5" s="69"/>
      <c r="BH5" s="99" t="s">
        <v>34</v>
      </c>
      <c r="BI5" s="69"/>
      <c r="BJ5" s="134" t="s">
        <v>34</v>
      </c>
      <c r="BK5" s="87"/>
      <c r="BL5" s="99" t="s">
        <v>34</v>
      </c>
      <c r="BM5" s="37"/>
      <c r="BN5" s="71" t="s">
        <v>33</v>
      </c>
      <c r="BO5" s="72"/>
      <c r="BP5" s="71" t="s">
        <v>33</v>
      </c>
      <c r="BQ5" s="72"/>
      <c r="BR5" s="140" t="s">
        <v>57</v>
      </c>
      <c r="BS5" s="58"/>
      <c r="BT5" s="70" t="s">
        <v>61</v>
      </c>
      <c r="BU5" s="96"/>
      <c r="BV5" s="67"/>
      <c r="BW5" s="69"/>
      <c r="BX5" s="67"/>
      <c r="BY5" s="69"/>
      <c r="BZ5" s="139"/>
      <c r="CA5" s="97"/>
      <c r="CB5" s="67"/>
      <c r="CC5" s="12">
        <v>1</v>
      </c>
      <c r="CD5" s="12" t="s">
        <v>129</v>
      </c>
      <c r="CE5" s="455">
        <v>1</v>
      </c>
      <c r="CF5" s="311">
        <f t="shared" ref="CF5:CF35" si="0">COUNTIF(AX5:CB5,"י")+COUNTIF(AX5:CB5,"Y")+COUNTIF(AX5:CB5,"2")</f>
        <v>2</v>
      </c>
      <c r="CG5" s="76">
        <f t="shared" ref="CG5:CG35" si="1">COUNTIF(AW5:CB5,"ל")+COUNTIF(AW5:CB5,"L")+COUNTIF(AW5:CB5,"ל2")</f>
        <v>3</v>
      </c>
      <c r="CH5" s="93"/>
      <c r="CI5" s="94"/>
      <c r="CJ5" s="449"/>
      <c r="CK5" s="450"/>
    </row>
    <row r="6" spans="1:89" ht="15" customHeight="1">
      <c r="A6" s="13">
        <v>2</v>
      </c>
      <c r="B6" s="13" t="s">
        <v>130</v>
      </c>
      <c r="C6" s="335"/>
      <c r="D6" s="104"/>
      <c r="E6" s="106"/>
      <c r="F6" s="104"/>
      <c r="G6" s="106"/>
      <c r="H6" s="104"/>
      <c r="I6" s="106"/>
      <c r="J6" s="104"/>
      <c r="K6" s="106"/>
      <c r="L6" s="104"/>
      <c r="M6" s="106"/>
      <c r="N6" s="104"/>
      <c r="O6" s="246" t="s">
        <v>53</v>
      </c>
      <c r="P6" s="104"/>
      <c r="Q6" s="183"/>
      <c r="R6" s="104"/>
      <c r="S6" s="106"/>
      <c r="T6" s="104"/>
      <c r="U6" s="106"/>
      <c r="V6" s="104"/>
      <c r="W6" s="106"/>
      <c r="X6" s="199" t="s">
        <v>41</v>
      </c>
      <c r="Y6" s="106"/>
      <c r="Z6" s="104"/>
      <c r="AA6" s="106"/>
      <c r="AB6" s="104"/>
      <c r="AC6" s="106"/>
      <c r="AD6" s="104" t="s">
        <v>65</v>
      </c>
      <c r="AE6" s="106"/>
      <c r="AF6" s="104"/>
      <c r="AG6" s="106" t="s">
        <v>137</v>
      </c>
      <c r="AH6" s="104"/>
      <c r="AI6" s="106"/>
      <c r="AJ6" s="104"/>
      <c r="AK6" s="106"/>
      <c r="AL6" s="104"/>
      <c r="AM6" s="106"/>
      <c r="AN6" s="104"/>
      <c r="AO6" s="183"/>
      <c r="AP6" s="451"/>
      <c r="AQ6" s="452"/>
      <c r="AR6" s="106"/>
      <c r="AS6" s="105"/>
      <c r="AT6" s="13">
        <v>2</v>
      </c>
      <c r="AU6" s="13" t="s">
        <v>130</v>
      </c>
      <c r="AV6" s="455"/>
      <c r="AW6" s="16"/>
      <c r="AX6" s="71"/>
      <c r="AY6" s="73"/>
      <c r="AZ6" s="71"/>
      <c r="BA6" s="73"/>
      <c r="BB6" s="73"/>
      <c r="BC6" s="59"/>
      <c r="BD6" s="71"/>
      <c r="BE6" s="16"/>
      <c r="BF6" s="66"/>
      <c r="BG6" s="73"/>
      <c r="BH6" s="66"/>
      <c r="BI6" s="73"/>
      <c r="BJ6" s="73"/>
      <c r="BK6" s="59"/>
      <c r="BL6" s="66"/>
      <c r="BM6" s="81"/>
      <c r="BN6" s="66" t="s">
        <v>34</v>
      </c>
      <c r="BO6" s="68"/>
      <c r="BP6" s="66" t="s">
        <v>34</v>
      </c>
      <c r="BQ6" s="68"/>
      <c r="BR6" s="69" t="s">
        <v>61</v>
      </c>
      <c r="BS6" s="110"/>
      <c r="BT6" s="66" t="s">
        <v>34</v>
      </c>
      <c r="BU6" s="108"/>
      <c r="BV6" s="70" t="s">
        <v>33</v>
      </c>
      <c r="BW6" s="73"/>
      <c r="BX6" s="70" t="s">
        <v>61</v>
      </c>
      <c r="BY6" s="73"/>
      <c r="BZ6" s="73" t="s">
        <v>33</v>
      </c>
      <c r="CA6" s="59"/>
      <c r="CB6" s="71" t="s">
        <v>33</v>
      </c>
      <c r="CC6" s="13">
        <v>2</v>
      </c>
      <c r="CD6" s="13" t="s">
        <v>130</v>
      </c>
      <c r="CE6" s="455"/>
      <c r="CF6" s="311">
        <f t="shared" si="0"/>
        <v>3</v>
      </c>
      <c r="CG6" s="76">
        <f t="shared" si="1"/>
        <v>3</v>
      </c>
      <c r="CH6" s="27"/>
      <c r="CI6" s="28"/>
      <c r="CJ6" s="449"/>
      <c r="CK6" s="450"/>
    </row>
    <row r="7" spans="1:89" ht="15" customHeight="1">
      <c r="A7" s="13">
        <v>3</v>
      </c>
      <c r="B7" s="13" t="s">
        <v>131</v>
      </c>
      <c r="C7" s="336"/>
      <c r="D7" s="104"/>
      <c r="E7" s="106"/>
      <c r="F7" s="104"/>
      <c r="G7" s="106"/>
      <c r="H7" s="104"/>
      <c r="I7" s="106"/>
      <c r="J7" s="104"/>
      <c r="K7" s="106"/>
      <c r="L7" s="104"/>
      <c r="M7" s="106"/>
      <c r="N7" s="104"/>
      <c r="O7" s="246" t="s">
        <v>53</v>
      </c>
      <c r="P7" s="104"/>
      <c r="Q7" s="183"/>
      <c r="R7" s="104"/>
      <c r="S7" s="106"/>
      <c r="T7" s="104"/>
      <c r="U7" s="106"/>
      <c r="V7" s="104"/>
      <c r="W7" s="106"/>
      <c r="X7" s="199" t="s">
        <v>41</v>
      </c>
      <c r="Y7" s="106"/>
      <c r="Z7" s="104"/>
      <c r="AA7" s="106"/>
      <c r="AB7" s="104"/>
      <c r="AC7" s="106"/>
      <c r="AD7" s="104" t="s">
        <v>65</v>
      </c>
      <c r="AE7" s="106"/>
      <c r="AF7" s="104"/>
      <c r="AG7" s="106" t="s">
        <v>137</v>
      </c>
      <c r="AH7" s="104"/>
      <c r="AI7" s="106"/>
      <c r="AJ7" s="104"/>
      <c r="AK7" s="106"/>
      <c r="AL7" s="104"/>
      <c r="AM7" s="106"/>
      <c r="AN7" s="104"/>
      <c r="AO7" s="183"/>
      <c r="AP7" s="453"/>
      <c r="AQ7" s="454"/>
      <c r="AR7" s="106"/>
      <c r="AS7" s="105"/>
      <c r="AT7" s="13">
        <v>3</v>
      </c>
      <c r="AU7" s="13" t="s">
        <v>131</v>
      </c>
      <c r="AV7" s="455"/>
      <c r="AW7" s="16"/>
      <c r="AX7" s="71" t="s">
        <v>33</v>
      </c>
      <c r="AY7" s="73"/>
      <c r="AZ7" s="71" t="s">
        <v>33</v>
      </c>
      <c r="BA7" s="73"/>
      <c r="BB7" s="72" t="s">
        <v>33</v>
      </c>
      <c r="BC7" s="59"/>
      <c r="BD7" s="71" t="s">
        <v>33</v>
      </c>
      <c r="BE7" s="16"/>
      <c r="BF7" s="71"/>
      <c r="BG7" s="73"/>
      <c r="BH7" s="71"/>
      <c r="BI7" s="73"/>
      <c r="BJ7" s="73"/>
      <c r="BK7" s="59"/>
      <c r="BL7" s="71"/>
      <c r="BM7" s="16"/>
      <c r="BN7" s="66"/>
      <c r="BO7" s="73"/>
      <c r="BP7" s="66"/>
      <c r="BQ7" s="73"/>
      <c r="BR7" s="69" t="s">
        <v>61</v>
      </c>
      <c r="BS7" s="59"/>
      <c r="BT7" s="66"/>
      <c r="BU7" s="81"/>
      <c r="BV7" s="66" t="s">
        <v>34</v>
      </c>
      <c r="BW7" s="68"/>
      <c r="BX7" s="66" t="s">
        <v>34</v>
      </c>
      <c r="BY7" s="68"/>
      <c r="BZ7" s="68" t="s">
        <v>34</v>
      </c>
      <c r="CA7" s="110"/>
      <c r="CB7" s="66" t="s">
        <v>34</v>
      </c>
      <c r="CC7" s="13">
        <v>3</v>
      </c>
      <c r="CD7" s="13" t="s">
        <v>131</v>
      </c>
      <c r="CE7" s="455"/>
      <c r="CF7" s="311">
        <f t="shared" si="0"/>
        <v>4</v>
      </c>
      <c r="CG7" s="76">
        <f t="shared" si="1"/>
        <v>4</v>
      </c>
      <c r="CH7" s="197" t="s">
        <v>306</v>
      </c>
      <c r="CI7" s="28"/>
      <c r="CJ7" s="449"/>
      <c r="CK7" s="450"/>
    </row>
    <row r="8" spans="1:89" ht="15" customHeight="1">
      <c r="A8" s="12">
        <v>4</v>
      </c>
      <c r="B8" s="12" t="s">
        <v>132</v>
      </c>
      <c r="C8" s="334">
        <v>2</v>
      </c>
      <c r="D8" s="33"/>
      <c r="E8" s="98"/>
      <c r="F8" s="33"/>
      <c r="G8" s="98"/>
      <c r="H8" s="33"/>
      <c r="I8" s="98"/>
      <c r="J8" s="33"/>
      <c r="K8" s="98"/>
      <c r="L8" s="197" t="s">
        <v>184</v>
      </c>
      <c r="M8" s="98"/>
      <c r="N8" s="33"/>
      <c r="O8" s="247"/>
      <c r="P8" s="33"/>
      <c r="Q8" s="184"/>
      <c r="R8" s="197" t="s">
        <v>184</v>
      </c>
      <c r="S8" s="98"/>
      <c r="T8" s="33"/>
      <c r="U8" s="98"/>
      <c r="V8" s="33"/>
      <c r="W8" s="98"/>
      <c r="X8" s="199" t="s">
        <v>41</v>
      </c>
      <c r="Y8" s="98"/>
      <c r="Z8" s="33"/>
      <c r="AA8" s="98"/>
      <c r="AB8" s="33"/>
      <c r="AC8" s="98" t="s">
        <v>51</v>
      </c>
      <c r="AD8" s="33" t="s">
        <v>65</v>
      </c>
      <c r="AE8" s="98"/>
      <c r="AF8" s="33"/>
      <c r="AG8" s="98"/>
      <c r="AH8" s="203" t="s">
        <v>184</v>
      </c>
      <c r="AI8" s="98"/>
      <c r="AJ8" s="33"/>
      <c r="AK8" s="98" t="s">
        <v>136</v>
      </c>
      <c r="AL8" s="33"/>
      <c r="AM8" s="98"/>
      <c r="AN8" s="203" t="s">
        <v>184</v>
      </c>
      <c r="AO8" s="184"/>
      <c r="AP8" s="440"/>
      <c r="AQ8" s="441"/>
      <c r="AR8" s="98"/>
      <c r="AS8" s="34"/>
      <c r="AT8" s="12">
        <v>4</v>
      </c>
      <c r="AU8" s="12" t="s">
        <v>132</v>
      </c>
      <c r="AV8" s="455"/>
      <c r="AW8" s="84"/>
      <c r="AX8" s="67" t="s">
        <v>34</v>
      </c>
      <c r="AY8" s="69"/>
      <c r="AZ8" s="67" t="s">
        <v>34</v>
      </c>
      <c r="BA8" s="69"/>
      <c r="BB8" s="69" t="s">
        <v>34</v>
      </c>
      <c r="BC8" s="87"/>
      <c r="BD8" s="67" t="s">
        <v>34</v>
      </c>
      <c r="BE8" s="14"/>
      <c r="BF8" s="71" t="s">
        <v>65</v>
      </c>
      <c r="BG8" s="72"/>
      <c r="BH8" s="71" t="s">
        <v>33</v>
      </c>
      <c r="BI8" s="72"/>
      <c r="BJ8" s="73" t="s">
        <v>33</v>
      </c>
      <c r="BK8" s="58"/>
      <c r="BL8" s="71" t="s">
        <v>33</v>
      </c>
      <c r="BM8" s="37"/>
      <c r="BN8" s="70"/>
      <c r="BO8" s="72"/>
      <c r="BP8" s="70"/>
      <c r="BQ8" s="72"/>
      <c r="BR8" s="72" t="s">
        <v>57</v>
      </c>
      <c r="BS8" s="15"/>
      <c r="BT8" s="70"/>
      <c r="BU8" s="14"/>
      <c r="BV8" s="67"/>
      <c r="BW8" s="72"/>
      <c r="BX8" s="194" t="s">
        <v>47</v>
      </c>
      <c r="BY8" s="72"/>
      <c r="BZ8" s="69"/>
      <c r="CA8" s="58"/>
      <c r="CB8" s="67"/>
      <c r="CC8" s="12">
        <v>4</v>
      </c>
      <c r="CD8" s="12" t="s">
        <v>132</v>
      </c>
      <c r="CE8" s="455"/>
      <c r="CF8" s="311">
        <f t="shared" si="0"/>
        <v>3</v>
      </c>
      <c r="CG8" s="76">
        <f t="shared" si="1"/>
        <v>5</v>
      </c>
      <c r="CH8" s="27"/>
      <c r="CI8" s="207" t="s">
        <v>306</v>
      </c>
      <c r="CJ8" s="449"/>
      <c r="CK8" s="450"/>
    </row>
    <row r="9" spans="1:89" ht="15" customHeight="1">
      <c r="A9" s="12">
        <v>5</v>
      </c>
      <c r="B9" s="12" t="s">
        <v>133</v>
      </c>
      <c r="C9" s="335"/>
      <c r="D9" s="33"/>
      <c r="E9" s="98"/>
      <c r="F9" s="33"/>
      <c r="G9" s="98"/>
      <c r="H9" s="33"/>
      <c r="I9" s="98"/>
      <c r="J9" s="33"/>
      <c r="K9" s="98" t="s">
        <v>51</v>
      </c>
      <c r="L9" s="33"/>
      <c r="M9" s="98"/>
      <c r="N9" s="33"/>
      <c r="O9" s="247"/>
      <c r="P9" s="33"/>
      <c r="Q9" s="184"/>
      <c r="R9" s="33"/>
      <c r="S9" s="98"/>
      <c r="T9" s="33"/>
      <c r="U9" s="98"/>
      <c r="V9" s="33"/>
      <c r="W9" s="98"/>
      <c r="X9" s="199" t="s">
        <v>41</v>
      </c>
      <c r="Y9" s="98"/>
      <c r="Z9" s="33"/>
      <c r="AA9" s="98"/>
      <c r="AB9" s="33" t="s">
        <v>41</v>
      </c>
      <c r="AC9" s="98"/>
      <c r="AD9" s="33" t="s">
        <v>65</v>
      </c>
      <c r="AE9" s="98"/>
      <c r="AF9" s="33"/>
      <c r="AG9" s="98"/>
      <c r="AH9" s="33" t="s">
        <v>42</v>
      </c>
      <c r="AI9" s="98"/>
      <c r="AJ9" s="33"/>
      <c r="AK9" s="98"/>
      <c r="AL9" s="33" t="s">
        <v>42</v>
      </c>
      <c r="AM9" s="98"/>
      <c r="AN9" s="33"/>
      <c r="AO9" s="184" t="s">
        <v>136</v>
      </c>
      <c r="AP9" s="440"/>
      <c r="AQ9" s="441"/>
      <c r="AR9" s="98"/>
      <c r="AS9" s="34"/>
      <c r="AT9" s="12">
        <v>5</v>
      </c>
      <c r="AU9" s="12" t="s">
        <v>133</v>
      </c>
      <c r="AV9" s="455">
        <v>2</v>
      </c>
      <c r="AW9" s="14"/>
      <c r="AX9" s="67"/>
      <c r="AY9" s="72"/>
      <c r="AZ9" s="67"/>
      <c r="BA9" s="72"/>
      <c r="BB9" s="69"/>
      <c r="BC9" s="58"/>
      <c r="BD9" s="67"/>
      <c r="BE9" s="84"/>
      <c r="BF9" s="67" t="s">
        <v>65</v>
      </c>
      <c r="BG9" s="69"/>
      <c r="BH9" s="67" t="s">
        <v>34</v>
      </c>
      <c r="BI9" s="69"/>
      <c r="BJ9" s="69" t="s">
        <v>34</v>
      </c>
      <c r="BK9" s="87"/>
      <c r="BL9" s="67" t="s">
        <v>34</v>
      </c>
      <c r="BM9" s="37"/>
      <c r="BN9" s="71" t="s">
        <v>33</v>
      </c>
      <c r="BO9" s="72"/>
      <c r="BP9" s="71" t="s">
        <v>33</v>
      </c>
      <c r="BQ9" s="72"/>
      <c r="BR9" s="72" t="s">
        <v>57</v>
      </c>
      <c r="BS9" s="58"/>
      <c r="BT9" s="70" t="s">
        <v>61</v>
      </c>
      <c r="BU9" s="96"/>
      <c r="BV9" s="67"/>
      <c r="BW9" s="69"/>
      <c r="BX9" s="67"/>
      <c r="BY9" s="69"/>
      <c r="BZ9" s="69"/>
      <c r="CA9" s="97"/>
      <c r="CB9" s="67"/>
      <c r="CC9" s="12">
        <v>5</v>
      </c>
      <c r="CD9" s="12" t="s">
        <v>133</v>
      </c>
      <c r="CE9" s="455">
        <v>2</v>
      </c>
      <c r="CF9" s="311">
        <f t="shared" si="0"/>
        <v>2</v>
      </c>
      <c r="CG9" s="76">
        <f t="shared" si="1"/>
        <v>3</v>
      </c>
      <c r="CH9" s="27"/>
      <c r="CI9" s="207" t="s">
        <v>306</v>
      </c>
      <c r="CJ9" s="449"/>
      <c r="CK9" s="450"/>
    </row>
    <row r="10" spans="1:89" ht="15" customHeight="1">
      <c r="A10" s="12">
        <v>6</v>
      </c>
      <c r="B10" s="12" t="s">
        <v>127</v>
      </c>
      <c r="C10" s="335"/>
      <c r="D10" s="189" t="s">
        <v>147</v>
      </c>
      <c r="E10" s="98"/>
      <c r="F10" s="189" t="s">
        <v>147</v>
      </c>
      <c r="G10" s="34"/>
      <c r="H10" s="33"/>
      <c r="I10" s="98"/>
      <c r="J10" s="205" t="s">
        <v>147</v>
      </c>
      <c r="K10" s="98"/>
      <c r="L10" s="33"/>
      <c r="M10" s="34"/>
      <c r="N10" s="33" t="s">
        <v>150</v>
      </c>
      <c r="O10" s="247"/>
      <c r="P10" s="248"/>
      <c r="Q10" s="184"/>
      <c r="R10" s="33" t="s">
        <v>150</v>
      </c>
      <c r="S10" s="98"/>
      <c r="T10" s="33"/>
      <c r="U10" s="98"/>
      <c r="V10" s="33"/>
      <c r="W10" s="98"/>
      <c r="X10" s="199" t="s">
        <v>41</v>
      </c>
      <c r="Y10" s="98"/>
      <c r="Z10" s="33"/>
      <c r="AA10" s="98"/>
      <c r="AB10" s="33"/>
      <c r="AC10" s="98" t="s">
        <v>51</v>
      </c>
      <c r="AD10" s="33" t="s">
        <v>65</v>
      </c>
      <c r="AE10" s="34"/>
      <c r="AF10" s="33"/>
      <c r="AG10" s="98"/>
      <c r="AH10" s="33"/>
      <c r="AI10" s="98"/>
      <c r="AJ10" s="186" t="s">
        <v>147</v>
      </c>
      <c r="AK10" s="98"/>
      <c r="AL10" s="33"/>
      <c r="AM10" s="98"/>
      <c r="AN10" s="33"/>
      <c r="AO10" s="184" t="s">
        <v>136</v>
      </c>
      <c r="AP10" s="440"/>
      <c r="AQ10" s="441"/>
      <c r="AR10" s="98"/>
      <c r="AS10" s="34"/>
      <c r="AT10" s="12">
        <v>6</v>
      </c>
      <c r="AU10" s="12" t="s">
        <v>127</v>
      </c>
      <c r="AV10" s="455"/>
      <c r="AW10" s="14"/>
      <c r="AX10" s="70"/>
      <c r="AY10" s="72"/>
      <c r="AZ10" s="70"/>
      <c r="BA10" s="72"/>
      <c r="BB10" s="72"/>
      <c r="BC10" s="58"/>
      <c r="BD10" s="70"/>
      <c r="BE10" s="14"/>
      <c r="BF10" s="67"/>
      <c r="BG10" s="72"/>
      <c r="BH10" s="67"/>
      <c r="BI10" s="72"/>
      <c r="BJ10" s="187" t="s">
        <v>47</v>
      </c>
      <c r="BK10" s="58"/>
      <c r="BL10" s="67"/>
      <c r="BM10" s="84"/>
      <c r="BN10" s="67" t="s">
        <v>34</v>
      </c>
      <c r="BO10" s="69"/>
      <c r="BP10" s="67" t="s">
        <v>34</v>
      </c>
      <c r="BQ10" s="69"/>
      <c r="BR10" s="72" t="s">
        <v>57</v>
      </c>
      <c r="BS10" s="87"/>
      <c r="BT10" s="67" t="s">
        <v>34</v>
      </c>
      <c r="BU10" s="96"/>
      <c r="BV10" s="71" t="s">
        <v>33</v>
      </c>
      <c r="BW10" s="72"/>
      <c r="BX10" s="71" t="s">
        <v>33</v>
      </c>
      <c r="BY10" s="72"/>
      <c r="BZ10" s="73" t="s">
        <v>33</v>
      </c>
      <c r="CA10" s="58"/>
      <c r="CB10" s="71" t="s">
        <v>33</v>
      </c>
      <c r="CC10" s="12">
        <v>6</v>
      </c>
      <c r="CD10" s="12" t="s">
        <v>127</v>
      </c>
      <c r="CE10" s="455"/>
      <c r="CF10" s="311">
        <f t="shared" si="0"/>
        <v>4</v>
      </c>
      <c r="CG10" s="76">
        <f t="shared" si="1"/>
        <v>4</v>
      </c>
      <c r="CH10" s="27"/>
      <c r="CI10" s="28"/>
      <c r="CJ10" s="449"/>
      <c r="CK10" s="450"/>
    </row>
    <row r="11" spans="1:89" ht="15" customHeight="1">
      <c r="A11" s="12">
        <v>7</v>
      </c>
      <c r="B11" s="12" t="s">
        <v>128</v>
      </c>
      <c r="C11" s="335"/>
      <c r="D11" s="33"/>
      <c r="E11" s="98"/>
      <c r="F11" s="33"/>
      <c r="G11" s="34"/>
      <c r="H11" s="98"/>
      <c r="I11" s="98"/>
      <c r="J11" s="33"/>
      <c r="K11" s="98"/>
      <c r="L11" s="33"/>
      <c r="M11" s="34"/>
      <c r="N11" s="98"/>
      <c r="O11" s="247"/>
      <c r="P11" s="33"/>
      <c r="Q11" s="184"/>
      <c r="R11" s="201" t="s">
        <v>307</v>
      </c>
      <c r="S11" s="98"/>
      <c r="T11" s="33"/>
      <c r="U11" s="98"/>
      <c r="V11" s="33"/>
      <c r="W11" s="98"/>
      <c r="X11" s="199" t="s">
        <v>41</v>
      </c>
      <c r="Y11" s="98"/>
      <c r="Z11" s="33"/>
      <c r="AA11" s="98"/>
      <c r="AB11" s="33"/>
      <c r="AC11" s="98"/>
      <c r="AD11" s="208" t="s">
        <v>65</v>
      </c>
      <c r="AE11" s="98"/>
      <c r="AF11" s="33"/>
      <c r="AG11" s="98"/>
      <c r="AH11" s="33"/>
      <c r="AI11" s="98"/>
      <c r="AJ11" s="33" t="s">
        <v>41</v>
      </c>
      <c r="AK11" s="98"/>
      <c r="AL11" s="33"/>
      <c r="AM11" s="98" t="s">
        <v>136</v>
      </c>
      <c r="AN11" s="33" t="s">
        <v>305</v>
      </c>
      <c r="AO11" s="184" t="s">
        <v>51</v>
      </c>
      <c r="AP11" s="440"/>
      <c r="AQ11" s="441"/>
      <c r="AR11" s="98"/>
      <c r="AS11" s="34"/>
      <c r="AT11" s="12">
        <v>7</v>
      </c>
      <c r="AU11" s="12" t="s">
        <v>128</v>
      </c>
      <c r="AV11" s="455"/>
      <c r="AW11" s="14"/>
      <c r="AX11" s="71" t="s">
        <v>33</v>
      </c>
      <c r="AY11" s="72"/>
      <c r="AZ11" s="70" t="s">
        <v>41</v>
      </c>
      <c r="BA11" s="72"/>
      <c r="BB11" s="72" t="s">
        <v>33</v>
      </c>
      <c r="BC11" s="58"/>
      <c r="BD11" s="70" t="s">
        <v>33</v>
      </c>
      <c r="BE11" s="14"/>
      <c r="BF11" s="70"/>
      <c r="BG11" s="72"/>
      <c r="BH11" s="70"/>
      <c r="BI11" s="72"/>
      <c r="BJ11" s="72"/>
      <c r="BK11" s="58"/>
      <c r="BL11" s="70"/>
      <c r="BM11" s="14"/>
      <c r="BN11" s="70" t="s">
        <v>42</v>
      </c>
      <c r="BO11" s="72"/>
      <c r="BP11" s="67"/>
      <c r="BQ11" s="72"/>
      <c r="BR11" s="72" t="s">
        <v>57</v>
      </c>
      <c r="BS11" s="58"/>
      <c r="BT11" s="67"/>
      <c r="BU11" s="84"/>
      <c r="BV11" s="67" t="s">
        <v>34</v>
      </c>
      <c r="BW11" s="69"/>
      <c r="BX11" s="67" t="s">
        <v>34</v>
      </c>
      <c r="BY11" s="69"/>
      <c r="BZ11" s="69" t="s">
        <v>34</v>
      </c>
      <c r="CA11" s="87"/>
      <c r="CB11" s="67" t="s">
        <v>34</v>
      </c>
      <c r="CC11" s="12">
        <v>7</v>
      </c>
      <c r="CD11" s="12" t="s">
        <v>128</v>
      </c>
      <c r="CE11" s="455"/>
      <c r="CF11" s="311">
        <f t="shared" si="0"/>
        <v>3</v>
      </c>
      <c r="CG11" s="76">
        <f t="shared" si="1"/>
        <v>4</v>
      </c>
      <c r="CH11" s="27"/>
      <c r="CI11" s="28"/>
      <c r="CJ11" s="449"/>
      <c r="CK11" s="450"/>
    </row>
    <row r="12" spans="1:89" ht="15" customHeight="1">
      <c r="A12" s="12">
        <v>8</v>
      </c>
      <c r="B12" s="12" t="s">
        <v>129</v>
      </c>
      <c r="C12" s="335"/>
      <c r="D12" s="33" t="s">
        <v>41</v>
      </c>
      <c r="E12" s="98"/>
      <c r="F12" s="33"/>
      <c r="G12" s="98"/>
      <c r="H12" s="33"/>
      <c r="I12" s="98"/>
      <c r="J12" s="33"/>
      <c r="K12" s="98" t="s">
        <v>51</v>
      </c>
      <c r="L12" s="33"/>
      <c r="M12" s="98"/>
      <c r="N12" s="33"/>
      <c r="O12" s="247"/>
      <c r="P12" s="33"/>
      <c r="Q12" s="184"/>
      <c r="R12" s="33"/>
      <c r="S12" s="98"/>
      <c r="T12" s="33"/>
      <c r="U12" s="98"/>
      <c r="V12" s="185"/>
      <c r="W12" s="98"/>
      <c r="X12" s="199" t="s">
        <v>41</v>
      </c>
      <c r="Y12" s="98"/>
      <c r="Z12" s="33"/>
      <c r="AA12" s="98"/>
      <c r="AB12" s="33"/>
      <c r="AC12" s="98"/>
      <c r="AD12" s="33" t="s">
        <v>65</v>
      </c>
      <c r="AE12" s="98"/>
      <c r="AF12" s="33"/>
      <c r="AG12" s="98"/>
      <c r="AH12" s="33" t="s">
        <v>42</v>
      </c>
      <c r="AI12" s="98"/>
      <c r="AJ12" s="33"/>
      <c r="AK12" s="98"/>
      <c r="AL12" s="33"/>
      <c r="AM12" s="98" t="s">
        <v>136</v>
      </c>
      <c r="AN12" s="33" t="s">
        <v>41</v>
      </c>
      <c r="AO12" s="184"/>
      <c r="AP12" s="440"/>
      <c r="AQ12" s="441"/>
      <c r="AR12" s="98"/>
      <c r="AS12" s="34"/>
      <c r="AT12" s="12">
        <v>8</v>
      </c>
      <c r="AU12" s="12" t="s">
        <v>129</v>
      </c>
      <c r="AV12" s="455"/>
      <c r="AW12" s="84"/>
      <c r="AX12" s="67" t="s">
        <v>34</v>
      </c>
      <c r="AY12" s="69"/>
      <c r="AZ12" s="67" t="s">
        <v>34</v>
      </c>
      <c r="BA12" s="69"/>
      <c r="BB12" s="69" t="s">
        <v>34</v>
      </c>
      <c r="BC12" s="87"/>
      <c r="BD12" s="67" t="s">
        <v>34</v>
      </c>
      <c r="BE12" s="14"/>
      <c r="BF12" s="71" t="s">
        <v>33</v>
      </c>
      <c r="BG12" s="72"/>
      <c r="BH12" s="71" t="s">
        <v>33</v>
      </c>
      <c r="BI12" s="72"/>
      <c r="BJ12" s="72" t="s">
        <v>61</v>
      </c>
      <c r="BK12" s="58"/>
      <c r="BL12" s="71" t="s">
        <v>41</v>
      </c>
      <c r="BM12" s="37"/>
      <c r="BN12" s="70"/>
      <c r="BO12" s="72"/>
      <c r="BP12" s="70"/>
      <c r="BQ12" s="72"/>
      <c r="BR12" s="72" t="s">
        <v>57</v>
      </c>
      <c r="BS12" s="15"/>
      <c r="BT12" s="70"/>
      <c r="BU12" s="14"/>
      <c r="BV12" s="67"/>
      <c r="BW12" s="72"/>
      <c r="BX12" s="67"/>
      <c r="BY12" s="72"/>
      <c r="BZ12" s="69"/>
      <c r="CA12" s="58"/>
      <c r="CB12" s="67"/>
      <c r="CC12" s="12">
        <v>8</v>
      </c>
      <c r="CD12" s="12" t="s">
        <v>129</v>
      </c>
      <c r="CE12" s="455"/>
      <c r="CF12" s="311">
        <f t="shared" si="0"/>
        <v>2</v>
      </c>
      <c r="CG12" s="76">
        <f t="shared" si="1"/>
        <v>4</v>
      </c>
      <c r="CH12" s="27"/>
      <c r="CI12" s="28"/>
      <c r="CJ12" s="449"/>
      <c r="CK12" s="450"/>
    </row>
    <row r="13" spans="1:89" ht="15" customHeight="1">
      <c r="A13" s="13">
        <v>9</v>
      </c>
      <c r="B13" s="13" t="s">
        <v>130</v>
      </c>
      <c r="C13" s="335"/>
      <c r="D13" s="104"/>
      <c r="E13" s="106"/>
      <c r="F13" s="104"/>
      <c r="G13" s="106"/>
      <c r="H13" s="104"/>
      <c r="I13" s="106"/>
      <c r="J13" s="104"/>
      <c r="K13" s="106"/>
      <c r="L13" s="104"/>
      <c r="M13" s="106" t="s">
        <v>53</v>
      </c>
      <c r="N13" s="104"/>
      <c r="O13" s="246"/>
      <c r="P13" s="104"/>
      <c r="Q13" s="183"/>
      <c r="R13" s="104"/>
      <c r="S13" s="106"/>
      <c r="T13" s="104"/>
      <c r="U13" s="106"/>
      <c r="V13" s="185" t="s">
        <v>41</v>
      </c>
      <c r="W13" s="106"/>
      <c r="X13" s="104"/>
      <c r="Y13" s="106"/>
      <c r="Z13" s="104"/>
      <c r="AA13" s="106"/>
      <c r="AB13" s="104"/>
      <c r="AC13" s="106"/>
      <c r="AD13" s="104"/>
      <c r="AE13" s="106"/>
      <c r="AF13" s="104"/>
      <c r="AG13" s="106"/>
      <c r="AH13" s="104"/>
      <c r="AI13" s="106" t="s">
        <v>137</v>
      </c>
      <c r="AJ13" s="104"/>
      <c r="AK13" s="106"/>
      <c r="AL13" s="104"/>
      <c r="AM13" s="106"/>
      <c r="AN13" s="104"/>
      <c r="AO13" s="183"/>
      <c r="AP13" s="451"/>
      <c r="AQ13" s="452"/>
      <c r="AR13" s="106"/>
      <c r="AS13" s="105"/>
      <c r="AT13" s="12">
        <v>9</v>
      </c>
      <c r="AU13" s="12" t="s">
        <v>130</v>
      </c>
      <c r="AV13" s="455"/>
      <c r="AW13" s="16"/>
      <c r="AX13" s="66"/>
      <c r="AY13" s="73"/>
      <c r="AZ13" s="66"/>
      <c r="BA13" s="73"/>
      <c r="BB13" s="68"/>
      <c r="BC13" s="59"/>
      <c r="BD13" s="66"/>
      <c r="BE13" s="81"/>
      <c r="BF13" s="66" t="s">
        <v>34</v>
      </c>
      <c r="BG13" s="68"/>
      <c r="BH13" s="66" t="s">
        <v>34</v>
      </c>
      <c r="BI13" s="68"/>
      <c r="BJ13" s="68" t="s">
        <v>34</v>
      </c>
      <c r="BK13" s="110"/>
      <c r="BL13" s="66" t="s">
        <v>34</v>
      </c>
      <c r="BM13" s="38"/>
      <c r="BN13" s="71" t="s">
        <v>33</v>
      </c>
      <c r="BO13" s="73"/>
      <c r="BP13" s="71" t="s">
        <v>33</v>
      </c>
      <c r="BQ13" s="73"/>
      <c r="BR13" s="69" t="s">
        <v>61</v>
      </c>
      <c r="BS13" s="59"/>
      <c r="BT13" s="71" t="s">
        <v>33</v>
      </c>
      <c r="BU13" s="108"/>
      <c r="BV13" s="66"/>
      <c r="BW13" s="68"/>
      <c r="BX13" s="66"/>
      <c r="BY13" s="68"/>
      <c r="BZ13" s="68"/>
      <c r="CA13" s="83"/>
      <c r="CB13" s="66"/>
      <c r="CC13" s="13">
        <v>9</v>
      </c>
      <c r="CD13" s="13" t="s">
        <v>130</v>
      </c>
      <c r="CE13" s="455"/>
      <c r="CF13" s="311">
        <f t="shared" si="0"/>
        <v>3</v>
      </c>
      <c r="CG13" s="76">
        <f t="shared" si="1"/>
        <v>4</v>
      </c>
      <c r="CH13" s="27"/>
      <c r="CI13" s="28"/>
      <c r="CJ13" s="449"/>
      <c r="CK13" s="450"/>
    </row>
    <row r="14" spans="1:89" ht="15" customHeight="1">
      <c r="A14" s="13">
        <v>10</v>
      </c>
      <c r="B14" s="13" t="s">
        <v>131</v>
      </c>
      <c r="C14" s="336"/>
      <c r="D14" s="104"/>
      <c r="E14" s="106"/>
      <c r="F14" s="104"/>
      <c r="G14" s="106" t="s">
        <v>53</v>
      </c>
      <c r="H14" s="104"/>
      <c r="I14" s="106"/>
      <c r="J14" s="104"/>
      <c r="K14" s="106"/>
      <c r="L14" s="104"/>
      <c r="M14" s="106"/>
      <c r="N14" s="104"/>
      <c r="O14" s="246"/>
      <c r="P14" s="104"/>
      <c r="Q14" s="183"/>
      <c r="R14" s="104"/>
      <c r="S14" s="106"/>
      <c r="T14" s="104"/>
      <c r="U14" s="106"/>
      <c r="V14" s="185" t="s">
        <v>41</v>
      </c>
      <c r="W14" s="106"/>
      <c r="X14" s="104"/>
      <c r="Y14" s="106"/>
      <c r="Z14" s="104"/>
      <c r="AA14" s="106"/>
      <c r="AB14" s="104"/>
      <c r="AC14" s="106"/>
      <c r="AD14" s="104"/>
      <c r="AE14" s="106"/>
      <c r="AF14" s="104"/>
      <c r="AG14" s="106" t="s">
        <v>137</v>
      </c>
      <c r="AH14" s="104"/>
      <c r="AI14" s="106"/>
      <c r="AJ14" s="104"/>
      <c r="AK14" s="106"/>
      <c r="AL14" s="104"/>
      <c r="AM14" s="106"/>
      <c r="AN14" s="104"/>
      <c r="AO14" s="183"/>
      <c r="AP14" s="451"/>
      <c r="AQ14" s="452"/>
      <c r="AR14" s="106"/>
      <c r="AS14" s="105"/>
      <c r="AT14" s="12">
        <v>10</v>
      </c>
      <c r="AU14" s="12" t="s">
        <v>131</v>
      </c>
      <c r="AV14" s="455"/>
      <c r="AW14" s="16"/>
      <c r="AX14" s="71"/>
      <c r="AY14" s="73"/>
      <c r="AZ14" s="71"/>
      <c r="BA14" s="73"/>
      <c r="BB14" s="73"/>
      <c r="BC14" s="59"/>
      <c r="BD14" s="71"/>
      <c r="BE14" s="16"/>
      <c r="BF14" s="66"/>
      <c r="BG14" s="73"/>
      <c r="BH14" s="66"/>
      <c r="BI14" s="73"/>
      <c r="BJ14" s="68"/>
      <c r="BK14" s="59"/>
      <c r="BL14" s="66"/>
      <c r="BM14" s="81"/>
      <c r="BN14" s="66" t="s">
        <v>34</v>
      </c>
      <c r="BO14" s="68"/>
      <c r="BP14" s="66" t="s">
        <v>34</v>
      </c>
      <c r="BQ14" s="68"/>
      <c r="BR14" s="69" t="s">
        <v>61</v>
      </c>
      <c r="BS14" s="110"/>
      <c r="BT14" s="66" t="s">
        <v>34</v>
      </c>
      <c r="BU14" s="108"/>
      <c r="BV14" s="70" t="s">
        <v>61</v>
      </c>
      <c r="BW14" s="73"/>
      <c r="BX14" s="71" t="s">
        <v>33</v>
      </c>
      <c r="BY14" s="73"/>
      <c r="BZ14" s="73" t="s">
        <v>33</v>
      </c>
      <c r="CA14" s="59"/>
      <c r="CB14" s="71" t="s">
        <v>33</v>
      </c>
      <c r="CC14" s="13">
        <v>10</v>
      </c>
      <c r="CD14" s="13" t="s">
        <v>131</v>
      </c>
      <c r="CE14" s="455"/>
      <c r="CF14" s="311">
        <f t="shared" si="0"/>
        <v>3</v>
      </c>
      <c r="CG14" s="76">
        <f t="shared" si="1"/>
        <v>3</v>
      </c>
      <c r="CH14" s="27"/>
      <c r="CI14" s="28"/>
      <c r="CJ14" s="449"/>
      <c r="CK14" s="450"/>
    </row>
    <row r="15" spans="1:89" ht="15" customHeight="1">
      <c r="A15" s="12">
        <v>11</v>
      </c>
      <c r="B15" s="12" t="s">
        <v>132</v>
      </c>
      <c r="C15" s="334">
        <v>3</v>
      </c>
      <c r="D15" s="33"/>
      <c r="E15" s="98"/>
      <c r="F15" s="33"/>
      <c r="G15" s="98"/>
      <c r="H15" s="33" t="s">
        <v>65</v>
      </c>
      <c r="I15" s="98"/>
      <c r="J15" s="33"/>
      <c r="K15" s="98"/>
      <c r="L15" s="33"/>
      <c r="M15" s="98"/>
      <c r="N15" s="33"/>
      <c r="O15" s="247"/>
      <c r="P15" s="33" t="s">
        <v>65</v>
      </c>
      <c r="Q15" s="184"/>
      <c r="R15" s="33"/>
      <c r="S15" s="98"/>
      <c r="T15" s="33"/>
      <c r="U15" s="98"/>
      <c r="V15" s="185" t="s">
        <v>41</v>
      </c>
      <c r="W15" s="98"/>
      <c r="X15" s="33"/>
      <c r="Y15" s="98"/>
      <c r="Z15" s="33"/>
      <c r="AA15" s="98"/>
      <c r="AB15" s="33"/>
      <c r="AC15" s="98" t="s">
        <v>51</v>
      </c>
      <c r="AD15" s="33"/>
      <c r="AE15" s="98" t="s">
        <v>136</v>
      </c>
      <c r="AF15" s="33"/>
      <c r="AG15" s="98"/>
      <c r="AH15" s="33"/>
      <c r="AI15" s="98"/>
      <c r="AJ15" s="33"/>
      <c r="AK15" s="98"/>
      <c r="AL15" s="33"/>
      <c r="AM15" s="98"/>
      <c r="AN15" s="33"/>
      <c r="AO15" s="184"/>
      <c r="AP15" s="440"/>
      <c r="AQ15" s="441"/>
      <c r="AR15" s="98"/>
      <c r="AS15" s="34"/>
      <c r="AT15" s="12">
        <v>11</v>
      </c>
      <c r="AU15" s="12" t="s">
        <v>132</v>
      </c>
      <c r="AV15" s="455"/>
      <c r="AW15" s="14"/>
      <c r="AX15" s="70" t="s">
        <v>33</v>
      </c>
      <c r="AY15" s="72"/>
      <c r="AZ15" s="70" t="s">
        <v>41</v>
      </c>
      <c r="BA15" s="72"/>
      <c r="BB15" s="72" t="s">
        <v>33</v>
      </c>
      <c r="BC15" s="58"/>
      <c r="BD15" s="71" t="s">
        <v>33</v>
      </c>
      <c r="BE15" s="14"/>
      <c r="BF15" s="70" t="s">
        <v>41</v>
      </c>
      <c r="BG15" s="72"/>
      <c r="BH15" s="70"/>
      <c r="BI15" s="72"/>
      <c r="BJ15" s="72"/>
      <c r="BK15" s="58"/>
      <c r="BL15" s="72"/>
      <c r="BM15" s="14"/>
      <c r="BN15" s="67"/>
      <c r="BO15" s="72"/>
      <c r="BP15" s="67"/>
      <c r="BQ15" s="72"/>
      <c r="BR15" s="72" t="s">
        <v>57</v>
      </c>
      <c r="BS15" s="58"/>
      <c r="BT15" s="67"/>
      <c r="BU15" s="84"/>
      <c r="BV15" s="67" t="s">
        <v>34</v>
      </c>
      <c r="BW15" s="69"/>
      <c r="BX15" s="67" t="s">
        <v>34</v>
      </c>
      <c r="BY15" s="69"/>
      <c r="BZ15" s="69" t="s">
        <v>34</v>
      </c>
      <c r="CA15" s="87"/>
      <c r="CB15" s="67" t="s">
        <v>34</v>
      </c>
      <c r="CC15" s="12">
        <v>11</v>
      </c>
      <c r="CD15" s="12" t="s">
        <v>132</v>
      </c>
      <c r="CE15" s="455"/>
      <c r="CF15" s="311">
        <f t="shared" si="0"/>
        <v>3</v>
      </c>
      <c r="CG15" s="76">
        <f t="shared" si="1"/>
        <v>4</v>
      </c>
      <c r="CH15" s="27"/>
      <c r="CI15" s="207" t="s">
        <v>306</v>
      </c>
      <c r="CJ15" s="449"/>
      <c r="CK15" s="450"/>
    </row>
    <row r="16" spans="1:89" ht="15" customHeight="1">
      <c r="A16" s="12">
        <v>12</v>
      </c>
      <c r="B16" s="12" t="s">
        <v>133</v>
      </c>
      <c r="C16" s="335"/>
      <c r="D16" s="33"/>
      <c r="E16" s="98"/>
      <c r="F16" s="33" t="s">
        <v>42</v>
      </c>
      <c r="G16" s="98"/>
      <c r="H16" s="33" t="s">
        <v>42</v>
      </c>
      <c r="I16" s="98"/>
      <c r="J16" s="33"/>
      <c r="K16" s="98"/>
      <c r="L16" s="33"/>
      <c r="M16" s="98" t="s">
        <v>136</v>
      </c>
      <c r="N16" s="33"/>
      <c r="O16" s="247"/>
      <c r="P16" s="33" t="s">
        <v>65</v>
      </c>
      <c r="Q16" s="184"/>
      <c r="R16" s="33" t="s">
        <v>65</v>
      </c>
      <c r="S16" s="98"/>
      <c r="T16" s="33"/>
      <c r="U16" s="98"/>
      <c r="V16" s="185" t="s">
        <v>41</v>
      </c>
      <c r="W16" s="98"/>
      <c r="X16" s="33"/>
      <c r="Y16" s="98"/>
      <c r="Z16" s="33"/>
      <c r="AA16" s="98" t="s">
        <v>61</v>
      </c>
      <c r="AB16" s="33"/>
      <c r="AC16" s="98" t="s">
        <v>51</v>
      </c>
      <c r="AD16" s="33"/>
      <c r="AE16" s="98"/>
      <c r="AF16" s="33"/>
      <c r="AG16" s="98"/>
      <c r="AH16" s="33" t="s">
        <v>42</v>
      </c>
      <c r="AI16" s="98"/>
      <c r="AJ16" s="33"/>
      <c r="AK16" s="98"/>
      <c r="AL16" s="33" t="s">
        <v>42</v>
      </c>
      <c r="AM16" s="98"/>
      <c r="AN16" s="33"/>
      <c r="AO16" s="184"/>
      <c r="AP16" s="440"/>
      <c r="AQ16" s="441"/>
      <c r="AR16" s="98"/>
      <c r="AS16" s="34"/>
      <c r="AT16" s="12">
        <v>12</v>
      </c>
      <c r="AU16" s="12" t="s">
        <v>133</v>
      </c>
      <c r="AV16" s="455">
        <v>3</v>
      </c>
      <c r="AW16" s="84"/>
      <c r="AX16" s="67" t="s">
        <v>34</v>
      </c>
      <c r="AY16" s="69"/>
      <c r="AZ16" s="67" t="s">
        <v>34</v>
      </c>
      <c r="BA16" s="69"/>
      <c r="BB16" s="69" t="s">
        <v>34</v>
      </c>
      <c r="BC16" s="87"/>
      <c r="BD16" s="67" t="s">
        <v>34</v>
      </c>
      <c r="BE16" s="14"/>
      <c r="BF16" s="70" t="s">
        <v>41</v>
      </c>
      <c r="BG16" s="72"/>
      <c r="BH16" s="71" t="s">
        <v>33</v>
      </c>
      <c r="BI16" s="72"/>
      <c r="BJ16" s="73" t="s">
        <v>33</v>
      </c>
      <c r="BK16" s="58"/>
      <c r="BL16" s="73" t="s">
        <v>33</v>
      </c>
      <c r="BM16" s="37"/>
      <c r="BN16" s="70"/>
      <c r="BO16" s="72"/>
      <c r="BP16" s="70"/>
      <c r="BQ16" s="72"/>
      <c r="BR16" s="72" t="s">
        <v>57</v>
      </c>
      <c r="BS16" s="15"/>
      <c r="BT16" s="70"/>
      <c r="BU16" s="14"/>
      <c r="BV16" s="67"/>
      <c r="BW16" s="72"/>
      <c r="BX16" s="67"/>
      <c r="BY16" s="72"/>
      <c r="BZ16" s="69"/>
      <c r="CA16" s="58"/>
      <c r="CB16" s="67"/>
      <c r="CC16" s="12">
        <v>12</v>
      </c>
      <c r="CD16" s="12" t="s">
        <v>133</v>
      </c>
      <c r="CE16" s="455">
        <v>3</v>
      </c>
      <c r="CF16" s="311">
        <f t="shared" si="0"/>
        <v>3</v>
      </c>
      <c r="CG16" s="76">
        <f t="shared" si="1"/>
        <v>4</v>
      </c>
      <c r="CH16" s="27"/>
      <c r="CI16" s="28"/>
      <c r="CJ16" s="449"/>
      <c r="CK16" s="450"/>
    </row>
    <row r="17" spans="1:89" ht="15" customHeight="1">
      <c r="A17" s="12">
        <v>13</v>
      </c>
      <c r="B17" s="12" t="s">
        <v>127</v>
      </c>
      <c r="C17" s="335"/>
      <c r="D17" s="33" t="s">
        <v>65</v>
      </c>
      <c r="E17" s="98"/>
      <c r="F17" s="33"/>
      <c r="G17" s="98"/>
      <c r="H17" s="33"/>
      <c r="I17" s="98"/>
      <c r="J17" s="33"/>
      <c r="K17" s="98"/>
      <c r="L17" s="33" t="s">
        <v>65</v>
      </c>
      <c r="M17" s="98"/>
      <c r="N17" s="197" t="s">
        <v>151</v>
      </c>
      <c r="O17" s="247"/>
      <c r="P17" s="33" t="s">
        <v>65</v>
      </c>
      <c r="Q17" s="184"/>
      <c r="R17" s="33" t="s">
        <v>65</v>
      </c>
      <c r="S17" s="98"/>
      <c r="T17" s="33"/>
      <c r="U17" s="98" t="s">
        <v>51</v>
      </c>
      <c r="V17" s="185" t="s">
        <v>41</v>
      </c>
      <c r="W17" s="98"/>
      <c r="X17" s="33"/>
      <c r="Y17" s="98"/>
      <c r="Z17" s="33" t="s">
        <v>41</v>
      </c>
      <c r="AA17" s="98"/>
      <c r="AB17" s="33"/>
      <c r="AC17" s="98" t="s">
        <v>136</v>
      </c>
      <c r="AD17" s="200"/>
      <c r="AE17" s="98"/>
      <c r="AF17" s="33"/>
      <c r="AG17" s="98"/>
      <c r="AH17" s="33"/>
      <c r="AI17" s="98"/>
      <c r="AJ17" s="33"/>
      <c r="AK17" s="98"/>
      <c r="AL17" s="33"/>
      <c r="AM17" s="98"/>
      <c r="AN17" s="33"/>
      <c r="AO17" s="184"/>
      <c r="AP17" s="440"/>
      <c r="AQ17" s="441"/>
      <c r="AR17" s="98"/>
      <c r="AS17" s="34"/>
      <c r="AT17" s="12">
        <v>13</v>
      </c>
      <c r="AU17" s="12" t="s">
        <v>127</v>
      </c>
      <c r="AV17" s="455"/>
      <c r="AW17" s="14"/>
      <c r="AX17" s="67"/>
      <c r="AY17" s="72"/>
      <c r="AZ17" s="67"/>
      <c r="BA17" s="72"/>
      <c r="BB17" s="69"/>
      <c r="BC17" s="58"/>
      <c r="BD17" s="67"/>
      <c r="BE17" s="84"/>
      <c r="BF17" s="70" t="s">
        <v>41</v>
      </c>
      <c r="BG17" s="69"/>
      <c r="BH17" s="67" t="s">
        <v>34</v>
      </c>
      <c r="BI17" s="69"/>
      <c r="BJ17" s="69" t="s">
        <v>34</v>
      </c>
      <c r="BK17" s="87"/>
      <c r="BL17" s="69" t="s">
        <v>34</v>
      </c>
      <c r="BM17" s="37"/>
      <c r="BN17" s="71" t="s">
        <v>33</v>
      </c>
      <c r="BO17" s="72"/>
      <c r="BP17" s="71" t="s">
        <v>33</v>
      </c>
      <c r="BQ17" s="72"/>
      <c r="BR17" s="72" t="s">
        <v>57</v>
      </c>
      <c r="BS17" s="58"/>
      <c r="BT17" s="71" t="s">
        <v>33</v>
      </c>
      <c r="BU17" s="96"/>
      <c r="BV17" s="67"/>
      <c r="BW17" s="69"/>
      <c r="BX17" s="67"/>
      <c r="BY17" s="69"/>
      <c r="BZ17" s="69"/>
      <c r="CA17" s="97"/>
      <c r="CB17" s="195" t="s">
        <v>40</v>
      </c>
      <c r="CC17" s="12">
        <v>13</v>
      </c>
      <c r="CD17" s="12" t="s">
        <v>127</v>
      </c>
      <c r="CE17" s="455"/>
      <c r="CF17" s="311">
        <f t="shared" si="0"/>
        <v>4</v>
      </c>
      <c r="CG17" s="76">
        <f t="shared" si="1"/>
        <v>3</v>
      </c>
      <c r="CH17" s="27"/>
      <c r="CI17" s="207" t="s">
        <v>306</v>
      </c>
      <c r="CJ17" s="449"/>
      <c r="CK17" s="450"/>
    </row>
    <row r="18" spans="1:89" ht="15" customHeight="1">
      <c r="A18" s="12">
        <v>14</v>
      </c>
      <c r="B18" s="12" t="s">
        <v>128</v>
      </c>
      <c r="C18" s="335"/>
      <c r="D18" s="33"/>
      <c r="E18" s="98" t="s">
        <v>51</v>
      </c>
      <c r="F18" s="33"/>
      <c r="G18" s="98"/>
      <c r="H18" s="204"/>
      <c r="I18" s="98"/>
      <c r="J18" s="33" t="s">
        <v>57</v>
      </c>
      <c r="K18" s="98"/>
      <c r="L18" s="33"/>
      <c r="M18" s="98"/>
      <c r="N18" s="197" t="s">
        <v>151</v>
      </c>
      <c r="O18" s="247"/>
      <c r="P18" s="204"/>
      <c r="Q18" s="184" t="s">
        <v>136</v>
      </c>
      <c r="R18" s="204" t="s">
        <v>65</v>
      </c>
      <c r="S18" s="98"/>
      <c r="T18" s="204"/>
      <c r="U18" s="98"/>
      <c r="V18" s="185" t="s">
        <v>41</v>
      </c>
      <c r="W18" s="98"/>
      <c r="X18" s="204"/>
      <c r="Y18" s="98"/>
      <c r="Z18" s="33" t="s">
        <v>41</v>
      </c>
      <c r="AA18" s="98"/>
      <c r="AB18" s="33" t="s">
        <v>41</v>
      </c>
      <c r="AC18" s="98"/>
      <c r="AD18" s="204"/>
      <c r="AE18" s="98"/>
      <c r="AF18" s="33"/>
      <c r="AG18" s="98"/>
      <c r="AH18" s="33"/>
      <c r="AI18" s="98"/>
      <c r="AJ18" s="33" t="s">
        <v>65</v>
      </c>
      <c r="AK18" s="98"/>
      <c r="AL18" s="33"/>
      <c r="AM18" s="98"/>
      <c r="AN18" s="33"/>
      <c r="AO18" s="184"/>
      <c r="AP18" s="456" t="s">
        <v>187</v>
      </c>
      <c r="AQ18" s="457"/>
      <c r="AR18" s="98"/>
      <c r="AS18" s="34"/>
      <c r="AT18" s="12">
        <v>14</v>
      </c>
      <c r="AU18" s="12" t="s">
        <v>128</v>
      </c>
      <c r="AV18" s="455"/>
      <c r="AW18" s="14"/>
      <c r="AX18" s="70"/>
      <c r="AY18" s="72"/>
      <c r="AZ18" s="70"/>
      <c r="BA18" s="72"/>
      <c r="BB18" s="72"/>
      <c r="BC18" s="58"/>
      <c r="BD18" s="196">
        <v>2</v>
      </c>
      <c r="BE18" s="14"/>
      <c r="BF18" s="70" t="s">
        <v>41</v>
      </c>
      <c r="BG18" s="72"/>
      <c r="BH18" s="67"/>
      <c r="BI18" s="72"/>
      <c r="BJ18" s="69"/>
      <c r="BK18" s="58"/>
      <c r="BL18" s="69"/>
      <c r="BM18" s="84"/>
      <c r="BN18" s="67" t="s">
        <v>34</v>
      </c>
      <c r="BO18" s="69"/>
      <c r="BP18" s="67" t="s">
        <v>34</v>
      </c>
      <c r="BQ18" s="69"/>
      <c r="BR18" s="72" t="s">
        <v>57</v>
      </c>
      <c r="BS18" s="87"/>
      <c r="BT18" s="67" t="s">
        <v>34</v>
      </c>
      <c r="BU18" s="96"/>
      <c r="BV18" s="71" t="s">
        <v>33</v>
      </c>
      <c r="BW18" s="72"/>
      <c r="BX18" s="71" t="s">
        <v>33</v>
      </c>
      <c r="BY18" s="72"/>
      <c r="BZ18" s="73" t="s">
        <v>33</v>
      </c>
      <c r="CA18" s="58"/>
      <c r="CB18" s="71" t="s">
        <v>33</v>
      </c>
      <c r="CC18" s="12">
        <v>14</v>
      </c>
      <c r="CD18" s="12" t="s">
        <v>128</v>
      </c>
      <c r="CE18" s="455"/>
      <c r="CF18" s="311">
        <f t="shared" si="0"/>
        <v>5</v>
      </c>
      <c r="CG18" s="76">
        <f t="shared" si="1"/>
        <v>3</v>
      </c>
      <c r="CH18" s="27"/>
      <c r="CI18" s="28"/>
      <c r="CJ18" s="458" t="s">
        <v>187</v>
      </c>
      <c r="CK18" s="459"/>
    </row>
    <row r="19" spans="1:89" ht="15" customHeight="1">
      <c r="A19" s="12">
        <v>15</v>
      </c>
      <c r="B19" s="12" t="s">
        <v>129</v>
      </c>
      <c r="C19" s="335"/>
      <c r="D19" s="33"/>
      <c r="E19" s="98"/>
      <c r="F19" s="33"/>
      <c r="G19" s="98"/>
      <c r="H19" s="33"/>
      <c r="I19" s="98"/>
      <c r="J19" s="33" t="s">
        <v>57</v>
      </c>
      <c r="K19" s="98"/>
      <c r="L19" s="33"/>
      <c r="M19" s="98"/>
      <c r="N19" s="197" t="s">
        <v>151</v>
      </c>
      <c r="O19" s="247"/>
      <c r="P19" s="33"/>
      <c r="Q19" s="184" t="s">
        <v>136</v>
      </c>
      <c r="R19" s="33"/>
      <c r="S19" s="98" t="s">
        <v>51</v>
      </c>
      <c r="T19" s="33"/>
      <c r="U19" s="98"/>
      <c r="V19" s="185" t="s">
        <v>41</v>
      </c>
      <c r="W19" s="98"/>
      <c r="X19" s="33"/>
      <c r="Y19" s="98"/>
      <c r="Z19" s="33" t="s">
        <v>41</v>
      </c>
      <c r="AA19" s="98"/>
      <c r="AB19" s="219"/>
      <c r="AC19" s="98"/>
      <c r="AD19" s="33" t="s">
        <v>65</v>
      </c>
      <c r="AE19" s="98"/>
      <c r="AF19" s="33"/>
      <c r="AG19" s="98"/>
      <c r="AH19" s="33"/>
      <c r="AI19" s="98"/>
      <c r="AJ19" s="33"/>
      <c r="AK19" s="98"/>
      <c r="AL19" s="33"/>
      <c r="AM19" s="98"/>
      <c r="AN19" s="33" t="s">
        <v>41</v>
      </c>
      <c r="AO19" s="184"/>
      <c r="AP19" s="460" t="s">
        <v>300</v>
      </c>
      <c r="AQ19" s="461"/>
      <c r="AR19" s="98"/>
      <c r="AS19" s="34"/>
      <c r="AT19" s="12">
        <v>15</v>
      </c>
      <c r="AU19" s="12" t="s">
        <v>129</v>
      </c>
      <c r="AV19" s="455"/>
      <c r="AW19" s="14"/>
      <c r="AX19" s="71" t="s">
        <v>33</v>
      </c>
      <c r="AY19" s="72"/>
      <c r="AZ19" s="71" t="s">
        <v>33</v>
      </c>
      <c r="BA19" s="72"/>
      <c r="BB19" s="73" t="s">
        <v>33</v>
      </c>
      <c r="BC19" s="58"/>
      <c r="BD19" s="71" t="s">
        <v>33</v>
      </c>
      <c r="BE19" s="14"/>
      <c r="BF19" s="70" t="s">
        <v>41</v>
      </c>
      <c r="BG19" s="72"/>
      <c r="BH19" s="70"/>
      <c r="BI19" s="72"/>
      <c r="BJ19" s="72"/>
      <c r="BK19" s="58"/>
      <c r="BL19" s="72"/>
      <c r="BM19" s="14"/>
      <c r="BN19" s="67"/>
      <c r="BO19" s="72"/>
      <c r="BP19" s="67"/>
      <c r="BQ19" s="72"/>
      <c r="BR19" s="72" t="s">
        <v>57</v>
      </c>
      <c r="BS19" s="58"/>
      <c r="BT19" s="194" t="s">
        <v>47</v>
      </c>
      <c r="BU19" s="84"/>
      <c r="BV19" s="67" t="s">
        <v>34</v>
      </c>
      <c r="BW19" s="69"/>
      <c r="BX19" s="67" t="s">
        <v>34</v>
      </c>
      <c r="BY19" s="69"/>
      <c r="BZ19" s="69" t="s">
        <v>34</v>
      </c>
      <c r="CA19" s="87"/>
      <c r="CB19" s="67" t="s">
        <v>34</v>
      </c>
      <c r="CC19" s="12">
        <v>15</v>
      </c>
      <c r="CD19" s="12" t="s">
        <v>129</v>
      </c>
      <c r="CE19" s="455"/>
      <c r="CF19" s="311">
        <f t="shared" si="0"/>
        <v>4</v>
      </c>
      <c r="CG19" s="76">
        <f t="shared" si="1"/>
        <v>5</v>
      </c>
      <c r="CH19" s="27"/>
      <c r="CI19" s="28"/>
      <c r="CJ19" s="449"/>
      <c r="CK19" s="450"/>
    </row>
    <row r="20" spans="1:89" ht="15" customHeight="1">
      <c r="A20" s="13">
        <v>16</v>
      </c>
      <c r="B20" s="13" t="s">
        <v>130</v>
      </c>
      <c r="C20" s="335"/>
      <c r="D20" s="104"/>
      <c r="E20" s="106"/>
      <c r="F20" s="104"/>
      <c r="G20" s="106"/>
      <c r="H20" s="104"/>
      <c r="I20" s="106"/>
      <c r="J20" s="33" t="s">
        <v>57</v>
      </c>
      <c r="K20" s="106"/>
      <c r="L20" s="104"/>
      <c r="M20" s="106"/>
      <c r="N20" s="104"/>
      <c r="O20" s="246"/>
      <c r="P20" s="104"/>
      <c r="Q20" s="183"/>
      <c r="R20" s="104"/>
      <c r="S20" s="106"/>
      <c r="T20" s="104"/>
      <c r="U20" s="106"/>
      <c r="V20" s="185" t="s">
        <v>41</v>
      </c>
      <c r="W20" s="106"/>
      <c r="X20" s="104"/>
      <c r="Y20" s="106" t="s">
        <v>53</v>
      </c>
      <c r="Z20" s="104"/>
      <c r="AA20" s="106"/>
      <c r="AB20" s="104"/>
      <c r="AC20" s="106"/>
      <c r="AD20" s="104" t="s">
        <v>65</v>
      </c>
      <c r="AE20" s="106"/>
      <c r="AF20" s="104"/>
      <c r="AG20" s="106"/>
      <c r="AH20" s="104"/>
      <c r="AI20" s="106" t="s">
        <v>137</v>
      </c>
      <c r="AJ20" s="104"/>
      <c r="AK20" s="106"/>
      <c r="AL20" s="104"/>
      <c r="AM20" s="106"/>
      <c r="AN20" s="104"/>
      <c r="AO20" s="183"/>
      <c r="AP20" s="462" t="s">
        <v>300</v>
      </c>
      <c r="AQ20" s="463"/>
      <c r="AR20" s="106"/>
      <c r="AS20" s="105"/>
      <c r="AT20" s="13">
        <v>16</v>
      </c>
      <c r="AU20" s="13" t="s">
        <v>130</v>
      </c>
      <c r="AV20" s="455"/>
      <c r="AW20" s="81"/>
      <c r="AX20" s="66" t="s">
        <v>34</v>
      </c>
      <c r="AY20" s="68"/>
      <c r="AZ20" s="66" t="s">
        <v>34</v>
      </c>
      <c r="BA20" s="68"/>
      <c r="BB20" s="68" t="s">
        <v>34</v>
      </c>
      <c r="BC20" s="110"/>
      <c r="BD20" s="66" t="s">
        <v>34</v>
      </c>
      <c r="BE20" s="16"/>
      <c r="BF20" s="70" t="s">
        <v>61</v>
      </c>
      <c r="BG20" s="73"/>
      <c r="BH20" s="71" t="s">
        <v>33</v>
      </c>
      <c r="BI20" s="73"/>
      <c r="BJ20" s="73" t="s">
        <v>33</v>
      </c>
      <c r="BK20" s="59"/>
      <c r="BL20" s="73" t="s">
        <v>33</v>
      </c>
      <c r="BM20" s="38"/>
      <c r="BN20" s="71"/>
      <c r="BO20" s="73"/>
      <c r="BP20" s="71"/>
      <c r="BQ20" s="73"/>
      <c r="BR20" s="69" t="s">
        <v>61</v>
      </c>
      <c r="BS20" s="18"/>
      <c r="BT20" s="71"/>
      <c r="BU20" s="16"/>
      <c r="BV20" s="66"/>
      <c r="BW20" s="73"/>
      <c r="BX20" s="66"/>
      <c r="BY20" s="73"/>
      <c r="BZ20" s="68"/>
      <c r="CA20" s="59"/>
      <c r="CB20" s="66"/>
      <c r="CC20" s="13">
        <v>16</v>
      </c>
      <c r="CD20" s="13" t="s">
        <v>130</v>
      </c>
      <c r="CE20" s="455"/>
      <c r="CF20" s="311">
        <f t="shared" si="0"/>
        <v>3</v>
      </c>
      <c r="CG20" s="76">
        <f t="shared" si="1"/>
        <v>4</v>
      </c>
      <c r="CH20" s="27"/>
      <c r="CI20" s="28"/>
      <c r="CJ20" s="449"/>
      <c r="CK20" s="450"/>
    </row>
    <row r="21" spans="1:89" ht="15" customHeight="1">
      <c r="A21" s="13">
        <v>17</v>
      </c>
      <c r="B21" s="13" t="s">
        <v>131</v>
      </c>
      <c r="C21" s="336"/>
      <c r="D21" s="104"/>
      <c r="E21" s="106"/>
      <c r="F21" s="104"/>
      <c r="G21" s="106"/>
      <c r="H21" s="104"/>
      <c r="I21" s="106"/>
      <c r="J21" s="33" t="s">
        <v>57</v>
      </c>
      <c r="K21" s="106"/>
      <c r="L21" s="104"/>
      <c r="M21" s="106"/>
      <c r="N21" s="104"/>
      <c r="O21" s="246"/>
      <c r="P21" s="104"/>
      <c r="Q21" s="183"/>
      <c r="R21" s="104"/>
      <c r="S21" s="106"/>
      <c r="T21" s="104"/>
      <c r="U21" s="106"/>
      <c r="V21" s="185" t="s">
        <v>41</v>
      </c>
      <c r="W21" s="106"/>
      <c r="X21" s="104"/>
      <c r="Y21" s="106" t="s">
        <v>53</v>
      </c>
      <c r="Z21" s="104"/>
      <c r="AA21" s="106"/>
      <c r="AB21" s="104"/>
      <c r="AC21" s="106"/>
      <c r="AD21" s="104" t="s">
        <v>65</v>
      </c>
      <c r="AE21" s="106"/>
      <c r="AF21" s="104"/>
      <c r="AG21" s="106"/>
      <c r="AH21" s="104"/>
      <c r="AI21" s="106" t="s">
        <v>137</v>
      </c>
      <c r="AJ21" s="104"/>
      <c r="AK21" s="106"/>
      <c r="AL21" s="104"/>
      <c r="AM21" s="106"/>
      <c r="AN21" s="104"/>
      <c r="AO21" s="183"/>
      <c r="AP21" s="451"/>
      <c r="AQ21" s="452"/>
      <c r="AR21" s="106"/>
      <c r="AS21" s="105"/>
      <c r="AT21" s="13">
        <v>17</v>
      </c>
      <c r="AU21" s="13" t="s">
        <v>131</v>
      </c>
      <c r="AV21" s="455"/>
      <c r="AW21" s="16"/>
      <c r="AX21" s="66"/>
      <c r="AY21" s="73"/>
      <c r="AZ21" s="66"/>
      <c r="BA21" s="73"/>
      <c r="BB21" s="68"/>
      <c r="BC21" s="59"/>
      <c r="BD21" s="66"/>
      <c r="BE21" s="81"/>
      <c r="BF21" s="67" t="s">
        <v>61</v>
      </c>
      <c r="BG21" s="68"/>
      <c r="BH21" s="66" t="s">
        <v>34</v>
      </c>
      <c r="BI21" s="68"/>
      <c r="BJ21" s="68" t="s">
        <v>34</v>
      </c>
      <c r="BK21" s="110"/>
      <c r="BL21" s="68" t="s">
        <v>34</v>
      </c>
      <c r="BM21" s="38"/>
      <c r="BN21" s="71" t="s">
        <v>33</v>
      </c>
      <c r="BO21" s="73"/>
      <c r="BP21" s="71" t="s">
        <v>33</v>
      </c>
      <c r="BQ21" s="73"/>
      <c r="BR21" s="69" t="s">
        <v>61</v>
      </c>
      <c r="BS21" s="59"/>
      <c r="BT21" s="70" t="s">
        <v>61</v>
      </c>
      <c r="BU21" s="108"/>
      <c r="BV21" s="66"/>
      <c r="BW21" s="68"/>
      <c r="BX21" s="66"/>
      <c r="BY21" s="68"/>
      <c r="BZ21" s="68"/>
      <c r="CA21" s="83"/>
      <c r="CB21" s="66"/>
      <c r="CC21" s="13">
        <v>17</v>
      </c>
      <c r="CD21" s="13" t="s">
        <v>131</v>
      </c>
      <c r="CE21" s="455"/>
      <c r="CF21" s="311">
        <f t="shared" si="0"/>
        <v>2</v>
      </c>
      <c r="CG21" s="76">
        <f t="shared" si="1"/>
        <v>3</v>
      </c>
      <c r="CH21" s="27"/>
      <c r="CI21" s="28"/>
      <c r="CJ21" s="449"/>
      <c r="CK21" s="450"/>
    </row>
    <row r="22" spans="1:89" ht="15" customHeight="1">
      <c r="A22" s="12">
        <v>18</v>
      </c>
      <c r="B22" s="12" t="s">
        <v>132</v>
      </c>
      <c r="C22" s="334">
        <v>4</v>
      </c>
      <c r="D22" s="33"/>
      <c r="E22" s="98" t="s">
        <v>51</v>
      </c>
      <c r="F22" s="33"/>
      <c r="G22" s="98"/>
      <c r="H22" s="33"/>
      <c r="I22" s="98"/>
      <c r="J22" s="33" t="s">
        <v>57</v>
      </c>
      <c r="K22" s="98"/>
      <c r="L22" s="33"/>
      <c r="M22" s="98"/>
      <c r="N22" s="33"/>
      <c r="O22" s="247"/>
      <c r="P22" s="33"/>
      <c r="Q22" s="184"/>
      <c r="R22" s="33"/>
      <c r="S22" s="98"/>
      <c r="T22" s="33"/>
      <c r="U22" s="98"/>
      <c r="V22" s="185" t="s">
        <v>57</v>
      </c>
      <c r="W22" s="98"/>
      <c r="X22" s="33" t="s">
        <v>65</v>
      </c>
      <c r="Y22" s="98"/>
      <c r="Z22" s="33"/>
      <c r="AA22" s="98"/>
      <c r="AB22" s="33"/>
      <c r="AC22" s="98"/>
      <c r="AD22" s="33" t="s">
        <v>65</v>
      </c>
      <c r="AE22" s="98"/>
      <c r="AF22" s="33"/>
      <c r="AG22" s="98"/>
      <c r="AH22" s="33"/>
      <c r="AI22" s="98"/>
      <c r="AJ22" s="33"/>
      <c r="AK22" s="98" t="s">
        <v>136</v>
      </c>
      <c r="AL22" s="33" t="s">
        <v>42</v>
      </c>
      <c r="AM22" s="98"/>
      <c r="AN22" s="33"/>
      <c r="AO22" s="184"/>
      <c r="AP22" s="440"/>
      <c r="AQ22" s="441"/>
      <c r="AR22" s="98"/>
      <c r="AS22" s="34"/>
      <c r="AT22" s="12">
        <v>18</v>
      </c>
      <c r="AU22" s="12" t="s">
        <v>132</v>
      </c>
      <c r="AV22" s="455"/>
      <c r="AW22" s="14"/>
      <c r="AX22" s="70"/>
      <c r="AY22" s="72"/>
      <c r="AZ22" s="70"/>
      <c r="BA22" s="72"/>
      <c r="BB22" s="72"/>
      <c r="BC22" s="58"/>
      <c r="BD22" s="70"/>
      <c r="BE22" s="14"/>
      <c r="BF22" s="67"/>
      <c r="BG22" s="72"/>
      <c r="BH22" s="67"/>
      <c r="BI22" s="72"/>
      <c r="BJ22" s="69"/>
      <c r="BK22" s="58"/>
      <c r="BL22" s="69"/>
      <c r="BM22" s="84"/>
      <c r="BN22" s="67" t="s">
        <v>34</v>
      </c>
      <c r="BO22" s="69"/>
      <c r="BP22" s="67" t="s">
        <v>34</v>
      </c>
      <c r="BQ22" s="69"/>
      <c r="BR22" s="72" t="s">
        <v>57</v>
      </c>
      <c r="BS22" s="87"/>
      <c r="BT22" s="67" t="s">
        <v>34</v>
      </c>
      <c r="BU22" s="96"/>
      <c r="BV22" s="71" t="s">
        <v>33</v>
      </c>
      <c r="BW22" s="72"/>
      <c r="BX22" s="71" t="s">
        <v>33</v>
      </c>
      <c r="BY22" s="72"/>
      <c r="BZ22" s="73" t="s">
        <v>33</v>
      </c>
      <c r="CA22" s="58"/>
      <c r="CB22" s="71" t="s">
        <v>33</v>
      </c>
      <c r="CC22" s="12">
        <v>18</v>
      </c>
      <c r="CD22" s="12" t="s">
        <v>132</v>
      </c>
      <c r="CE22" s="455"/>
      <c r="CF22" s="311">
        <f t="shared" si="0"/>
        <v>4</v>
      </c>
      <c r="CG22" s="76">
        <f t="shared" si="1"/>
        <v>3</v>
      </c>
      <c r="CH22" s="27"/>
      <c r="CI22" s="28"/>
      <c r="CJ22" s="449"/>
      <c r="CK22" s="450"/>
    </row>
    <row r="23" spans="1:89" ht="15" customHeight="1">
      <c r="A23" s="12">
        <v>19</v>
      </c>
      <c r="B23" s="12" t="s">
        <v>133</v>
      </c>
      <c r="C23" s="335"/>
      <c r="D23" s="173" t="s">
        <v>312</v>
      </c>
      <c r="E23" s="98"/>
      <c r="F23" s="33" t="s">
        <v>42</v>
      </c>
      <c r="G23" s="98"/>
      <c r="H23" s="33" t="s">
        <v>42</v>
      </c>
      <c r="I23" s="98"/>
      <c r="J23" s="33" t="s">
        <v>57</v>
      </c>
      <c r="K23" s="98"/>
      <c r="L23" s="33"/>
      <c r="M23" s="98"/>
      <c r="N23" s="197" t="s">
        <v>308</v>
      </c>
      <c r="O23" s="247"/>
      <c r="P23" s="33"/>
      <c r="Q23" s="184"/>
      <c r="R23" s="33"/>
      <c r="S23" s="98" t="s">
        <v>51</v>
      </c>
      <c r="T23" s="197" t="s">
        <v>308</v>
      </c>
      <c r="U23" s="98"/>
      <c r="V23" s="210" t="s">
        <v>57</v>
      </c>
      <c r="W23" s="98"/>
      <c r="X23" s="197" t="s">
        <v>308</v>
      </c>
      <c r="Y23" s="98"/>
      <c r="Z23" s="33"/>
      <c r="AA23" s="98"/>
      <c r="AB23" s="33"/>
      <c r="AC23" s="98"/>
      <c r="AD23" s="33"/>
      <c r="AE23" s="98"/>
      <c r="AF23" s="33"/>
      <c r="AG23" s="98"/>
      <c r="AH23" s="33" t="s">
        <v>42</v>
      </c>
      <c r="AI23" s="98"/>
      <c r="AJ23" s="33"/>
      <c r="AK23" s="98" t="s">
        <v>136</v>
      </c>
      <c r="AL23" s="33"/>
      <c r="AM23" s="98"/>
      <c r="AN23" s="173" t="s">
        <v>312</v>
      </c>
      <c r="AO23" s="184"/>
      <c r="AP23" s="440"/>
      <c r="AQ23" s="441"/>
      <c r="AR23" s="98"/>
      <c r="AS23" s="34"/>
      <c r="AT23" s="12">
        <v>19</v>
      </c>
      <c r="AU23" s="12" t="s">
        <v>133</v>
      </c>
      <c r="AV23" s="455">
        <v>4</v>
      </c>
      <c r="AW23" s="14"/>
      <c r="AX23" s="71" t="s">
        <v>33</v>
      </c>
      <c r="AY23" s="72"/>
      <c r="AZ23" s="71" t="s">
        <v>33</v>
      </c>
      <c r="BA23" s="72"/>
      <c r="BB23" s="73" t="s">
        <v>33</v>
      </c>
      <c r="BC23" s="58"/>
      <c r="BD23" s="71" t="s">
        <v>33</v>
      </c>
      <c r="BE23" s="14"/>
      <c r="BF23" s="70"/>
      <c r="BG23" s="72"/>
      <c r="BH23" s="70"/>
      <c r="BI23" s="72"/>
      <c r="BJ23" s="72"/>
      <c r="BK23" s="58"/>
      <c r="BL23" s="72"/>
      <c r="BM23" s="14"/>
      <c r="BN23" s="67"/>
      <c r="BO23" s="72"/>
      <c r="BP23" s="67"/>
      <c r="BQ23" s="72"/>
      <c r="BR23" s="72" t="s">
        <v>57</v>
      </c>
      <c r="BS23" s="58"/>
      <c r="BT23" s="194" t="s">
        <v>47</v>
      </c>
      <c r="BU23" s="84"/>
      <c r="BV23" s="67" t="s">
        <v>34</v>
      </c>
      <c r="BW23" s="69"/>
      <c r="BX23" s="67" t="s">
        <v>34</v>
      </c>
      <c r="BY23" s="69"/>
      <c r="BZ23" s="69" t="s">
        <v>34</v>
      </c>
      <c r="CA23" s="87"/>
      <c r="CB23" s="67" t="s">
        <v>34</v>
      </c>
      <c r="CC23" s="12">
        <v>19</v>
      </c>
      <c r="CD23" s="12" t="s">
        <v>133</v>
      </c>
      <c r="CE23" s="455">
        <v>4</v>
      </c>
      <c r="CF23" s="311">
        <f t="shared" si="0"/>
        <v>4</v>
      </c>
      <c r="CG23" s="76">
        <f t="shared" si="1"/>
        <v>5</v>
      </c>
      <c r="CH23" s="27"/>
      <c r="CI23" s="28"/>
      <c r="CJ23" s="449"/>
      <c r="CK23" s="450"/>
    </row>
    <row r="24" spans="1:89" ht="15" customHeight="1">
      <c r="A24" s="12">
        <v>20</v>
      </c>
      <c r="B24" s="12" t="s">
        <v>127</v>
      </c>
      <c r="C24" s="335"/>
      <c r="D24" s="33" t="s">
        <v>65</v>
      </c>
      <c r="E24" s="98"/>
      <c r="F24" s="33"/>
      <c r="G24" s="98"/>
      <c r="H24" s="33" t="s">
        <v>41</v>
      </c>
      <c r="I24" s="98"/>
      <c r="J24" s="33" t="s">
        <v>41</v>
      </c>
      <c r="K24" s="98"/>
      <c r="L24" s="33"/>
      <c r="M24" s="98" t="s">
        <v>51</v>
      </c>
      <c r="N24" s="33"/>
      <c r="O24" s="247"/>
      <c r="P24" s="33"/>
      <c r="Q24" s="184" t="s">
        <v>136</v>
      </c>
      <c r="R24" s="33"/>
      <c r="S24" s="98"/>
      <c r="T24" s="33"/>
      <c r="U24" s="98"/>
      <c r="V24" s="210" t="s">
        <v>57</v>
      </c>
      <c r="W24" s="98"/>
      <c r="X24" s="204" t="s">
        <v>186</v>
      </c>
      <c r="Y24" s="98"/>
      <c r="Z24" s="33"/>
      <c r="AA24" s="98"/>
      <c r="AB24" s="33"/>
      <c r="AC24" s="98"/>
      <c r="AD24" s="204" t="s">
        <v>186</v>
      </c>
      <c r="AE24" s="98"/>
      <c r="AF24" s="204" t="s">
        <v>186</v>
      </c>
      <c r="AG24" s="98"/>
      <c r="AH24" s="33"/>
      <c r="AI24" s="98"/>
      <c r="AJ24" s="33" t="s">
        <v>65</v>
      </c>
      <c r="AK24" s="98"/>
      <c r="AL24" s="204" t="s">
        <v>186</v>
      </c>
      <c r="AM24" s="98"/>
      <c r="AN24" s="204" t="s">
        <v>186</v>
      </c>
      <c r="AO24" s="184"/>
      <c r="AP24" s="440"/>
      <c r="AQ24" s="441"/>
      <c r="AR24" s="98"/>
      <c r="AS24" s="34"/>
      <c r="AT24" s="12">
        <v>20</v>
      </c>
      <c r="AU24" s="12" t="s">
        <v>127</v>
      </c>
      <c r="AV24" s="455"/>
      <c r="AW24" s="84"/>
      <c r="AX24" s="67" t="s">
        <v>34</v>
      </c>
      <c r="AY24" s="69"/>
      <c r="AZ24" s="67" t="s">
        <v>34</v>
      </c>
      <c r="BA24" s="69"/>
      <c r="BB24" s="69" t="s">
        <v>34</v>
      </c>
      <c r="BC24" s="87"/>
      <c r="BD24" s="67" t="s">
        <v>34</v>
      </c>
      <c r="BE24" s="14"/>
      <c r="BF24" s="71" t="s">
        <v>65</v>
      </c>
      <c r="BG24" s="72"/>
      <c r="BH24" s="71" t="s">
        <v>33</v>
      </c>
      <c r="BI24" s="72"/>
      <c r="BJ24" s="73" t="s">
        <v>33</v>
      </c>
      <c r="BK24" s="58"/>
      <c r="BL24" s="73" t="s">
        <v>33</v>
      </c>
      <c r="BM24" s="37"/>
      <c r="BN24" s="70"/>
      <c r="BO24" s="72"/>
      <c r="BP24" s="70"/>
      <c r="BQ24" s="72"/>
      <c r="BR24" s="72" t="s">
        <v>57</v>
      </c>
      <c r="BS24" s="15"/>
      <c r="BT24" s="70"/>
      <c r="BU24" s="14"/>
      <c r="BV24" s="67"/>
      <c r="BW24" s="72"/>
      <c r="BX24" s="67"/>
      <c r="BY24" s="72"/>
      <c r="BZ24" s="69"/>
      <c r="CA24" s="58"/>
      <c r="CB24" s="67"/>
      <c r="CC24" s="12">
        <v>20</v>
      </c>
      <c r="CD24" s="12" t="s">
        <v>127</v>
      </c>
      <c r="CE24" s="455"/>
      <c r="CF24" s="311">
        <f t="shared" si="0"/>
        <v>3</v>
      </c>
      <c r="CG24" s="76">
        <f t="shared" si="1"/>
        <v>4</v>
      </c>
      <c r="CH24" s="27"/>
      <c r="CI24" s="28"/>
      <c r="CJ24" s="449"/>
      <c r="CK24" s="450"/>
    </row>
    <row r="25" spans="1:89" ht="15" customHeight="1">
      <c r="A25" s="12">
        <v>21</v>
      </c>
      <c r="B25" s="12" t="s">
        <v>128</v>
      </c>
      <c r="C25" s="335"/>
      <c r="D25" s="33" t="s">
        <v>65</v>
      </c>
      <c r="E25" s="98"/>
      <c r="F25" s="33"/>
      <c r="G25" s="98"/>
      <c r="H25" s="33"/>
      <c r="I25" s="98" t="s">
        <v>136</v>
      </c>
      <c r="J25" s="33" t="s">
        <v>41</v>
      </c>
      <c r="K25" s="98"/>
      <c r="L25" s="33"/>
      <c r="M25" s="98"/>
      <c r="N25" s="33"/>
      <c r="O25" s="247"/>
      <c r="P25" s="33"/>
      <c r="Q25" s="184"/>
      <c r="R25" s="197" t="s">
        <v>146</v>
      </c>
      <c r="S25" s="98"/>
      <c r="T25" s="33"/>
      <c r="U25" s="98" t="s">
        <v>51</v>
      </c>
      <c r="V25" s="33" t="s">
        <v>57</v>
      </c>
      <c r="W25" s="98"/>
      <c r="X25" s="33"/>
      <c r="Y25" s="98"/>
      <c r="Z25" s="33"/>
      <c r="AA25" s="98"/>
      <c r="AB25" s="33"/>
      <c r="AC25" s="98"/>
      <c r="AD25" s="33"/>
      <c r="AE25" s="98"/>
      <c r="AF25" s="33"/>
      <c r="AG25" s="98"/>
      <c r="AH25" s="33"/>
      <c r="AI25" s="98"/>
      <c r="AJ25" s="33" t="s">
        <v>65</v>
      </c>
      <c r="AK25" s="98"/>
      <c r="AL25" s="33"/>
      <c r="AM25" s="98"/>
      <c r="AN25" s="33"/>
      <c r="AO25" s="184"/>
      <c r="AP25" s="440"/>
      <c r="AQ25" s="441"/>
      <c r="AR25" s="98"/>
      <c r="AS25" s="34"/>
      <c r="AT25" s="12">
        <v>21</v>
      </c>
      <c r="AU25" s="12" t="s">
        <v>128</v>
      </c>
      <c r="AV25" s="455"/>
      <c r="AW25" s="14"/>
      <c r="AX25" s="67"/>
      <c r="AY25" s="72"/>
      <c r="AZ25" s="67"/>
      <c r="BA25" s="72"/>
      <c r="BB25" s="69"/>
      <c r="BC25" s="58"/>
      <c r="BD25" s="194" t="s">
        <v>47</v>
      </c>
      <c r="BE25" s="84"/>
      <c r="BF25" s="67" t="s">
        <v>65</v>
      </c>
      <c r="BG25" s="69"/>
      <c r="BH25" s="67" t="s">
        <v>34</v>
      </c>
      <c r="BI25" s="69"/>
      <c r="BJ25" s="69" t="s">
        <v>34</v>
      </c>
      <c r="BK25" s="87"/>
      <c r="BL25" s="71" t="s">
        <v>41</v>
      </c>
      <c r="BM25" s="37"/>
      <c r="BN25" s="70" t="s">
        <v>33</v>
      </c>
      <c r="BO25" s="72"/>
      <c r="BP25" s="71" t="s">
        <v>33</v>
      </c>
      <c r="BQ25" s="72"/>
      <c r="BR25" s="72" t="s">
        <v>57</v>
      </c>
      <c r="BS25" s="58"/>
      <c r="BT25" s="188" t="s">
        <v>47</v>
      </c>
      <c r="BU25" s="96"/>
      <c r="BV25" s="67"/>
      <c r="BW25" s="69"/>
      <c r="BX25" s="195" t="s">
        <v>40</v>
      </c>
      <c r="BY25" s="69"/>
      <c r="BZ25" s="69"/>
      <c r="CA25" s="97"/>
      <c r="CB25" s="195" t="s">
        <v>40</v>
      </c>
      <c r="CC25" s="12">
        <v>21</v>
      </c>
      <c r="CD25" s="12" t="s">
        <v>128</v>
      </c>
      <c r="CE25" s="455"/>
      <c r="CF25" s="311">
        <f t="shared" si="0"/>
        <v>4</v>
      </c>
      <c r="CG25" s="76">
        <f t="shared" si="1"/>
        <v>4</v>
      </c>
      <c r="CH25" s="27"/>
      <c r="CI25" s="28"/>
      <c r="CJ25" s="449"/>
      <c r="CK25" s="450"/>
    </row>
    <row r="26" spans="1:89" ht="15" customHeight="1">
      <c r="A26" s="12">
        <v>22</v>
      </c>
      <c r="B26" s="12" t="s">
        <v>129</v>
      </c>
      <c r="C26" s="335"/>
      <c r="D26" s="33" t="s">
        <v>65</v>
      </c>
      <c r="E26" s="98"/>
      <c r="F26" s="33"/>
      <c r="G26" s="98" t="s">
        <v>136</v>
      </c>
      <c r="H26" s="33"/>
      <c r="I26" s="98"/>
      <c r="J26" s="33" t="s">
        <v>41</v>
      </c>
      <c r="K26" s="98"/>
      <c r="L26" s="33"/>
      <c r="M26" s="98"/>
      <c r="N26" s="33"/>
      <c r="O26" s="247"/>
      <c r="P26" s="33"/>
      <c r="Q26" s="184"/>
      <c r="R26" s="33" t="s">
        <v>65</v>
      </c>
      <c r="S26" s="98"/>
      <c r="T26" s="33"/>
      <c r="U26" s="98" t="s">
        <v>51</v>
      </c>
      <c r="V26" s="33" t="s">
        <v>57</v>
      </c>
      <c r="W26" s="98"/>
      <c r="X26" s="33" t="s">
        <v>184</v>
      </c>
      <c r="Y26" s="98"/>
      <c r="Z26" s="33"/>
      <c r="AA26" s="98"/>
      <c r="AB26" s="33"/>
      <c r="AC26" s="98"/>
      <c r="AD26" s="33"/>
      <c r="AE26" s="98"/>
      <c r="AF26" s="33"/>
      <c r="AG26" s="98"/>
      <c r="AH26" s="33"/>
      <c r="AI26" s="98"/>
      <c r="AJ26" s="33"/>
      <c r="AK26" s="98"/>
      <c r="AL26" s="33"/>
      <c r="AM26" s="98"/>
      <c r="AN26" s="33"/>
      <c r="AO26" s="184"/>
      <c r="AP26" s="440"/>
      <c r="AQ26" s="441"/>
      <c r="AR26" s="98"/>
      <c r="AS26" s="34"/>
      <c r="AT26" s="12">
        <v>22</v>
      </c>
      <c r="AU26" s="12" t="s">
        <v>129</v>
      </c>
      <c r="AV26" s="455"/>
      <c r="AW26" s="14"/>
      <c r="AX26" s="70"/>
      <c r="AY26" s="72"/>
      <c r="AZ26" s="70"/>
      <c r="BA26" s="72"/>
      <c r="BB26" s="72"/>
      <c r="BC26" s="58"/>
      <c r="BD26" s="70"/>
      <c r="BE26" s="14"/>
      <c r="BF26" s="67"/>
      <c r="BG26" s="72"/>
      <c r="BH26" s="67"/>
      <c r="BI26" s="72"/>
      <c r="BJ26" s="69"/>
      <c r="BK26" s="58"/>
      <c r="BL26" s="71" t="s">
        <v>41</v>
      </c>
      <c r="BM26" s="84"/>
      <c r="BN26" s="67" t="s">
        <v>34</v>
      </c>
      <c r="BO26" s="69"/>
      <c r="BP26" s="67" t="s">
        <v>34</v>
      </c>
      <c r="BQ26" s="69"/>
      <c r="BR26" s="72" t="s">
        <v>57</v>
      </c>
      <c r="BS26" s="87"/>
      <c r="BT26" s="67" t="s">
        <v>34</v>
      </c>
      <c r="BU26" s="96"/>
      <c r="BV26" s="71" t="s">
        <v>33</v>
      </c>
      <c r="BW26" s="72"/>
      <c r="BX26" s="70" t="s">
        <v>61</v>
      </c>
      <c r="BY26" s="72"/>
      <c r="BZ26" s="73" t="s">
        <v>33</v>
      </c>
      <c r="CA26" s="58"/>
      <c r="CB26" s="71" t="s">
        <v>33</v>
      </c>
      <c r="CC26" s="12">
        <v>22</v>
      </c>
      <c r="CD26" s="12" t="s">
        <v>129</v>
      </c>
      <c r="CE26" s="455"/>
      <c r="CF26" s="311">
        <f t="shared" si="0"/>
        <v>3</v>
      </c>
      <c r="CG26" s="76">
        <f t="shared" si="1"/>
        <v>3</v>
      </c>
      <c r="CH26" s="27"/>
      <c r="CI26" s="28"/>
      <c r="CJ26" s="449"/>
      <c r="CK26" s="450"/>
    </row>
    <row r="27" spans="1:89" ht="15" customHeight="1">
      <c r="A27" s="13">
        <v>23</v>
      </c>
      <c r="B27" s="13" t="s">
        <v>130</v>
      </c>
      <c r="C27" s="335"/>
      <c r="D27" s="104"/>
      <c r="E27" s="106"/>
      <c r="F27" s="104"/>
      <c r="G27" s="106"/>
      <c r="H27" s="104"/>
      <c r="I27" s="106"/>
      <c r="J27" s="33" t="s">
        <v>41</v>
      </c>
      <c r="K27" s="106"/>
      <c r="L27" s="104"/>
      <c r="M27" s="106"/>
      <c r="N27" s="104"/>
      <c r="O27" s="246"/>
      <c r="P27" s="104"/>
      <c r="Q27" s="183"/>
      <c r="R27" s="104"/>
      <c r="S27" s="106"/>
      <c r="T27" s="104"/>
      <c r="U27" s="106"/>
      <c r="V27" s="104"/>
      <c r="W27" s="106"/>
      <c r="X27" s="104"/>
      <c r="Y27" s="106" t="s">
        <v>53</v>
      </c>
      <c r="Z27" s="104"/>
      <c r="AA27" s="106"/>
      <c r="AB27" s="104"/>
      <c r="AC27" s="106"/>
      <c r="AD27" s="104"/>
      <c r="AE27" s="106"/>
      <c r="AF27" s="104"/>
      <c r="AG27" s="106" t="s">
        <v>137</v>
      </c>
      <c r="AH27" s="200" t="s">
        <v>314</v>
      </c>
      <c r="AI27" s="106"/>
      <c r="AJ27" s="104"/>
      <c r="AK27" s="106"/>
      <c r="AL27" s="200" t="s">
        <v>314</v>
      </c>
      <c r="AM27" s="106"/>
      <c r="AN27" s="104"/>
      <c r="AO27" s="183"/>
      <c r="AP27" s="453" t="s">
        <v>304</v>
      </c>
      <c r="AQ27" s="454"/>
      <c r="AR27" s="106"/>
      <c r="AS27" s="105"/>
      <c r="AT27" s="13">
        <v>23</v>
      </c>
      <c r="AU27" s="13" t="s">
        <v>130</v>
      </c>
      <c r="AV27" s="455"/>
      <c r="AW27" s="16"/>
      <c r="AX27" s="71" t="s">
        <v>33</v>
      </c>
      <c r="AY27" s="73"/>
      <c r="AZ27" s="70" t="s">
        <v>61</v>
      </c>
      <c r="BA27" s="73"/>
      <c r="BB27" s="72" t="s">
        <v>33</v>
      </c>
      <c r="BC27" s="59"/>
      <c r="BD27" s="71" t="s">
        <v>33</v>
      </c>
      <c r="BE27" s="16"/>
      <c r="BF27" s="71"/>
      <c r="BG27" s="73"/>
      <c r="BH27" s="71"/>
      <c r="BI27" s="73"/>
      <c r="BJ27" s="73"/>
      <c r="BK27" s="59"/>
      <c r="BL27" s="71" t="s">
        <v>41</v>
      </c>
      <c r="BM27" s="16"/>
      <c r="BN27" s="194" t="s">
        <v>47</v>
      </c>
      <c r="BO27" s="73"/>
      <c r="BP27" s="66"/>
      <c r="BQ27" s="73"/>
      <c r="BR27" s="69" t="s">
        <v>61</v>
      </c>
      <c r="BS27" s="59"/>
      <c r="BT27" s="66"/>
      <c r="BU27" s="81"/>
      <c r="BV27" s="67" t="s">
        <v>61</v>
      </c>
      <c r="BW27" s="68"/>
      <c r="BX27" s="66" t="s">
        <v>34</v>
      </c>
      <c r="BY27" s="68"/>
      <c r="BZ27" s="68" t="s">
        <v>34</v>
      </c>
      <c r="CA27" s="110"/>
      <c r="CB27" s="66" t="s">
        <v>34</v>
      </c>
      <c r="CC27" s="13">
        <v>23</v>
      </c>
      <c r="CD27" s="13" t="s">
        <v>130</v>
      </c>
      <c r="CE27" s="455"/>
      <c r="CF27" s="311">
        <f t="shared" si="0"/>
        <v>3</v>
      </c>
      <c r="CG27" s="76">
        <f t="shared" si="1"/>
        <v>4</v>
      </c>
      <c r="CH27" s="27"/>
      <c r="CI27" s="28"/>
      <c r="CJ27" s="449"/>
      <c r="CK27" s="450"/>
    </row>
    <row r="28" spans="1:89" ht="15" customHeight="1">
      <c r="A28" s="13">
        <v>24</v>
      </c>
      <c r="B28" s="13" t="s">
        <v>131</v>
      </c>
      <c r="C28" s="336"/>
      <c r="D28" s="104"/>
      <c r="E28" s="106"/>
      <c r="F28" s="104"/>
      <c r="G28" s="106"/>
      <c r="H28" s="104"/>
      <c r="I28" s="106"/>
      <c r="J28" s="33" t="s">
        <v>41</v>
      </c>
      <c r="K28" s="106"/>
      <c r="L28" s="104"/>
      <c r="M28" s="106"/>
      <c r="N28" s="104"/>
      <c r="O28" s="246" t="s">
        <v>53</v>
      </c>
      <c r="P28" s="104"/>
      <c r="Q28" s="183"/>
      <c r="R28" s="104"/>
      <c r="S28" s="106"/>
      <c r="T28" s="104"/>
      <c r="U28" s="106"/>
      <c r="V28" s="104"/>
      <c r="W28" s="106"/>
      <c r="X28" s="104"/>
      <c r="Y28" s="106"/>
      <c r="Z28" s="104"/>
      <c r="AA28" s="106"/>
      <c r="AB28" s="104"/>
      <c r="AC28" s="106"/>
      <c r="AD28" s="104"/>
      <c r="AE28" s="106" t="s">
        <v>137</v>
      </c>
      <c r="AF28" s="104"/>
      <c r="AG28" s="106"/>
      <c r="AH28" s="104"/>
      <c r="AI28" s="106"/>
      <c r="AJ28" s="104"/>
      <c r="AK28" s="106"/>
      <c r="AL28" s="104"/>
      <c r="AM28" s="106"/>
      <c r="AN28" s="104"/>
      <c r="AO28" s="183"/>
      <c r="AP28" s="451"/>
      <c r="AQ28" s="452"/>
      <c r="AR28" s="106"/>
      <c r="AS28" s="105"/>
      <c r="AT28" s="13">
        <v>24</v>
      </c>
      <c r="AU28" s="13" t="s">
        <v>131</v>
      </c>
      <c r="AV28" s="455"/>
      <c r="AW28" s="81"/>
      <c r="AX28" s="66" t="s">
        <v>34</v>
      </c>
      <c r="AY28" s="68"/>
      <c r="AZ28" s="66" t="s">
        <v>34</v>
      </c>
      <c r="BA28" s="68"/>
      <c r="BB28" s="73" t="s">
        <v>34</v>
      </c>
      <c r="BC28" s="110"/>
      <c r="BD28" s="66" t="s">
        <v>34</v>
      </c>
      <c r="BE28" s="16"/>
      <c r="BF28" s="71" t="s">
        <v>33</v>
      </c>
      <c r="BG28" s="73"/>
      <c r="BH28" s="70" t="s">
        <v>61</v>
      </c>
      <c r="BI28" s="73"/>
      <c r="BJ28" s="73" t="s">
        <v>33</v>
      </c>
      <c r="BK28" s="59"/>
      <c r="BL28" s="71" t="s">
        <v>41</v>
      </c>
      <c r="BM28" s="38"/>
      <c r="BN28" s="71"/>
      <c r="BO28" s="73"/>
      <c r="BP28" s="71"/>
      <c r="BQ28" s="73"/>
      <c r="BR28" s="69" t="s">
        <v>61</v>
      </c>
      <c r="BS28" s="18"/>
      <c r="BT28" s="71"/>
      <c r="BU28" s="16"/>
      <c r="BV28" s="66"/>
      <c r="BW28" s="73"/>
      <c r="BX28" s="66"/>
      <c r="BY28" s="73"/>
      <c r="BZ28" s="68"/>
      <c r="CA28" s="59"/>
      <c r="CB28" s="66"/>
      <c r="CC28" s="13">
        <v>24</v>
      </c>
      <c r="CD28" s="13" t="s">
        <v>131</v>
      </c>
      <c r="CE28" s="455"/>
      <c r="CF28" s="311">
        <f t="shared" si="0"/>
        <v>2</v>
      </c>
      <c r="CG28" s="76">
        <f t="shared" si="1"/>
        <v>4</v>
      </c>
      <c r="CH28" s="27"/>
      <c r="CI28" s="28"/>
      <c r="CJ28" s="449"/>
      <c r="CK28" s="450"/>
    </row>
    <row r="29" spans="1:89" ht="15" customHeight="1">
      <c r="A29" s="12">
        <v>25</v>
      </c>
      <c r="B29" s="12" t="s">
        <v>132</v>
      </c>
      <c r="C29" s="334">
        <v>5</v>
      </c>
      <c r="D29" s="33"/>
      <c r="E29" s="98"/>
      <c r="F29" s="202" t="s">
        <v>184</v>
      </c>
      <c r="G29" s="98"/>
      <c r="H29" s="33"/>
      <c r="I29" s="98"/>
      <c r="J29" s="33" t="s">
        <v>41</v>
      </c>
      <c r="K29" s="98"/>
      <c r="L29" s="204" t="s">
        <v>188</v>
      </c>
      <c r="M29" s="98"/>
      <c r="N29" s="204" t="s">
        <v>188</v>
      </c>
      <c r="O29" s="247"/>
      <c r="P29" s="33"/>
      <c r="Q29" s="184"/>
      <c r="R29" s="204" t="s">
        <v>188</v>
      </c>
      <c r="S29" s="98"/>
      <c r="T29" s="202" t="s">
        <v>184</v>
      </c>
      <c r="U29" s="98"/>
      <c r="V29" s="204" t="s">
        <v>188</v>
      </c>
      <c r="W29" s="98" t="s">
        <v>51</v>
      </c>
      <c r="X29" s="33" t="s">
        <v>147</v>
      </c>
      <c r="Y29" s="98"/>
      <c r="Z29" s="33"/>
      <c r="AA29" s="98"/>
      <c r="AB29" s="202" t="s">
        <v>184</v>
      </c>
      <c r="AC29" s="98"/>
      <c r="AD29" s="33" t="s">
        <v>41</v>
      </c>
      <c r="AE29" s="98"/>
      <c r="AF29" s="33"/>
      <c r="AG29" s="98"/>
      <c r="AH29" s="33" t="s">
        <v>147</v>
      </c>
      <c r="AJ29" s="202" t="s">
        <v>184</v>
      </c>
      <c r="AK29" s="98"/>
      <c r="AL29" s="33" t="s">
        <v>42</v>
      </c>
      <c r="AM29" s="98" t="s">
        <v>136</v>
      </c>
      <c r="AN29" s="33"/>
      <c r="AO29" s="184"/>
      <c r="AP29" s="501" t="s">
        <v>187</v>
      </c>
      <c r="AQ29" s="456"/>
      <c r="AR29" s="98"/>
      <c r="AS29" s="34"/>
      <c r="AT29" s="12">
        <v>25</v>
      </c>
      <c r="AU29" s="12" t="s">
        <v>132</v>
      </c>
      <c r="AV29" s="455"/>
      <c r="AW29" s="14"/>
      <c r="AX29" s="67"/>
      <c r="AY29" s="72"/>
      <c r="AZ29" s="67"/>
      <c r="BA29" s="72"/>
      <c r="BB29" s="69"/>
      <c r="BC29" s="58"/>
      <c r="BD29" s="194" t="s">
        <v>47</v>
      </c>
      <c r="BE29" s="84"/>
      <c r="BF29" s="67" t="s">
        <v>34</v>
      </c>
      <c r="BG29" s="69"/>
      <c r="BH29" s="67" t="s">
        <v>34</v>
      </c>
      <c r="BI29" s="69"/>
      <c r="BJ29" s="69" t="s">
        <v>34</v>
      </c>
      <c r="BK29" s="87"/>
      <c r="BL29" s="71" t="s">
        <v>41</v>
      </c>
      <c r="BM29" s="37"/>
      <c r="BN29" s="70" t="s">
        <v>41</v>
      </c>
      <c r="BO29" s="72"/>
      <c r="BP29" s="71" t="s">
        <v>33</v>
      </c>
      <c r="BQ29" s="72"/>
      <c r="BR29" s="73" t="s">
        <v>57</v>
      </c>
      <c r="BS29" s="58"/>
      <c r="BT29" s="71" t="s">
        <v>33</v>
      </c>
      <c r="BU29" s="96"/>
      <c r="BV29" s="67"/>
      <c r="BW29" s="69"/>
      <c r="BX29" s="67"/>
      <c r="BY29" s="69"/>
      <c r="BZ29" s="69"/>
      <c r="CA29" s="97"/>
      <c r="CB29" s="67"/>
      <c r="CC29" s="12">
        <v>25</v>
      </c>
      <c r="CD29" s="12" t="s">
        <v>132</v>
      </c>
      <c r="CE29" s="455"/>
      <c r="CF29" s="311">
        <f t="shared" si="0"/>
        <v>2</v>
      </c>
      <c r="CG29" s="76">
        <f t="shared" si="1"/>
        <v>4</v>
      </c>
      <c r="CH29" s="27"/>
      <c r="CI29" s="207" t="s">
        <v>306</v>
      </c>
      <c r="CJ29" s="458" t="s">
        <v>187</v>
      </c>
      <c r="CK29" s="459"/>
    </row>
    <row r="30" spans="1:89" ht="15" customHeight="1">
      <c r="A30" s="12">
        <v>26</v>
      </c>
      <c r="B30" s="12" t="s">
        <v>133</v>
      </c>
      <c r="C30" s="335"/>
      <c r="D30" s="33" t="s">
        <v>65</v>
      </c>
      <c r="E30" s="98"/>
      <c r="F30" s="33" t="s">
        <v>42</v>
      </c>
      <c r="G30" s="98"/>
      <c r="H30" s="33" t="s">
        <v>42</v>
      </c>
      <c r="I30" s="98"/>
      <c r="J30" s="33" t="s">
        <v>41</v>
      </c>
      <c r="K30" s="98"/>
      <c r="L30" s="33"/>
      <c r="M30" s="98"/>
      <c r="N30" s="33"/>
      <c r="O30" s="247" t="s">
        <v>136</v>
      </c>
      <c r="P30" s="33"/>
      <c r="Q30" s="184"/>
      <c r="R30" s="33"/>
      <c r="S30" s="98"/>
      <c r="T30" s="33" t="s">
        <v>65</v>
      </c>
      <c r="U30" s="98"/>
      <c r="V30" s="33"/>
      <c r="W30" s="98" t="s">
        <v>51</v>
      </c>
      <c r="X30" s="33"/>
      <c r="Y30" s="98"/>
      <c r="Z30" s="33"/>
      <c r="AA30" s="98"/>
      <c r="AB30" s="33"/>
      <c r="AC30" s="98"/>
      <c r="AD30" s="33"/>
      <c r="AE30" s="98"/>
      <c r="AF30" s="33"/>
      <c r="AG30" s="98"/>
      <c r="AH30" s="33" t="s">
        <v>42</v>
      </c>
      <c r="AI30" s="98"/>
      <c r="AJ30" s="33"/>
      <c r="AK30" s="98"/>
      <c r="AL30" s="33"/>
      <c r="AM30" s="98"/>
      <c r="AN30" s="33"/>
      <c r="AO30" s="184"/>
      <c r="AP30" s="440"/>
      <c r="AQ30" s="441"/>
      <c r="AR30" s="98"/>
      <c r="AS30" s="34"/>
      <c r="AT30" s="12">
        <v>26</v>
      </c>
      <c r="AU30" s="12" t="s">
        <v>133</v>
      </c>
      <c r="AV30" s="455">
        <v>5</v>
      </c>
      <c r="AW30" s="14"/>
      <c r="AX30" s="70"/>
      <c r="AY30" s="72"/>
      <c r="AZ30" s="70"/>
      <c r="BA30" s="72"/>
      <c r="BB30" s="72"/>
      <c r="BC30" s="58"/>
      <c r="BD30" s="67"/>
      <c r="BE30" s="14"/>
      <c r="BF30" s="67"/>
      <c r="BG30" s="72"/>
      <c r="BH30" s="67"/>
      <c r="BI30" s="72"/>
      <c r="BJ30" s="69"/>
      <c r="BK30" s="58"/>
      <c r="BL30" s="71" t="s">
        <v>41</v>
      </c>
      <c r="BM30" s="37"/>
      <c r="BN30" s="67" t="s">
        <v>41</v>
      </c>
      <c r="BO30" s="69"/>
      <c r="BP30" s="67" t="s">
        <v>34</v>
      </c>
      <c r="BQ30" s="69"/>
      <c r="BR30" s="69" t="s">
        <v>57</v>
      </c>
      <c r="BS30" s="87"/>
      <c r="BT30" s="67" t="s">
        <v>34</v>
      </c>
      <c r="BU30" s="96"/>
      <c r="BV30" s="71" t="s">
        <v>33</v>
      </c>
      <c r="BW30" s="72"/>
      <c r="BX30" s="70" t="s">
        <v>42</v>
      </c>
      <c r="BY30" s="72"/>
      <c r="BZ30" s="73" t="s">
        <v>33</v>
      </c>
      <c r="CA30" s="58"/>
      <c r="CB30" s="71" t="s">
        <v>33</v>
      </c>
      <c r="CC30" s="12">
        <v>26</v>
      </c>
      <c r="CD30" s="12" t="s">
        <v>133</v>
      </c>
      <c r="CE30" s="455">
        <v>5</v>
      </c>
      <c r="CF30" s="311">
        <f t="shared" si="0"/>
        <v>3</v>
      </c>
      <c r="CG30" s="76">
        <f t="shared" si="1"/>
        <v>2</v>
      </c>
      <c r="CH30" s="27"/>
      <c r="CI30" s="28"/>
      <c r="CJ30" s="449"/>
      <c r="CK30" s="450"/>
    </row>
    <row r="31" spans="1:89" ht="15" customHeight="1">
      <c r="A31" s="12">
        <v>27</v>
      </c>
      <c r="B31" s="12" t="s">
        <v>127</v>
      </c>
      <c r="C31" s="335"/>
      <c r="D31" s="33"/>
      <c r="E31" s="98"/>
      <c r="F31" s="33"/>
      <c r="G31" s="98" t="s">
        <v>136</v>
      </c>
      <c r="H31" s="33"/>
      <c r="I31" s="98"/>
      <c r="J31" s="33" t="s">
        <v>41</v>
      </c>
      <c r="K31" s="98"/>
      <c r="L31" s="33"/>
      <c r="M31" s="98"/>
      <c r="N31" s="204" t="s">
        <v>186</v>
      </c>
      <c r="O31" s="247"/>
      <c r="P31" s="33"/>
      <c r="Q31" s="184"/>
      <c r="R31" s="204" t="s">
        <v>186</v>
      </c>
      <c r="S31" s="98" t="s">
        <v>51</v>
      </c>
      <c r="T31" s="204" t="s">
        <v>186</v>
      </c>
      <c r="U31" s="98"/>
      <c r="V31" s="204" t="s">
        <v>186</v>
      </c>
      <c r="W31" s="98"/>
      <c r="X31" s="33"/>
      <c r="Y31" s="98"/>
      <c r="Z31" s="33"/>
      <c r="AA31" s="98"/>
      <c r="AB31" s="33"/>
      <c r="AC31" s="98"/>
      <c r="AD31" s="33"/>
      <c r="AE31" s="98"/>
      <c r="AF31" s="33"/>
      <c r="AG31" s="98"/>
      <c r="AH31" s="204" t="s">
        <v>186</v>
      </c>
      <c r="AI31" s="98"/>
      <c r="AJ31" s="204" t="s">
        <v>186</v>
      </c>
      <c r="AK31" s="98"/>
      <c r="AL31" s="33"/>
      <c r="AM31" s="98"/>
      <c r="AN31" s="33"/>
      <c r="AO31" s="184"/>
      <c r="AP31" s="504" t="s">
        <v>310</v>
      </c>
      <c r="AQ31" s="505"/>
      <c r="AR31" s="98"/>
      <c r="AS31" s="34"/>
      <c r="AT31" s="12">
        <v>27</v>
      </c>
      <c r="AU31" s="12" t="s">
        <v>127</v>
      </c>
      <c r="AV31" s="455"/>
      <c r="AW31" s="14"/>
      <c r="AX31" s="71" t="s">
        <v>33</v>
      </c>
      <c r="AY31" s="72"/>
      <c r="AZ31" s="71" t="s">
        <v>33</v>
      </c>
      <c r="BA31" s="72"/>
      <c r="BB31" s="72" t="s">
        <v>33</v>
      </c>
      <c r="BC31" s="58"/>
      <c r="BD31" s="71" t="s">
        <v>33</v>
      </c>
      <c r="BE31" s="14"/>
      <c r="BF31" s="70"/>
      <c r="BG31" s="72"/>
      <c r="BH31" s="70"/>
      <c r="BI31" s="72"/>
      <c r="BJ31" s="72"/>
      <c r="BK31" s="58"/>
      <c r="BL31" s="71" t="s">
        <v>41</v>
      </c>
      <c r="BM31" s="37"/>
      <c r="BN31" s="67" t="s">
        <v>41</v>
      </c>
      <c r="BO31" s="72"/>
      <c r="BP31" s="67"/>
      <c r="BQ31" s="72"/>
      <c r="BR31" s="69"/>
      <c r="BS31" s="58"/>
      <c r="BT31" s="67" t="s">
        <v>34</v>
      </c>
      <c r="BU31" s="84"/>
      <c r="BV31" s="67" t="s">
        <v>34</v>
      </c>
      <c r="BW31" s="69"/>
      <c r="BX31" s="67" t="s">
        <v>34</v>
      </c>
      <c r="BY31" s="69"/>
      <c r="BZ31" s="69" t="s">
        <v>34</v>
      </c>
      <c r="CA31" s="87"/>
      <c r="CB31" s="67" t="s">
        <v>34</v>
      </c>
      <c r="CC31" s="12">
        <v>27</v>
      </c>
      <c r="CD31" s="12" t="s">
        <v>127</v>
      </c>
      <c r="CE31" s="455"/>
      <c r="CF31" s="311">
        <f t="shared" si="0"/>
        <v>4</v>
      </c>
      <c r="CG31" s="76">
        <f t="shared" si="1"/>
        <v>5</v>
      </c>
      <c r="CH31" s="27"/>
      <c r="CI31" s="28"/>
      <c r="CJ31" s="449"/>
      <c r="CK31" s="450"/>
    </row>
    <row r="32" spans="1:89" ht="15" customHeight="1">
      <c r="A32" s="12">
        <v>28</v>
      </c>
      <c r="B32" s="12" t="s">
        <v>128</v>
      </c>
      <c r="C32" s="335"/>
      <c r="D32" s="206"/>
      <c r="E32" s="98"/>
      <c r="F32" s="206"/>
      <c r="G32" s="98"/>
      <c r="H32" s="33"/>
      <c r="I32" s="98" t="s">
        <v>136</v>
      </c>
      <c r="J32" s="33" t="s">
        <v>41</v>
      </c>
      <c r="K32" s="98"/>
      <c r="L32" s="206"/>
      <c r="M32" s="98"/>
      <c r="N32" s="206"/>
      <c r="O32" s="247"/>
      <c r="P32" s="33"/>
      <c r="Q32" s="184"/>
      <c r="R32" s="206"/>
      <c r="S32" s="98"/>
      <c r="T32" s="206"/>
      <c r="U32" s="98"/>
      <c r="V32" s="206"/>
      <c r="W32" s="98" t="s">
        <v>51</v>
      </c>
      <c r="X32" s="206"/>
      <c r="Y32" s="98"/>
      <c r="Z32" s="206"/>
      <c r="AA32" s="98"/>
      <c r="AB32" s="206"/>
      <c r="AC32" s="98"/>
      <c r="AD32" s="206"/>
      <c r="AE32" s="98"/>
      <c r="AF32" s="206"/>
      <c r="AG32" s="98"/>
      <c r="AH32" s="206"/>
      <c r="AI32" s="98"/>
      <c r="AJ32" s="206"/>
      <c r="AK32" s="98"/>
      <c r="AL32" s="206"/>
      <c r="AM32" s="98"/>
      <c r="AN32" s="206"/>
      <c r="AO32" s="184"/>
      <c r="AP32" s="502" t="s">
        <v>309</v>
      </c>
      <c r="AQ32" s="503"/>
      <c r="AR32" s="98"/>
      <c r="AS32" s="34"/>
      <c r="AT32" s="12">
        <v>28</v>
      </c>
      <c r="AU32" s="12" t="s">
        <v>128</v>
      </c>
      <c r="AV32" s="455"/>
      <c r="AW32" s="206"/>
      <c r="AX32" s="72" t="s">
        <v>41</v>
      </c>
      <c r="AY32" s="220"/>
      <c r="AZ32" s="72" t="s">
        <v>34</v>
      </c>
      <c r="BA32" s="220"/>
      <c r="BB32" s="72" t="s">
        <v>34</v>
      </c>
      <c r="BC32" s="220"/>
      <c r="BD32" s="67" t="s">
        <v>34</v>
      </c>
      <c r="BE32" s="206"/>
      <c r="BF32" s="73" t="s">
        <v>33</v>
      </c>
      <c r="BG32" s="220"/>
      <c r="BH32" s="72" t="s">
        <v>33</v>
      </c>
      <c r="BI32" s="220"/>
      <c r="BJ32" s="73" t="s">
        <v>33</v>
      </c>
      <c r="BK32" s="220"/>
      <c r="BL32" s="71" t="s">
        <v>41</v>
      </c>
      <c r="BM32" s="206"/>
      <c r="BN32" s="186" t="s">
        <v>40</v>
      </c>
      <c r="BO32" s="220"/>
      <c r="BP32" s="72"/>
      <c r="BQ32" s="220"/>
      <c r="BR32" s="72"/>
      <c r="BS32" s="220"/>
      <c r="BT32" s="70"/>
      <c r="BU32" s="206"/>
      <c r="BV32" s="72"/>
      <c r="BW32" s="220"/>
      <c r="BX32" s="221" t="s">
        <v>47</v>
      </c>
      <c r="BY32" s="220"/>
      <c r="BZ32" s="72"/>
      <c r="CA32" s="220"/>
      <c r="CB32" s="67"/>
      <c r="CC32" s="12">
        <v>28</v>
      </c>
      <c r="CD32" s="12" t="s">
        <v>128</v>
      </c>
      <c r="CE32" s="455"/>
      <c r="CF32" s="311">
        <f t="shared" si="0"/>
        <v>4</v>
      </c>
      <c r="CG32" s="76">
        <f t="shared" si="1"/>
        <v>4</v>
      </c>
      <c r="CH32" s="27"/>
      <c r="CI32" s="28"/>
      <c r="CJ32" s="449"/>
      <c r="CK32" s="450"/>
    </row>
    <row r="33" spans="1:89" ht="15" customHeight="1">
      <c r="A33" s="12">
        <v>29</v>
      </c>
      <c r="B33" s="12" t="s">
        <v>129</v>
      </c>
      <c r="C33" s="335"/>
      <c r="D33" s="33"/>
      <c r="E33" s="98" t="s">
        <v>51</v>
      </c>
      <c r="F33" s="33"/>
      <c r="G33" s="98"/>
      <c r="H33" s="33"/>
      <c r="I33" s="98" t="s">
        <v>136</v>
      </c>
      <c r="J33" s="33" t="s">
        <v>41</v>
      </c>
      <c r="K33" s="98"/>
      <c r="L33" s="33"/>
      <c r="M33" s="98"/>
      <c r="N33" s="197" t="s">
        <v>308</v>
      </c>
      <c r="O33" s="247"/>
      <c r="P33" s="33"/>
      <c r="Q33" s="184"/>
      <c r="R33" s="33"/>
      <c r="S33" s="98"/>
      <c r="T33" s="33"/>
      <c r="U33" s="98"/>
      <c r="V33" s="197" t="s">
        <v>308</v>
      </c>
      <c r="W33" s="98"/>
      <c r="X33" s="33"/>
      <c r="Y33" s="98"/>
      <c r="Z33" s="33"/>
      <c r="AA33" s="98"/>
      <c r="AB33" s="33"/>
      <c r="AC33" s="98"/>
      <c r="AD33" s="33"/>
      <c r="AE33" s="98"/>
      <c r="AF33" s="33"/>
      <c r="AG33" s="98"/>
      <c r="AH33" s="33"/>
      <c r="AI33" s="98"/>
      <c r="AJ33" s="33" t="s">
        <v>41</v>
      </c>
      <c r="AK33" s="98"/>
      <c r="AL33" s="33"/>
      <c r="AM33" s="98"/>
      <c r="AN33" s="33"/>
      <c r="AO33" s="184"/>
      <c r="AP33" s="440"/>
      <c r="AQ33" s="441"/>
      <c r="AR33" s="98"/>
      <c r="AS33" s="34"/>
      <c r="AT33" s="12">
        <v>29</v>
      </c>
      <c r="AU33" s="12" t="s">
        <v>129</v>
      </c>
      <c r="AV33" s="455"/>
      <c r="AW33" s="14"/>
      <c r="AX33" s="67"/>
      <c r="AY33" s="72"/>
      <c r="AZ33" s="194" t="s">
        <v>47</v>
      </c>
      <c r="BA33" s="72"/>
      <c r="BB33" s="69"/>
      <c r="BC33" s="58"/>
      <c r="BD33" s="67"/>
      <c r="BE33" s="84"/>
      <c r="BF33" s="67" t="s">
        <v>34</v>
      </c>
      <c r="BG33" s="69"/>
      <c r="BH33" s="67" t="s">
        <v>34</v>
      </c>
      <c r="BI33" s="69"/>
      <c r="BJ33" s="69" t="s">
        <v>34</v>
      </c>
      <c r="BK33" s="87"/>
      <c r="BL33" s="71" t="s">
        <v>41</v>
      </c>
      <c r="BM33" s="37"/>
      <c r="BN33" s="70" t="s">
        <v>41</v>
      </c>
      <c r="BO33" s="72"/>
      <c r="BP33" s="71" t="s">
        <v>33</v>
      </c>
      <c r="BQ33" s="72"/>
      <c r="BR33" s="72" t="s">
        <v>61</v>
      </c>
      <c r="BS33" s="58"/>
      <c r="BT33" s="188" t="s">
        <v>41</v>
      </c>
      <c r="BU33" s="96"/>
      <c r="BV33" s="67"/>
      <c r="BW33" s="69"/>
      <c r="BX33" s="67"/>
      <c r="BY33" s="69"/>
      <c r="BZ33" s="69"/>
      <c r="CA33" s="97"/>
      <c r="CB33" s="67"/>
      <c r="CC33" s="12">
        <v>29</v>
      </c>
      <c r="CD33" s="12" t="s">
        <v>129</v>
      </c>
      <c r="CE33" s="455"/>
      <c r="CF33" s="311">
        <f t="shared" si="0"/>
        <v>1</v>
      </c>
      <c r="CG33" s="76">
        <f t="shared" si="1"/>
        <v>4</v>
      </c>
      <c r="CH33" s="27"/>
      <c r="CI33" s="28"/>
      <c r="CJ33" s="449"/>
      <c r="CK33" s="450"/>
    </row>
    <row r="34" spans="1:89" ht="15" customHeight="1">
      <c r="A34" s="13">
        <v>30</v>
      </c>
      <c r="B34" s="13" t="s">
        <v>130</v>
      </c>
      <c r="C34" s="335"/>
      <c r="D34" s="104"/>
      <c r="E34" s="106"/>
      <c r="F34" s="104"/>
      <c r="G34" s="106"/>
      <c r="H34" s="104"/>
      <c r="I34" s="106"/>
      <c r="J34" s="33" t="s">
        <v>57</v>
      </c>
      <c r="K34" s="106"/>
      <c r="L34" s="104"/>
      <c r="M34" s="106"/>
      <c r="N34" s="104"/>
      <c r="O34" s="246"/>
      <c r="P34" s="104"/>
      <c r="Q34" s="183"/>
      <c r="R34" s="104"/>
      <c r="S34" s="106"/>
      <c r="T34" s="104"/>
      <c r="U34" s="106"/>
      <c r="V34" s="104"/>
      <c r="W34" s="106"/>
      <c r="X34" s="104"/>
      <c r="Y34" s="106" t="s">
        <v>53</v>
      </c>
      <c r="Z34" s="104"/>
      <c r="AA34" s="106"/>
      <c r="AB34" s="104"/>
      <c r="AC34" s="106"/>
      <c r="AD34" s="104"/>
      <c r="AE34" s="106" t="s">
        <v>137</v>
      </c>
      <c r="AF34" s="104"/>
      <c r="AG34" s="106"/>
      <c r="AH34" s="104"/>
      <c r="AI34" s="106"/>
      <c r="AJ34" s="104"/>
      <c r="AK34" s="106"/>
      <c r="AL34" s="104"/>
      <c r="AM34" s="106"/>
      <c r="AN34" s="104"/>
      <c r="AO34" s="183"/>
      <c r="AP34" s="451"/>
      <c r="AQ34" s="452"/>
      <c r="AR34" s="136"/>
      <c r="AS34" s="129"/>
      <c r="AT34" s="13">
        <v>30</v>
      </c>
      <c r="AU34" s="13" t="s">
        <v>130</v>
      </c>
      <c r="AV34" s="455"/>
      <c r="AW34" s="16"/>
      <c r="AX34" s="71"/>
      <c r="AY34" s="73"/>
      <c r="AZ34" s="71"/>
      <c r="BA34" s="73"/>
      <c r="BB34" s="73"/>
      <c r="BC34" s="59"/>
      <c r="BD34" s="71"/>
      <c r="BE34" s="16"/>
      <c r="BF34" s="66"/>
      <c r="BG34" s="73"/>
      <c r="BH34" s="66"/>
      <c r="BI34" s="73"/>
      <c r="BJ34" s="68"/>
      <c r="BK34" s="59"/>
      <c r="BL34" s="71" t="s">
        <v>41</v>
      </c>
      <c r="BM34" s="81"/>
      <c r="BN34" s="66" t="s">
        <v>34</v>
      </c>
      <c r="BO34" s="68"/>
      <c r="BP34" s="66" t="s">
        <v>34</v>
      </c>
      <c r="BQ34" s="68"/>
      <c r="BR34" s="68" t="s">
        <v>34</v>
      </c>
      <c r="BS34" s="110"/>
      <c r="BT34" s="70" t="s">
        <v>61</v>
      </c>
      <c r="BU34" s="108"/>
      <c r="BV34" s="71" t="s">
        <v>33</v>
      </c>
      <c r="BW34" s="73"/>
      <c r="BX34" s="70" t="s">
        <v>61</v>
      </c>
      <c r="BY34" s="73"/>
      <c r="BZ34" s="73" t="s">
        <v>33</v>
      </c>
      <c r="CA34" s="59"/>
      <c r="CB34" s="71" t="s">
        <v>33</v>
      </c>
      <c r="CC34" s="13">
        <v>30</v>
      </c>
      <c r="CD34" s="13" t="s">
        <v>130</v>
      </c>
      <c r="CE34" s="489"/>
      <c r="CF34" s="311">
        <f t="shared" ref="CF34" si="2">COUNTIF(AX34:CB34,"י")+COUNTIF(AX34:CB34,"Y")+COUNTIF(AX34:CB34,"2")</f>
        <v>3</v>
      </c>
      <c r="CG34" s="76">
        <f t="shared" ref="CG34" si="3">COUNTIF(AW34:CB34,"ל")+COUNTIF(AW34:CB34,"L")+COUNTIF(AW34:CB34,"ל2")</f>
        <v>3</v>
      </c>
      <c r="CH34" s="135"/>
      <c r="CI34" s="103"/>
      <c r="CJ34" s="449"/>
      <c r="CK34" s="450"/>
    </row>
    <row r="35" spans="1:89" ht="15" customHeight="1" thickBot="1">
      <c r="A35" s="13">
        <v>31</v>
      </c>
      <c r="B35" s="13" t="s">
        <v>131</v>
      </c>
      <c r="C35" s="336"/>
      <c r="D35" s="104"/>
      <c r="E35" s="106"/>
      <c r="F35" s="104"/>
      <c r="G35" s="106"/>
      <c r="H35" s="104"/>
      <c r="I35" s="106"/>
      <c r="J35" s="33" t="s">
        <v>57</v>
      </c>
      <c r="K35" s="106"/>
      <c r="L35" s="104"/>
      <c r="M35" s="106"/>
      <c r="N35" s="104"/>
      <c r="O35" s="246"/>
      <c r="P35" s="107"/>
      <c r="Q35" s="249"/>
      <c r="R35" s="104"/>
      <c r="S35" s="106"/>
      <c r="T35" s="104"/>
      <c r="U35" s="106"/>
      <c r="V35" s="104"/>
      <c r="W35" s="106"/>
      <c r="X35" s="104"/>
      <c r="Y35" s="106" t="s">
        <v>53</v>
      </c>
      <c r="Z35" s="104"/>
      <c r="AA35" s="106"/>
      <c r="AB35" s="104"/>
      <c r="AC35" s="106"/>
      <c r="AD35" s="128"/>
      <c r="AE35" s="136" t="s">
        <v>137</v>
      </c>
      <c r="AF35" s="104"/>
      <c r="AG35" s="106"/>
      <c r="AH35" s="104"/>
      <c r="AI35" s="106"/>
      <c r="AJ35" s="104"/>
      <c r="AK35" s="106"/>
      <c r="AL35" s="104"/>
      <c r="AM35" s="106"/>
      <c r="AN35" s="104"/>
      <c r="AO35" s="183"/>
      <c r="AP35" s="451"/>
      <c r="AQ35" s="452"/>
      <c r="AR35" s="106"/>
      <c r="AS35" s="105"/>
      <c r="AT35" s="13">
        <v>31</v>
      </c>
      <c r="AU35" s="13" t="s">
        <v>131</v>
      </c>
      <c r="AV35" s="455"/>
      <c r="AW35" s="16"/>
      <c r="AX35" s="71" t="s">
        <v>33</v>
      </c>
      <c r="AY35" s="73"/>
      <c r="AZ35" s="71" t="s">
        <v>33</v>
      </c>
      <c r="BA35" s="73"/>
      <c r="BB35" s="72" t="s">
        <v>33</v>
      </c>
      <c r="BC35" s="59"/>
      <c r="BD35" s="71" t="s">
        <v>34</v>
      </c>
      <c r="BE35" s="16"/>
      <c r="BF35" s="71"/>
      <c r="BG35" s="73"/>
      <c r="BH35" s="71"/>
      <c r="BI35" s="73"/>
      <c r="BJ35" s="137"/>
      <c r="BK35" s="59"/>
      <c r="BL35" s="71" t="s">
        <v>41</v>
      </c>
      <c r="BM35" s="16"/>
      <c r="BN35" s="194" t="s">
        <v>47</v>
      </c>
      <c r="BO35" s="73"/>
      <c r="BP35" s="66"/>
      <c r="BQ35" s="73"/>
      <c r="BR35" s="141"/>
      <c r="BS35" s="59"/>
      <c r="BT35" s="71"/>
      <c r="BU35" s="108"/>
      <c r="BV35" s="66" t="s">
        <v>34</v>
      </c>
      <c r="BW35" s="68"/>
      <c r="BX35" s="67" t="s">
        <v>61</v>
      </c>
      <c r="BY35" s="68"/>
      <c r="BZ35" s="141" t="s">
        <v>34</v>
      </c>
      <c r="CA35" s="110"/>
      <c r="CB35" s="66" t="s">
        <v>33</v>
      </c>
      <c r="CC35" s="13">
        <v>31</v>
      </c>
      <c r="CD35" s="13" t="s">
        <v>131</v>
      </c>
      <c r="CE35" s="455"/>
      <c r="CF35" s="312">
        <f t="shared" si="0"/>
        <v>4</v>
      </c>
      <c r="CG35" s="77">
        <f t="shared" si="1"/>
        <v>4</v>
      </c>
      <c r="CH35" s="26"/>
      <c r="CI35" s="21"/>
      <c r="CJ35" s="449"/>
      <c r="CK35" s="450"/>
    </row>
    <row r="36" spans="1:89" ht="15" customHeight="1" thickBot="1">
      <c r="D36" s="8">
        <f t="shared" ref="D36" si="4">(COUNTIF(D1:D35,"הרצליה")+COUNTIF(D1:D35,"חיפה")+COUNTIF(D1:D35,"רמון")+COUNTIF(D1:D35,"ראש פינה")+COUNTIF(D1:D35,"ה.ב"))</f>
        <v>1</v>
      </c>
      <c r="E36" s="9">
        <f t="shared" ref="E36" si="5">(COUNTIF(E1:E35,"כ")+COUNTIF(E1:E35,"כמ"))*6+(COUNTIF(E1:E35,"כש")+COUNTIF(E1:E35,"כמש"))*10</f>
        <v>18</v>
      </c>
      <c r="F36" s="8">
        <f t="shared" ref="F36" si="6">(COUNTIF(F1:F35,"הרצליה")+COUNTIF(F1:F35,"חיפה")+COUNTIF(F1:F35,"רמון")+COUNTIF(F1:F35,"ראש פינה")+COUNTIF(F1:F35,"ה.ב"))</f>
        <v>2</v>
      </c>
      <c r="G36" s="9">
        <f t="shared" ref="G36" si="7">(COUNTIF(G1:G35,"כ")+COUNTIF(G1:G35,"כמ"))*6+(COUNTIF(G1:G35,"כש")+COUNTIF(G1:G35,"כמש"))*10</f>
        <v>22</v>
      </c>
      <c r="H36" s="8">
        <f t="shared" ref="H36" si="8">(COUNTIF(H1:H35,"הרצליה")+COUNTIF(H1:H35,"חיפה")+COUNTIF(H1:H35,"רמון")+COUNTIF(H1:H35,"ראש פינה")+COUNTIF(H1:H35,"ה.ב"))</f>
        <v>0</v>
      </c>
      <c r="I36" s="9">
        <f t="shared" ref="I36" si="9">(COUNTIF(I1:I35,"כ")+COUNTIF(I1:I35,"כמ"))*6+(COUNTIF(I1:I35,"כש")+COUNTIF(I1:I35,"כמש"))*10</f>
        <v>18</v>
      </c>
      <c r="J36" s="8">
        <f t="shared" ref="J36" si="10">(COUNTIF(J1:J35,"הרצליה")+COUNTIF(J1:J35,"חיפה")+COUNTIF(J1:J35,"רמון")+COUNTIF(J1:J35,"ראש פינה")+COUNTIF(J1:J35,"ה.ב"))</f>
        <v>1</v>
      </c>
      <c r="K36" s="9">
        <f t="shared" ref="K36" si="11">(COUNTIF(K1:K35,"כ")+COUNTIF(K1:K35,"כמ"))*6+(COUNTIF(K1:K35,"כש")+COUNTIF(K1:K35,"כמש"))*10</f>
        <v>18</v>
      </c>
      <c r="L36" s="8">
        <f t="shared" ref="L36" si="12">(COUNTIF(L1:L35,"הרצליה")+COUNTIF(L1:L35,"חיפה")+COUNTIF(L1:L35,"רמון")+COUNTIF(L1:L35,"ראש פינה")+COUNTIF(L1:L35,"ה.ב"))</f>
        <v>1</v>
      </c>
      <c r="M36" s="9">
        <f t="shared" ref="M36" si="13">(COUNTIF(M1:M35,"כ")+COUNTIF(M1:M35,"כמ"))*6+(COUNTIF(M1:M35,"כש")+COUNTIF(M1:M35,"כמש"))*10</f>
        <v>22</v>
      </c>
      <c r="N36" s="8">
        <f t="shared" ref="N36" si="14">(COUNTIF(N1:N35,"הרצליה")+COUNTIF(N1:N35,"חיפה")+COUNTIF(N1:N35,"רמון")+COUNTIF(N1:N35,"ראש פינה")+COUNTIF(N1:N35,"ה.ב"))</f>
        <v>5</v>
      </c>
      <c r="O36" s="9">
        <f t="shared" ref="O36" si="15">(COUNTIF(O1:O35,"כ")+COUNTIF(O1:O35,"כמ"))*6+(COUNTIF(O1:O35,"כש")+COUNTIF(O1:O35,"כמש"))*10</f>
        <v>36</v>
      </c>
      <c r="P36" s="8">
        <f t="shared" ref="P36" si="16">(COUNTIF(P1:P35,"הרצליה")+COUNTIF(P1:P35,"חיפה")+COUNTIF(P1:P35,"רמון")+COUNTIF(P1:P35,"ראש פינה")+COUNTIF(P1:P35,"ה.ב"))</f>
        <v>0</v>
      </c>
      <c r="Q36" s="9">
        <f t="shared" ref="Q36" si="17">(COUNTIF(Q1:Q35,"כ")+COUNTIF(Q1:Q35,"כמ"))*6+(COUNTIF(Q1:Q35,"כש")+COUNTIF(Q1:Q35,"כמש"))*10</f>
        <v>18</v>
      </c>
      <c r="R36" s="8">
        <f t="shared" ref="R36" si="18">(COUNTIF(R1:R35,"הרצליה")+COUNTIF(R1:R35,"חיפה")+COUNTIF(R1:R35,"רמון")+COUNTIF(R1:R35,"ראש פינה")+COUNTIF(R1:R35,"ה.ב"))</f>
        <v>2</v>
      </c>
      <c r="S36" s="9">
        <f t="shared" ref="S36" si="19">(COUNTIF(S1:S35,"כ")+COUNTIF(S1:S35,"כמ"))*6+(COUNTIF(S1:S35,"כש")+COUNTIF(S1:S35,"כמש"))*10</f>
        <v>18</v>
      </c>
      <c r="T36" s="8">
        <f t="shared" ref="T36" si="20">(COUNTIF(T1:T35,"הרצליה")+COUNTIF(T1:T35,"חיפה")+COUNTIF(T1:T35,"רמון")+COUNTIF(T1:T35,"ראש פינה")+COUNTIF(T1:T35,"ה.ב"))</f>
        <v>2</v>
      </c>
      <c r="U36" s="9">
        <f t="shared" ref="U36" si="21">(COUNTIF(U1:U35,"כ")+COUNTIF(U1:U35,"כמ"))*6+(COUNTIF(U1:U35,"כש")+COUNTIF(U1:U35,"כמש"))*10</f>
        <v>18</v>
      </c>
      <c r="V36" s="8">
        <f t="shared" ref="V36" si="22">(COUNTIF(V1:V35,"הרצליה")+COUNTIF(V1:V35,"חיפה")+COUNTIF(V1:V35,"רמון")+COUNTIF(V1:V35,"ראש פינה")+COUNTIF(V1:V35,"ה.ב"))</f>
        <v>1</v>
      </c>
      <c r="W36" s="9">
        <f t="shared" ref="W36" si="23">(COUNTIF(W1:W35,"כ")+COUNTIF(W1:W35,"כמ"))*6+(COUNTIF(W1:W35,"כש")+COUNTIF(W1:W35,"כמש"))*10</f>
        <v>18</v>
      </c>
      <c r="X36" s="8">
        <f t="shared" ref="X36" si="24">(COUNTIF(X1:X35,"הרצליה")+COUNTIF(X1:X35,"חיפה")+COUNTIF(X1:X35,"רמון")+COUNTIF(X1:X35,"ראש פינה")+COUNTIF(X1:X35,"ה.ב"))</f>
        <v>3</v>
      </c>
      <c r="Y36" s="9">
        <f t="shared" ref="Y36" si="25">(COUNTIF(Y1:Y35,"כ")+COUNTIF(Y1:Y35,"כמ"))*6+(COUNTIF(Y1:Y35,"כש")+COUNTIF(Y1:Y35,"כמש"))*10</f>
        <v>50</v>
      </c>
      <c r="Z36" s="8">
        <f t="shared" ref="Z36" si="26">(COUNTIF(Z1:Z35,"הרצליה")+COUNTIF(Z1:Z35,"חיפה")+COUNTIF(Z1:Z35,"רמון")+COUNTIF(Z1:Z35,"ראש פינה")+COUNTIF(Z1:Z35,"ה.ב"))</f>
        <v>0</v>
      </c>
      <c r="AA36" s="9">
        <f t="shared" ref="AA36" si="27">(COUNTIF(AA1:AA35,"כ")+COUNTIF(AA1:AA35,"כמ"))*6+(COUNTIF(AA1:AA35,"כש")+COUNTIF(AA1:AA35,"כמש"))*10</f>
        <v>0</v>
      </c>
      <c r="AB36" s="8">
        <f t="shared" ref="AB36" si="28">(COUNTIF(AB1:AB35,"הרצליה")+COUNTIF(AB1:AB35,"חיפה")+COUNTIF(AB1:AB35,"רמון")+COUNTIF(AB1:AB35,"ראש פינה")+COUNTIF(AB1:AB35,"ה.ב"))</f>
        <v>1</v>
      </c>
      <c r="AC36" s="9">
        <f t="shared" ref="AC36" si="29">(COUNTIF(AC1:AC35,"כ")+COUNTIF(AC1:AC35,"כמ"))*6+(COUNTIF(AC1:AC35,"כש")+COUNTIF(AC1:AC35,"כמש"))*10</f>
        <v>30</v>
      </c>
      <c r="AD36" s="8">
        <f>(COUNTIF(AD1:AD35,"הרצליה")+COUNTIF(AD1:AD35,"חיפה")+COUNTIF(AD1:AD35,"רמון")+COUNTIF(AD1:AD35,"ראש פינה")+COUNTIF(AD1:AD35,"ה.ב"))</f>
        <v>0</v>
      </c>
      <c r="AE36" s="9">
        <f>(COUNTIF(AE1:AE35,"כ")+COUNTIF(AE1:AE35,"כמ"))*6+(COUNTIF(AE1:AE35,"כש")+COUNTIF(AE1:AE35,"כמש"))*10</f>
        <v>36</v>
      </c>
      <c r="AF36" s="8">
        <f t="shared" ref="AF36" si="30">(COUNTIF(AF1:AF35,"הרצליה")+COUNTIF(AF1:AF35,"חיפה")+COUNTIF(AF1:AF35,"רמון")+COUNTIF(AF1:AF35,"ראש פינה")+COUNTIF(AF1:AF35,"ה.ב"))</f>
        <v>0</v>
      </c>
      <c r="AG36" s="9">
        <f t="shared" ref="AG36" si="31">(COUNTIF(AG1:AG35,"כ")+COUNTIF(AG1:AG35,"כמ"))*6+(COUNTIF(AG1:AG35,"כש")+COUNTIF(AG1:AG35,"כמש"))*10</f>
        <v>40</v>
      </c>
      <c r="AH36" s="8">
        <f t="shared" ref="AH36" si="32">(COUNTIF(AH1:AH35,"הרצליה")+COUNTIF(AH1:AH35,"חיפה")+COUNTIF(AH1:AH35,"רמון")+COUNTIF(AH1:AH35,"ראש פינה")+COUNTIF(AH1:AH35,"ה.ב"))</f>
        <v>2</v>
      </c>
      <c r="AI36" s="9">
        <f t="shared" ref="AI36" si="33">(COUNTIF(AI1:AI35,"כ")+COUNTIF(AI1:AI35,"כמ"))*6+(COUNTIF(AI1:AI35,"כש")+COUNTIF(AI1:AI35,"כמש"))*10</f>
        <v>30</v>
      </c>
      <c r="AJ36" s="8">
        <f t="shared" ref="AJ36" si="34">(COUNTIF(AJ1:AJ35,"הרצליה")+COUNTIF(AJ1:AJ35,"חיפה")+COUNTIF(AJ1:AJ35,"רמון")+COUNTIF(AJ1:AJ35,"ראש פינה")+COUNTIF(AJ1:AJ35,"ה.ב"))</f>
        <v>2</v>
      </c>
      <c r="AK36" s="9">
        <f t="shared" ref="AK36" si="35">(COUNTIF(AK1:AK35,"כ")+COUNTIF(AK1:AK35,"כמ"))*6+(COUNTIF(AK1:AK35,"כש")+COUNTIF(AK1:AK35,"כמש"))*10</f>
        <v>18</v>
      </c>
      <c r="AL36" s="8">
        <f t="shared" ref="AL36" si="36">(COUNTIF(AL1:AL35,"הרצליה")+COUNTIF(AL1:AL35,"חיפה")+COUNTIF(AL1:AL35,"רמון")+COUNTIF(AL1:AL35,"ראש פינה")+COUNTIF(AL1:AL35,"ה.ב"))</f>
        <v>0</v>
      </c>
      <c r="AM36" s="9">
        <f t="shared" ref="AM36" si="37">(COUNTIF(AM1:AM35,"כ")+COUNTIF(AM1:AM35,"כמ"))*6+(COUNTIF(AM1:AM35,"כש")+COUNTIF(AM1:AM35,"כמש"))*10</f>
        <v>24</v>
      </c>
      <c r="AN36" s="8">
        <f t="shared" ref="AN36" si="38">(COUNTIF(AN1:AN35,"הרצליה")+COUNTIF(AN1:AN35,"חיפה")+COUNTIF(AN1:AN35,"רמון")+COUNTIF(AN1:AN35,"ראש פינה")+COUNTIF(AN1:AN35,"ה.ב"))</f>
        <v>1</v>
      </c>
      <c r="AO36" s="9">
        <f t="shared" ref="AO36" si="39">(COUNTIF(AO1:AO35,"כ")+COUNTIF(AO1:AO35,"כמ"))*6+(COUNTIF(AO1:AO35,"כש")+COUNTIF(AO1:AO35,"כמש"))*10</f>
        <v>18</v>
      </c>
      <c r="AT36" s="482" t="s">
        <v>38</v>
      </c>
      <c r="AU36" s="483"/>
      <c r="AV36" s="484"/>
      <c r="AW36" s="485">
        <f>COUNTIF(AX4:AX35,"י")+COUNTIF(AX4:AX35,"Y")+COUNTIF(AX4:AX35,"2")</f>
        <v>8</v>
      </c>
      <c r="AX36" s="465"/>
      <c r="AY36" s="464">
        <f>COUNTIF(AZ4:AZ35,"י")+COUNTIF(AZ4:AZ35,"Y")+COUNTIF(AZ4:AZ35,"2")</f>
        <v>5</v>
      </c>
      <c r="AZ36" s="465"/>
      <c r="BA36" s="464">
        <f>COUNTIF(BB4:BB35,"י")+COUNTIF(BB4:BB35,"Y")+COUNTIF(BB4:BB35,"2")</f>
        <v>8</v>
      </c>
      <c r="BB36" s="465"/>
      <c r="BC36" s="464">
        <f>COUNTIF(BD4:BD35,"י")+COUNTIF(BD4:BD35,"Y")+COUNTIF(BD4:BD35,"2")</f>
        <v>8</v>
      </c>
      <c r="BD36" s="465"/>
      <c r="BE36" s="464">
        <f>COUNTIF(BF4:BF35,"י")+COUNTIF(BF4:BF35,"Y")+COUNTIF(BF4:BF35,"2")</f>
        <v>3</v>
      </c>
      <c r="BF36" s="465"/>
      <c r="BG36" s="464">
        <f>COUNTIF(BH4:BH35,"י")+COUNTIF(BH4:BH35,"Y")+COUNTIF(BH4:BH35,"2")</f>
        <v>6</v>
      </c>
      <c r="BH36" s="465"/>
      <c r="BI36" s="464">
        <f>COUNTIF(BJ4:BJ35,"י")+COUNTIF(BJ4:BJ35,"Y")+COUNTIF(BJ4:BJ35,"2")</f>
        <v>6</v>
      </c>
      <c r="BJ36" s="465"/>
      <c r="BK36" s="464">
        <f>COUNTIF(BL4:BL35,"י")+COUNTIF(BL4:BL35,"Y")+COUNTIF(BL4:BL35,"2")</f>
        <v>4</v>
      </c>
      <c r="BL36" s="465"/>
      <c r="BM36" s="464">
        <f>COUNTIF(BN4:BN35,"י")+COUNTIF(BN4:BN35,"Y")+COUNTIF(BN4:BN35,"2")</f>
        <v>7</v>
      </c>
      <c r="BN36" s="465"/>
      <c r="BO36" s="464">
        <f>COUNTIF(BP4:BP35,"י")+COUNTIF(BP4:BP35,"Y")+COUNTIF(BP4:BP35,"2")</f>
        <v>8</v>
      </c>
      <c r="BP36" s="465"/>
      <c r="BQ36" s="464">
        <f>COUNTIF(BR4:BR35,"י")+COUNTIF(BR4:BR35,"Y")+COUNTIF(BR4:BR35,"2")</f>
        <v>0</v>
      </c>
      <c r="BR36" s="465"/>
      <c r="BS36" s="464">
        <f>COUNTIF(BT4:BT35,"י")+COUNTIF(BT4:BT35,"Y")+COUNTIF(BT4:BT35,"2")</f>
        <v>3</v>
      </c>
      <c r="BT36" s="465"/>
      <c r="BU36" s="464">
        <f>COUNTIF(BV4:BV35,"י")+COUNTIF(BV4:BV35,"Y")+COUNTIF(BV4:BV35,"2")</f>
        <v>7</v>
      </c>
      <c r="BV36" s="465"/>
      <c r="BW36" s="464">
        <f>COUNTIF(BX4:BX35,"י")+COUNTIF(BX4:BX35,"Y")+COUNTIF(BX4:BX35,"2")</f>
        <v>5</v>
      </c>
      <c r="BX36" s="465"/>
      <c r="BY36" s="464">
        <f>COUNTIF(BZ4:BZ35,"י")+COUNTIF(BZ4:BZ35,"Y")+COUNTIF(BZ4:BZ35,"2")</f>
        <v>8</v>
      </c>
      <c r="BZ36" s="465"/>
      <c r="CA36" s="466">
        <f>COUNTIF(CB4:CB35,"י")+COUNTIF(CB4:CB35,"Y")+COUNTIF(CB4:CB35,"2")</f>
        <v>11</v>
      </c>
      <c r="CB36" s="467"/>
      <c r="CC36" s="468" t="s">
        <v>140</v>
      </c>
      <c r="CD36" s="469"/>
      <c r="CE36" s="470"/>
    </row>
    <row r="37" spans="1:89" ht="15" customHeight="1" thickBot="1">
      <c r="C37" s="1" t="s">
        <v>322</v>
      </c>
      <c r="D37" s="233">
        <f t="shared" ref="D37:AO37" si="40">D36</f>
        <v>1</v>
      </c>
      <c r="E37" s="233">
        <f t="shared" si="40"/>
        <v>18</v>
      </c>
      <c r="F37" s="233">
        <f t="shared" si="40"/>
        <v>2</v>
      </c>
      <c r="G37" s="233">
        <f t="shared" si="40"/>
        <v>22</v>
      </c>
      <c r="H37" s="233">
        <f t="shared" si="40"/>
        <v>0</v>
      </c>
      <c r="I37" s="233">
        <f t="shared" si="40"/>
        <v>18</v>
      </c>
      <c r="J37" s="233">
        <f t="shared" si="40"/>
        <v>1</v>
      </c>
      <c r="K37" s="233">
        <f t="shared" si="40"/>
        <v>18</v>
      </c>
      <c r="L37" s="233">
        <f t="shared" si="40"/>
        <v>1</v>
      </c>
      <c r="M37" s="233">
        <f t="shared" si="40"/>
        <v>22</v>
      </c>
      <c r="N37" s="233">
        <f t="shared" si="40"/>
        <v>5</v>
      </c>
      <c r="O37" s="233">
        <f t="shared" si="40"/>
        <v>36</v>
      </c>
      <c r="P37" s="233">
        <f t="shared" si="40"/>
        <v>0</v>
      </c>
      <c r="Q37" s="233">
        <f t="shared" si="40"/>
        <v>18</v>
      </c>
      <c r="R37" s="233">
        <f t="shared" si="40"/>
        <v>2</v>
      </c>
      <c r="S37" s="233">
        <f t="shared" si="40"/>
        <v>18</v>
      </c>
      <c r="T37" s="233">
        <f t="shared" si="40"/>
        <v>2</v>
      </c>
      <c r="U37" s="233">
        <f t="shared" si="40"/>
        <v>18</v>
      </c>
      <c r="V37" s="233">
        <f t="shared" si="40"/>
        <v>1</v>
      </c>
      <c r="W37" s="233">
        <f t="shared" si="40"/>
        <v>18</v>
      </c>
      <c r="X37" s="233">
        <f t="shared" si="40"/>
        <v>3</v>
      </c>
      <c r="Y37" s="233">
        <f t="shared" si="40"/>
        <v>50</v>
      </c>
      <c r="Z37" s="233">
        <f t="shared" si="40"/>
        <v>0</v>
      </c>
      <c r="AA37" s="233">
        <f t="shared" si="40"/>
        <v>0</v>
      </c>
      <c r="AB37" s="233">
        <f t="shared" si="40"/>
        <v>1</v>
      </c>
      <c r="AC37" s="233">
        <f t="shared" si="40"/>
        <v>30</v>
      </c>
      <c r="AD37" s="233"/>
      <c r="AE37" s="233"/>
      <c r="AF37" s="233">
        <f>AF36</f>
        <v>0</v>
      </c>
      <c r="AG37" s="233">
        <f t="shared" si="40"/>
        <v>40</v>
      </c>
      <c r="AH37" s="233">
        <f t="shared" si="40"/>
        <v>2</v>
      </c>
      <c r="AI37" s="233">
        <f t="shared" si="40"/>
        <v>30</v>
      </c>
      <c r="AJ37" s="233">
        <f t="shared" si="40"/>
        <v>2</v>
      </c>
      <c r="AK37" s="233">
        <f t="shared" si="40"/>
        <v>18</v>
      </c>
      <c r="AL37" s="233">
        <f t="shared" si="40"/>
        <v>0</v>
      </c>
      <c r="AM37" s="233">
        <f t="shared" si="40"/>
        <v>24</v>
      </c>
      <c r="AN37" s="233">
        <f t="shared" si="40"/>
        <v>1</v>
      </c>
      <c r="AO37" s="233">
        <f t="shared" si="40"/>
        <v>18</v>
      </c>
      <c r="AT37" s="478" t="s">
        <v>39</v>
      </c>
      <c r="AU37" s="479"/>
      <c r="AV37" s="480"/>
      <c r="AW37" s="481">
        <f>COUNTIF(AX4:AX35,"ל")+COUNTIF(AX4:AX35,"L")+COUNTIF(AX4:AX35,"ל2")</f>
        <v>6</v>
      </c>
      <c r="AX37" s="475"/>
      <c r="AY37" s="474">
        <f>COUNTIF(AZ4:AZ35,"ל")+COUNTIF(AZ4:AZ35,"L")+COUNTIF(AZ4:AZ35,"ל2")</f>
        <v>8</v>
      </c>
      <c r="AZ37" s="475"/>
      <c r="BA37" s="474">
        <f>COUNTIF(BB4:BB35,"ל")+COUNTIF(BB4:BB35,"L")+COUNTIF(BB4:BB35,"ל2")</f>
        <v>7</v>
      </c>
      <c r="BB37" s="475"/>
      <c r="BC37" s="474">
        <f>COUNTIF(BD4:BD35,"ל")+COUNTIF(BD4:BD35,"L")+COUNTIF(BD4:BD35,"ל2")</f>
        <v>10</v>
      </c>
      <c r="BD37" s="475"/>
      <c r="BE37" s="474">
        <f>COUNTIF(BF4:BF35,"ל")+COUNTIF(BF4:BF35,"L")+COUNTIF(BF4:BF35,"ל2")</f>
        <v>3</v>
      </c>
      <c r="BF37" s="475"/>
      <c r="BG37" s="474">
        <f>COUNTIF(BH4:BH35,"ל")+COUNTIF(BH4:BH35,"L")+COUNTIF(BH4:BH35,"ל2")</f>
        <v>8</v>
      </c>
      <c r="BH37" s="475"/>
      <c r="BI37" s="474">
        <f>COUNTIF(BJ4:BJ35,"ל")+COUNTIF(BJ4:BJ35,"L")+COUNTIF(BJ4:BJ35,"ל2")</f>
        <v>9</v>
      </c>
      <c r="BJ37" s="475"/>
      <c r="BK37" s="474">
        <f>COUNTIF(BL4:BL35,"ל")+COUNTIF(BL4:BL35,"L")+COUNTIF(BL4:BL35,"ל2")</f>
        <v>5</v>
      </c>
      <c r="BL37" s="475"/>
      <c r="BM37" s="474">
        <f>COUNTIF(BN4:BN35,"ל")+COUNTIF(BN4:BN35,"L")+COUNTIF(BN4:BN35,"ל2")</f>
        <v>9</v>
      </c>
      <c r="BN37" s="475"/>
      <c r="BO37" s="474">
        <f>COUNTIF(BP4:BP35,"ל")+COUNTIF(BP4:BP35,"L")+COUNTIF(BP4:BP35,"ל2")</f>
        <v>8</v>
      </c>
      <c r="BP37" s="475"/>
      <c r="BQ37" s="474">
        <f>COUNTIF(BR4:BR35,"ל")+COUNTIF(BR4:BR35,"L")+COUNTIF(BR4:BR35,"ל2")</f>
        <v>1</v>
      </c>
      <c r="BR37" s="475"/>
      <c r="BS37" s="474">
        <f>COUNTIF(BT4:BT35,"ל")+COUNTIF(BT4:BT35,"L")+COUNTIF(BT4:BT35,"ל2")</f>
        <v>11</v>
      </c>
      <c r="BT37" s="475"/>
      <c r="BU37" s="474">
        <f>COUNTIF(BV4:BV35,"ל")+COUNTIF(BV4:BV35,"L")+COUNTIF(BV4:BV35,"ל2")</f>
        <v>7</v>
      </c>
      <c r="BV37" s="475"/>
      <c r="BW37" s="474">
        <f>COUNTIF(BX4:BX35,"ל")+COUNTIF(BX4:BX35,"L")+COUNTIF(BX4:BX35,"ל2")</f>
        <v>9</v>
      </c>
      <c r="BX37" s="475"/>
      <c r="BY37" s="474">
        <f>COUNTIF(BZ4:BZ35,"ל")+COUNTIF(BZ4:BZ35,"L")+COUNTIF(BZ4:BZ35,"ל2")</f>
        <v>8</v>
      </c>
      <c r="BZ37" s="475"/>
      <c r="CA37" s="476">
        <f>COUNTIF(CB4:CB35,"ל")+COUNTIF(CB4:CB35,"L")+COUNTIF(CB4:CB35,"ל2")</f>
        <v>7</v>
      </c>
      <c r="CB37" s="477"/>
      <c r="CC37" s="471"/>
      <c r="CD37" s="472"/>
      <c r="CE37" s="473"/>
    </row>
    <row r="38" spans="1:89" s="63" customFormat="1" ht="15" customHeight="1" thickBot="1">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W38" s="488">
        <f>(AW36*12)+(AW37*12)+(COUNTIF(AX4:AX35,"ק")*8)+(COUNTIF(AX4:AX35,"ח")*8)+(COUNTIF(AX4:AX35,"מ")*8)+(COUNTIF(AX4:AX35,"מיל")*8)</f>
        <v>176</v>
      </c>
      <c r="AX38" s="487"/>
      <c r="AY38" s="486">
        <f>(AY36*12)+(AY37*12)+(COUNTIF(AZ4:AZ35,"ק")*8)+(COUNTIF(AZ4:AZ35,"ח")*8)+(COUNTIF(AZ4:AZ35,"מ")*8)+(COUNTIF(AZ4:AZ35,"מיל")*8)</f>
        <v>172</v>
      </c>
      <c r="AZ38" s="487"/>
      <c r="BA38" s="486">
        <f>(BA36*12)+(BA37*12)+(COUNTIF(BB4:BB35,"ק")*8)+(COUNTIF(BB4:BB35,"ח")*8)+(COUNTIF(BB4:BB35,"מ")*8)+(COUNTIF(BB4:BB35,"מיל")*8)</f>
        <v>180</v>
      </c>
      <c r="BB38" s="487"/>
      <c r="BC38" s="486">
        <f>(BC36*12)+(BC37*12)+(COUNTIF(BD4:BD35,"ק")*8)+(COUNTIF(BD4:BD35,"ח")*8)+(COUNTIF(BD4:BD35,"מ")*8)+(COUNTIF(BD4:BD35,"מיל")*8)</f>
        <v>216</v>
      </c>
      <c r="BD38" s="487"/>
      <c r="BE38" s="486">
        <f>(BE36*12)+(BE37*12)+(COUNTIF(BF4:BF35,"ק")*8)+(COUNTIF(BF4:BF35,"ח")*8)+(COUNTIF(BF4:BF35,"מ")*8)+(COUNTIF(BF4:BF35,"מיל")*8)</f>
        <v>152</v>
      </c>
      <c r="BF38" s="487"/>
      <c r="BG38" s="486">
        <f>(BG36*12)+(BG37*12)+(COUNTIF(BH4:BH35,"ק")*8)+(COUNTIF(BH4:BH35,"ח")*8)+(COUNTIF(BH4:BH35,"מ")*8)+(COUNTIF(BH4:BH35,"מיל")*8)</f>
        <v>168</v>
      </c>
      <c r="BH38" s="487"/>
      <c r="BI38" s="486">
        <f>(BI36*12)+(BI37*12)+(COUNTIF(BJ4:BJ35,"ק")*8)+(COUNTIF(BJ4:BJ35,"ח")*8)+(COUNTIF(BJ4:BJ35,"מ")*8)+(COUNTIF(BJ4:BJ35,"מיל")*8)</f>
        <v>180</v>
      </c>
      <c r="BJ38" s="487"/>
      <c r="BK38" s="486">
        <f>(BK36*12)+(BK37*12)+(COUNTIF(BL4:BL35,"ק")*8)+(COUNTIF(BL4:BL35,"ח")*8)+(COUNTIF(BL4:BL35,"מ")*8)+(COUNTIF(BL4:BL35,"מיל")*8)</f>
        <v>204</v>
      </c>
      <c r="BL38" s="487"/>
      <c r="BM38" s="486">
        <f>(BM36*12)+(BM37*12)+(COUNTIF(BN4:BN35,"ק")*8)+(COUNTIF(BN4:BN35,"ח")*8)+(COUNTIF(BN4:BN35,"מ")*8)+(COUNTIF(BN4:BN35,"מיל")*8)</f>
        <v>232</v>
      </c>
      <c r="BN38" s="487"/>
      <c r="BO38" s="486">
        <f>(BO36*12)+(BO37*12)+(COUNTIF(BP4:BP35,"ק")*8)+(COUNTIF(BP4:BP35,"ח")*8)+(COUNTIF(BP4:BP35,"מ")*8)+(COUNTIF(BP4:BP35,"מיל")*8)</f>
        <v>192</v>
      </c>
      <c r="BP38" s="487"/>
      <c r="BQ38" s="486">
        <f>(BQ36*12)+(BQ37*12)+(COUNTIF(BR4:BR35,"ק")*8)+(COUNTIF(BR4:BR35,"ח")*8)+(COUNTIF(BR4:BR35,"מ")*8)+(COUNTIF(BR4:BR35,"מיל")*8)</f>
        <v>156</v>
      </c>
      <c r="BR38" s="487"/>
      <c r="BS38" s="486">
        <f>(BS36*12)+(BS37*12)+(COUNTIF(BT4:BT35,"ק")*8)+(COUNTIF(BT4:BT35,"ח")*8)+(COUNTIF(BT4:BT35,"מ")*8)+(COUNTIF(BT4:BT35,"מיל")*8)</f>
        <v>176</v>
      </c>
      <c r="BT38" s="487"/>
      <c r="BU38" s="486">
        <f>(BU36*12)+(BU37*12)+(COUNTIF(BV4:BV35,"ק")*8)+(COUNTIF(BV4:BV35,"ח")*8)+(COUNTIF(BV4:BV35,"מ")*8)+(COUNTIF(BV4:BV35,"מיל")*8)</f>
        <v>168</v>
      </c>
      <c r="BV38" s="487"/>
      <c r="BW38" s="486">
        <f>(BW36*12)+(BW37*12)+(COUNTIF(BX4:BX35,"ק")*8)+(COUNTIF(BX4:BX35,"ח")*8)+(COUNTIF(BX4:BX35,"מ")*8)+(COUNTIF(BX4:BX35,"מיל")*8)</f>
        <v>176</v>
      </c>
      <c r="BX38" s="487"/>
      <c r="BY38" s="486">
        <f>(BY36*12)+(BY37*12)+(COUNTIF(BZ4:BZ35,"ק")*8)+(COUNTIF(BZ4:BZ35,"ח")*8)+(COUNTIF(BZ4:BZ35,"מ")*8)+(COUNTIF(BZ4:BZ35,"מיל")*8)</f>
        <v>192</v>
      </c>
      <c r="BZ38" s="487"/>
      <c r="CA38" s="486">
        <f>(CA36*12)+(CA37*12)+(COUNTIF(CB4:CB35,"ק")*8)+(COUNTIF(CB4:CB35,"ח")*8)+(COUNTIF(CB4:CB35,"מ")*8)+(COUNTIF(CB4:CB35,"מיל")*8)</f>
        <v>216</v>
      </c>
      <c r="CB38" s="496"/>
      <c r="CC38" s="497">
        <v>168</v>
      </c>
      <c r="CD38" s="498"/>
      <c r="CE38" s="499"/>
    </row>
    <row r="39" spans="1:89" ht="15" customHeight="1" thickBot="1">
      <c r="AW39" s="500">
        <f>AW38-CC38</f>
        <v>8</v>
      </c>
      <c r="AX39" s="491"/>
      <c r="AY39" s="490">
        <f>AY38-CC38</f>
        <v>4</v>
      </c>
      <c r="AZ39" s="491"/>
      <c r="BA39" s="490">
        <f>BA38-CC38</f>
        <v>12</v>
      </c>
      <c r="BB39" s="491"/>
      <c r="BC39" s="490">
        <f>BC38-CC38</f>
        <v>48</v>
      </c>
      <c r="BD39" s="491"/>
      <c r="BE39" s="490">
        <f>BE38-CC38</f>
        <v>-16</v>
      </c>
      <c r="BF39" s="491"/>
      <c r="BG39" s="490">
        <f>BG38-CC38</f>
        <v>0</v>
      </c>
      <c r="BH39" s="491"/>
      <c r="BI39" s="490">
        <f>BI38-CC38</f>
        <v>12</v>
      </c>
      <c r="BJ39" s="491"/>
      <c r="BK39" s="490">
        <f>BK38-CC38</f>
        <v>36</v>
      </c>
      <c r="BL39" s="491"/>
      <c r="BM39" s="490">
        <f>BM38-CC38</f>
        <v>64</v>
      </c>
      <c r="BN39" s="491"/>
      <c r="BO39" s="490">
        <f>BO38-CC38</f>
        <v>24</v>
      </c>
      <c r="BP39" s="491"/>
      <c r="BQ39" s="490">
        <f>BQ38-CC38</f>
        <v>-12</v>
      </c>
      <c r="BR39" s="491"/>
      <c r="BS39" s="490">
        <f>BS38-CC38</f>
        <v>8</v>
      </c>
      <c r="BT39" s="491"/>
      <c r="BU39" s="490">
        <f>BU38-CC38</f>
        <v>0</v>
      </c>
      <c r="BV39" s="491"/>
      <c r="BW39" s="490">
        <f>BW38-CC38</f>
        <v>8</v>
      </c>
      <c r="BX39" s="491"/>
      <c r="BY39" s="490">
        <f>BY38-CC38</f>
        <v>24</v>
      </c>
      <c r="BZ39" s="491"/>
      <c r="CA39" s="492">
        <f>CA38-CC38</f>
        <v>48</v>
      </c>
      <c r="CB39" s="493"/>
      <c r="CC39" s="494" t="s">
        <v>222</v>
      </c>
      <c r="CD39" s="494"/>
      <c r="CE39" s="495"/>
    </row>
  </sheetData>
  <customSheetViews>
    <customSheetView guid="{C6961C98-214A-4770-9A2D-B399A95C6C8B}" scale="85">
      <pane ySplit="4" topLeftCell="A5" activePane="bottomLeft" state="frozen"/>
      <selection pane="bottomLeft" activeCell="D5" sqref="D5"/>
      <pageMargins left="0.7" right="0.7" top="0.75" bottom="0.75" header="0.3" footer="0.3"/>
      <pageSetup paperSize="9" orientation="portrait" r:id="rId1"/>
    </customSheetView>
    <customSheetView guid="{A704065A-5B6F-476C-AE5F-F67C013164B0}" scale="80">
      <pane xSplit="3" ySplit="4" topLeftCell="D5" activePane="bottomRight" state="frozen"/>
      <selection pane="bottomRight" activeCell="Q37" sqref="Q37"/>
      <pageMargins left="0.7" right="0.7" top="0.75" bottom="0.75" header="0.3" footer="0.3"/>
      <pageSetup paperSize="9" orientation="portrait" r:id="rId2"/>
    </customSheetView>
    <customSheetView guid="{319CE2B6-D20C-48B8-B7D9-15D19162A7CD}" scale="85">
      <pane ySplit="4" topLeftCell="A5" activePane="bottomLeft" state="frozen"/>
      <selection pane="bottomLeft" activeCell="D5" sqref="D5"/>
      <pageMargins left="0.7" right="0.7" top="0.75" bottom="0.75" header="0.3" footer="0.3"/>
      <pageSetup paperSize="9" orientation="portrait" r:id="rId3"/>
    </customSheetView>
    <customSheetView guid="{C5360886-767B-4F33-B24F-A6512AA390CC}" scale="90" topLeftCell="AP1">
      <pane ySplit="4" topLeftCell="A5" activePane="bottomLeft" state="frozen"/>
      <selection pane="bottomLeft" activeCell="BU4" sqref="BU4:BV4"/>
      <pageMargins left="0.7" right="0.7" top="0.75" bottom="0.75" header="0.3" footer="0.3"/>
      <pageSetup paperSize="9" orientation="portrait" r:id="rId4"/>
    </customSheetView>
    <customSheetView guid="{9C777CA9-4E1C-4A90-9032-5D0586052FC8}" scale="90">
      <pane ySplit="4" topLeftCell="A5" activePane="bottomLeft" state="frozen"/>
      <selection pane="bottomLeft" activeCell="AJ10" sqref="AJ10"/>
      <pageMargins left="0.7" right="0.7" top="0.75" bottom="0.75" header="0.3" footer="0.3"/>
      <pageSetup paperSize="9" orientation="portrait" r:id="rId5"/>
    </customSheetView>
    <customSheetView guid="{FEBD343F-EB1E-4B3A-B093-25A74DB60DAB}" scale="80">
      <pane xSplit="4" topLeftCell="I1" activePane="topRight" state="frozen"/>
      <selection pane="topRight" activeCell="AN39" sqref="AN39"/>
      <pageMargins left="0.7" right="0.7" top="0.75" bottom="0.75" header="0.3" footer="0.3"/>
      <pageSetup paperSize="9" orientation="portrait" r:id="rId6"/>
    </customSheetView>
    <customSheetView guid="{1D39CB39-D8E6-4DA4-ABBA-40E2E6F11928}" scale="80">
      <pane xSplit="3" ySplit="4" topLeftCell="D5" activePane="bottomRight" state="frozen"/>
      <selection pane="bottomRight" activeCell="I40" sqref="I40"/>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D29" sqref="D29"/>
      <pageMargins left="0.7" right="0.7" top="0.75" bottom="0.75" header="0.3" footer="0.3"/>
      <pageSetup paperSize="9" orientation="portrait" r:id="rId8"/>
    </customSheetView>
    <customSheetView guid="{03543009-41DE-4C7D-B8BE-69526021AF29}" scale="90" topLeftCell="AU1">
      <pane ySplit="4" topLeftCell="A8" activePane="bottomLeft" state="frozen"/>
      <selection pane="bottomLeft" activeCell="CI29" sqref="CI29"/>
      <pageMargins left="0.7" right="0.7" top="0.75" bottom="0.75" header="0.3" footer="0.3"/>
      <pageSetup paperSize="9" orientation="portrait" r:id="rId9"/>
    </customSheetView>
    <customSheetView guid="{03CD1AFD-FDA7-4904-966E-FB90CD2C490F}" scale="80">
      <pane ySplit="2" topLeftCell="A5" activePane="bottomLeft" state="frozen"/>
      <selection pane="bottomLeft" activeCell="P24" sqref="P24"/>
      <pageMargins left="0.7" right="0.7" top="0.75" bottom="0.75" header="0.3" footer="0.3"/>
      <pageSetup paperSize="9" orientation="portrait" r:id="rId10"/>
    </customSheetView>
  </customSheetViews>
  <mergeCells count="235">
    <mergeCell ref="CJ34:CK34"/>
    <mergeCell ref="AP15:AQ15"/>
    <mergeCell ref="AP16:AQ16"/>
    <mergeCell ref="AP22:AQ22"/>
    <mergeCell ref="AP24:AQ24"/>
    <mergeCell ref="AP27:AQ27"/>
    <mergeCell ref="AP28:AQ28"/>
    <mergeCell ref="AP29:AQ29"/>
    <mergeCell ref="AP30:AQ30"/>
    <mergeCell ref="AV30:AV35"/>
    <mergeCell ref="CJ31:CK31"/>
    <mergeCell ref="AP32:AQ32"/>
    <mergeCell ref="CJ32:CK32"/>
    <mergeCell ref="AP33:AQ33"/>
    <mergeCell ref="CJ33:CK33"/>
    <mergeCell ref="AP35:AQ35"/>
    <mergeCell ref="CJ35:CK35"/>
    <mergeCell ref="AP26:AQ26"/>
    <mergeCell ref="CJ26:CK26"/>
    <mergeCell ref="CJ27:CK27"/>
    <mergeCell ref="CJ28:CK28"/>
    <mergeCell ref="CJ29:CK29"/>
    <mergeCell ref="CJ30:CK30"/>
    <mergeCell ref="AP31:AQ31"/>
    <mergeCell ref="CE30:CE35"/>
    <mergeCell ref="BY39:BZ39"/>
    <mergeCell ref="CA39:CB39"/>
    <mergeCell ref="CC39:CE39"/>
    <mergeCell ref="AP34:AQ34"/>
    <mergeCell ref="AV5:AV8"/>
    <mergeCell ref="BM39:BN39"/>
    <mergeCell ref="BO39:BP39"/>
    <mergeCell ref="BQ39:BR39"/>
    <mergeCell ref="BS39:BT39"/>
    <mergeCell ref="BU39:BV39"/>
    <mergeCell ref="BW39:BX39"/>
    <mergeCell ref="CA38:CB38"/>
    <mergeCell ref="CC38:CE38"/>
    <mergeCell ref="AW39:AX39"/>
    <mergeCell ref="AY39:AZ39"/>
    <mergeCell ref="BA39:BB39"/>
    <mergeCell ref="BC39:BD39"/>
    <mergeCell ref="BE39:BF39"/>
    <mergeCell ref="BG39:BH39"/>
    <mergeCell ref="BI39:BJ39"/>
    <mergeCell ref="BK39:BL39"/>
    <mergeCell ref="BO38:BP38"/>
    <mergeCell ref="BQ38:BR38"/>
    <mergeCell ref="BS38:BT38"/>
    <mergeCell ref="BU38:BV38"/>
    <mergeCell ref="BW38:BX38"/>
    <mergeCell ref="BY38:BZ38"/>
    <mergeCell ref="AW38:AX38"/>
    <mergeCell ref="AY38:AZ38"/>
    <mergeCell ref="BA38:BB38"/>
    <mergeCell ref="BC38:BD38"/>
    <mergeCell ref="BE38:BF38"/>
    <mergeCell ref="BG38:BH38"/>
    <mergeCell ref="BI38:BJ38"/>
    <mergeCell ref="BK38:BL38"/>
    <mergeCell ref="BM38:BN38"/>
    <mergeCell ref="AT37:AV37"/>
    <mergeCell ref="AW37:AX37"/>
    <mergeCell ref="AY37:AZ37"/>
    <mergeCell ref="BA37:BB37"/>
    <mergeCell ref="BC37:BD37"/>
    <mergeCell ref="BE37:BF37"/>
    <mergeCell ref="BS36:BT36"/>
    <mergeCell ref="BU36:BV36"/>
    <mergeCell ref="BW36:BX36"/>
    <mergeCell ref="AT36:AV36"/>
    <mergeCell ref="AW36:AX36"/>
    <mergeCell ref="AY36:AZ36"/>
    <mergeCell ref="BA36:BB36"/>
    <mergeCell ref="BC36:BD36"/>
    <mergeCell ref="BE36:BF36"/>
    <mergeCell ref="BG37:BH37"/>
    <mergeCell ref="BI37:BJ37"/>
    <mergeCell ref="BK37:BL37"/>
    <mergeCell ref="BM37:BN37"/>
    <mergeCell ref="BO37:BP37"/>
    <mergeCell ref="BQ37:BR37"/>
    <mergeCell ref="BY36:BZ36"/>
    <mergeCell ref="CA36:CB36"/>
    <mergeCell ref="CC36:CE37"/>
    <mergeCell ref="BS37:BT37"/>
    <mergeCell ref="BU37:BV37"/>
    <mergeCell ref="BW37:BX37"/>
    <mergeCell ref="BY37:BZ37"/>
    <mergeCell ref="BG36:BH36"/>
    <mergeCell ref="BI36:BJ36"/>
    <mergeCell ref="BK36:BL36"/>
    <mergeCell ref="BM36:BN36"/>
    <mergeCell ref="BO36:BP36"/>
    <mergeCell ref="BQ36:BR36"/>
    <mergeCell ref="CA37:CB37"/>
    <mergeCell ref="CJ21:CK21"/>
    <mergeCell ref="CJ22:CK22"/>
    <mergeCell ref="AP23:AQ23"/>
    <mergeCell ref="CJ23:CK23"/>
    <mergeCell ref="CJ24:CK24"/>
    <mergeCell ref="AP25:AQ25"/>
    <mergeCell ref="CJ25:CK25"/>
    <mergeCell ref="AV16:AV22"/>
    <mergeCell ref="AV23:AV29"/>
    <mergeCell ref="AP18:AQ18"/>
    <mergeCell ref="CJ18:CK18"/>
    <mergeCell ref="AP19:AQ19"/>
    <mergeCell ref="CJ19:CK19"/>
    <mergeCell ref="AP20:AQ20"/>
    <mergeCell ref="CJ20:CK20"/>
    <mergeCell ref="AP21:AQ21"/>
    <mergeCell ref="CE16:CE22"/>
    <mergeCell ref="CE23:CE29"/>
    <mergeCell ref="AP14:AQ14"/>
    <mergeCell ref="CJ14:CK14"/>
    <mergeCell ref="CJ15:CK15"/>
    <mergeCell ref="CJ16:CK16"/>
    <mergeCell ref="AP17:AQ17"/>
    <mergeCell ref="CJ17:CK17"/>
    <mergeCell ref="AV9:AV15"/>
    <mergeCell ref="CJ10:CK10"/>
    <mergeCell ref="AP11:AQ11"/>
    <mergeCell ref="CJ11:CK11"/>
    <mergeCell ref="AP12:AQ12"/>
    <mergeCell ref="CJ12:CK12"/>
    <mergeCell ref="AP13:AQ13"/>
    <mergeCell ref="CJ13:CK13"/>
    <mergeCell ref="CE9:CE15"/>
    <mergeCell ref="CJ5:CK5"/>
    <mergeCell ref="AP6:AQ6"/>
    <mergeCell ref="CJ6:CK6"/>
    <mergeCell ref="AP7:AQ7"/>
    <mergeCell ref="CJ7:CK7"/>
    <mergeCell ref="AP8:AQ8"/>
    <mergeCell ref="CJ8:CK8"/>
    <mergeCell ref="AP9:AQ9"/>
    <mergeCell ref="CJ9:CK9"/>
    <mergeCell ref="CE5:CE8"/>
    <mergeCell ref="BS4:BT4"/>
    <mergeCell ref="BU4:BV4"/>
    <mergeCell ref="BW4:BX4"/>
    <mergeCell ref="BY4:BZ4"/>
    <mergeCell ref="CA4:CB4"/>
    <mergeCell ref="AP5:AQ5"/>
    <mergeCell ref="AP10:AQ10"/>
    <mergeCell ref="BG4:BH4"/>
    <mergeCell ref="BI4:BJ4"/>
    <mergeCell ref="BK4:BL4"/>
    <mergeCell ref="BM4:BN4"/>
    <mergeCell ref="BO4:BP4"/>
    <mergeCell ref="BQ4:BR4"/>
    <mergeCell ref="J4:K4"/>
    <mergeCell ref="L4:M4"/>
    <mergeCell ref="AN4:AO4"/>
    <mergeCell ref="AW4:AX4"/>
    <mergeCell ref="AY4:AZ4"/>
    <mergeCell ref="Z4:AA4"/>
    <mergeCell ref="AB4:AC4"/>
    <mergeCell ref="AF4:AG4"/>
    <mergeCell ref="AH4:AI4"/>
    <mergeCell ref="AJ4:AK4"/>
    <mergeCell ref="AL4:AM4"/>
    <mergeCell ref="CF2:CG3"/>
    <mergeCell ref="CH2:CI3"/>
    <mergeCell ref="CJ2:CK4"/>
    <mergeCell ref="AD3:AE3"/>
    <mergeCell ref="D3:E3"/>
    <mergeCell ref="F3:G3"/>
    <mergeCell ref="H3:I3"/>
    <mergeCell ref="J3:K3"/>
    <mergeCell ref="L3:M3"/>
    <mergeCell ref="N3:O3"/>
    <mergeCell ref="AP2:AQ4"/>
    <mergeCell ref="AR2:AS3"/>
    <mergeCell ref="AW2:BD2"/>
    <mergeCell ref="BE2:BL2"/>
    <mergeCell ref="BM2:BT2"/>
    <mergeCell ref="BU2:CB2"/>
    <mergeCell ref="AW3:AX3"/>
    <mergeCell ref="AY3:AZ3"/>
    <mergeCell ref="BA3:BB3"/>
    <mergeCell ref="BC3:BD3"/>
    <mergeCell ref="AB3:AC3"/>
    <mergeCell ref="AF3:AG3"/>
    <mergeCell ref="AH3:AI3"/>
    <mergeCell ref="AJ3:AK3"/>
    <mergeCell ref="CC1:CE4"/>
    <mergeCell ref="D2:W2"/>
    <mergeCell ref="X2:Y2"/>
    <mergeCell ref="Z2:AA2"/>
    <mergeCell ref="AF2:AG2"/>
    <mergeCell ref="AH2:AO2"/>
    <mergeCell ref="AL3:AM3"/>
    <mergeCell ref="AN3:AO3"/>
    <mergeCell ref="P3:Q3"/>
    <mergeCell ref="R3:S3"/>
    <mergeCell ref="T3:U3"/>
    <mergeCell ref="V3:W3"/>
    <mergeCell ref="X3:Y3"/>
    <mergeCell ref="Z3:AA3"/>
    <mergeCell ref="BQ3:BR3"/>
    <mergeCell ref="BS3:BT3"/>
    <mergeCell ref="BU3:BV3"/>
    <mergeCell ref="BW3:BX3"/>
    <mergeCell ref="BY3:BZ3"/>
    <mergeCell ref="CA3:CB3"/>
    <mergeCell ref="BE3:BF3"/>
    <mergeCell ref="BG3:BH3"/>
    <mergeCell ref="BI3:BJ3"/>
    <mergeCell ref="BK3:BL3"/>
    <mergeCell ref="C5:C7"/>
    <mergeCell ref="C8:C14"/>
    <mergeCell ref="C15:C21"/>
    <mergeCell ref="C22:C28"/>
    <mergeCell ref="C29:C35"/>
    <mergeCell ref="A1:C4"/>
    <mergeCell ref="D1:AS1"/>
    <mergeCell ref="AT1:AV4"/>
    <mergeCell ref="AW1:CB1"/>
    <mergeCell ref="BM3:BN3"/>
    <mergeCell ref="BO3:BP3"/>
    <mergeCell ref="N4:O4"/>
    <mergeCell ref="P4:Q4"/>
    <mergeCell ref="R4:S4"/>
    <mergeCell ref="T4:U4"/>
    <mergeCell ref="V4:W4"/>
    <mergeCell ref="X4:Y4"/>
    <mergeCell ref="BA4:BB4"/>
    <mergeCell ref="BC4:BD4"/>
    <mergeCell ref="BE4:BF4"/>
    <mergeCell ref="AD4:AE4"/>
    <mergeCell ref="D4:E4"/>
    <mergeCell ref="F4:G4"/>
    <mergeCell ref="H4:I4"/>
  </mergeCells>
  <phoneticPr fontId="27" type="noConversion"/>
  <conditionalFormatting sqref="A5:B35">
    <cfRule type="cellIs" dxfId="9255" priority="5161" operator="equal">
      <formula>"כ"</formula>
    </cfRule>
    <cfRule type="cellIs" dxfId="9254" priority="5160" operator="equal">
      <formula>"כש"</formula>
    </cfRule>
    <cfRule type="cellIs" dxfId="9253" priority="5159" operator="equal">
      <formula>"ח"</formula>
    </cfRule>
    <cfRule type="cellIs" dxfId="9252" priority="5158" operator="equal">
      <formula>"מיל"</formula>
    </cfRule>
    <cfRule type="cellIs" dxfId="9251" priority="5151" operator="equal">
      <formula>"ל"</formula>
    </cfRule>
    <cfRule type="cellIs" dxfId="9250" priority="5152" operator="equal">
      <formula>"י"</formula>
    </cfRule>
    <cfRule type="cellIs" dxfId="9249" priority="5153" operator="equal">
      <formula>"כמש"</formula>
    </cfRule>
    <cfRule type="cellIs" dxfId="9248" priority="5154" operator="equal">
      <formula>"כמ"</formula>
    </cfRule>
    <cfRule type="cellIs" dxfId="9247" priority="5155" operator="equal">
      <formula>"ק"</formula>
    </cfRule>
    <cfRule type="cellIs" dxfId="9246" priority="5156" operator="equal">
      <formula>"מ"</formula>
    </cfRule>
    <cfRule type="cellIs" dxfId="9245" priority="5157" operator="equal">
      <formula>"מנוחה"</formula>
    </cfRule>
  </conditionalFormatting>
  <conditionalFormatting sqref="A1:C4 X2:AH2 AP2 AR2 D3:N3 AD3:AE4 D4:S4 AR4:AS13 C5 C8">
    <cfRule type="cellIs" dxfId="9244" priority="5625" operator="equal">
      <formula>"ח"</formula>
    </cfRule>
  </conditionalFormatting>
  <conditionalFormatting sqref="A1:C4 X2:AH2 AP2 AR2 D3:N3 AD3:AE35 D4:Q4 C5 AF5:AJ5 AL5:AP5 D5:AC7 AF6:AP7 C8 AG8:AL8 AN8:AP8 Z8:AF9 D8:Y35 AG9:AP9 Z10:AE10 AG10 AI10:AP10 Z11:AF16 AG11:AP18 Z17:AE17 Z18:AF28 AG19:AK19 AM19:AP19 AH20:AP20 AG21:AP22 AG23:AK23 AM23:AP23 AG24:AP26 AG27:AH27 AJ27:AP27 AG28:AP28 Z29:AE29 AG29:AH29 AJ29:AP29 AG30:AK30 AM30:AP30 Z30:AF35 AG31:AP35">
    <cfRule type="cellIs" dxfId="9243" priority="5627" operator="equal">
      <formula>"כ"</formula>
    </cfRule>
    <cfRule type="cellIs" dxfId="9242" priority="5622" operator="equal">
      <formula>"מ"</formula>
    </cfRule>
    <cfRule type="cellIs" dxfId="9241" priority="5623" operator="equal">
      <formula>"מנוחה"</formula>
    </cfRule>
    <cfRule type="cellIs" dxfId="9240" priority="5624" operator="equal">
      <formula>"מיל"</formula>
    </cfRule>
    <cfRule type="cellIs" dxfId="9239" priority="5626" operator="equal">
      <formula>"כש"</formula>
    </cfRule>
    <cfRule type="cellIs" dxfId="9238" priority="5620" operator="equal">
      <formula>"כמ"</formula>
    </cfRule>
    <cfRule type="cellIs" dxfId="9237" priority="5619" operator="equal">
      <formula>"כמש"</formula>
    </cfRule>
    <cfRule type="cellIs" dxfId="9236" priority="5617" operator="equal">
      <formula>"י"</formula>
    </cfRule>
    <cfRule type="cellIs" dxfId="9235" priority="5616" operator="equal">
      <formula>"ל"</formula>
    </cfRule>
    <cfRule type="cellIs" dxfId="9234" priority="5621" operator="equal">
      <formula>"ק"</formula>
    </cfRule>
  </conditionalFormatting>
  <conditionalFormatting sqref="P3:Q3">
    <cfRule type="cellIs" dxfId="9233" priority="5353" operator="equal">
      <formula>"ק"</formula>
    </cfRule>
    <cfRule type="cellIs" dxfId="9232" priority="5349" operator="equal">
      <formula>"ל"</formula>
    </cfRule>
    <cfRule type="cellIs" dxfId="9231" priority="5350" operator="equal">
      <formula>"י"</formula>
    </cfRule>
    <cfRule type="cellIs" dxfId="9230" priority="5351" operator="equal">
      <formula>"כמש"</formula>
    </cfRule>
    <cfRule type="cellIs" dxfId="9229" priority="5352" operator="equal">
      <formula>"כמ"</formula>
    </cfRule>
    <cfRule type="cellIs" dxfId="9228" priority="5354" operator="equal">
      <formula>"מ"</formula>
    </cfRule>
    <cfRule type="cellIs" dxfId="9227" priority="5355" operator="equal">
      <formula>"מנוחה"</formula>
    </cfRule>
    <cfRule type="cellIs" dxfId="9226" priority="5356" operator="equal">
      <formula>"מיל"</formula>
    </cfRule>
    <cfRule type="cellIs" dxfId="9225" priority="5358" operator="equal">
      <formula>"כש"</formula>
    </cfRule>
    <cfRule type="cellIs" dxfId="9224" priority="5359" operator="equal">
      <formula>"כ"</formula>
    </cfRule>
  </conditionalFormatting>
  <conditionalFormatting sqref="P3:AO3">
    <cfRule type="cellIs" dxfId="9223" priority="5324" operator="equal">
      <formula>"ח"</formula>
    </cfRule>
  </conditionalFormatting>
  <conditionalFormatting sqref="R3:AO4">
    <cfRule type="cellIs" dxfId="9222" priority="5103" operator="equal">
      <formula>"מיל"</formula>
    </cfRule>
    <cfRule type="cellIs" dxfId="9221" priority="5102" operator="equal">
      <formula>"מנוחה"</formula>
    </cfRule>
    <cfRule type="cellIs" dxfId="9220" priority="5096" operator="equal">
      <formula>"ל"</formula>
    </cfRule>
    <cfRule type="cellIs" dxfId="9219" priority="5106" operator="equal">
      <formula>"כ"</formula>
    </cfRule>
    <cfRule type="cellIs" dxfId="9218" priority="5097" operator="equal">
      <formula>"י"</formula>
    </cfRule>
    <cfRule type="cellIs" dxfId="9217" priority="5101" operator="equal">
      <formula>"מ"</formula>
    </cfRule>
    <cfRule type="cellIs" dxfId="9216" priority="5100" operator="equal">
      <formula>"ק"</formula>
    </cfRule>
    <cfRule type="cellIs" dxfId="9215" priority="5099" operator="equal">
      <formula>"כמ"</formula>
    </cfRule>
    <cfRule type="cellIs" dxfId="9214" priority="5098" operator="equal">
      <formula>"כמש"</formula>
    </cfRule>
    <cfRule type="cellIs" dxfId="9213" priority="5105" operator="equal">
      <formula>"כש"</formula>
    </cfRule>
  </conditionalFormatting>
  <conditionalFormatting sqref="T4:W4">
    <cfRule type="cellIs" dxfId="9212" priority="5126" operator="equal">
      <formula>"ח"</formula>
    </cfRule>
  </conditionalFormatting>
  <conditionalFormatting sqref="X4:AK4">
    <cfRule type="cellIs" dxfId="9211" priority="5368" operator="equal">
      <formula>"ח"</formula>
    </cfRule>
  </conditionalFormatting>
  <conditionalFormatting sqref="AG5:AJ5 AL5:AP5 D5:AC7 AF5:AF7 AD5:AE35 AG6:AP7 AG8:AL8 AN8:AP8 Z8:AF9 D8:Y35 AG9:AP9 Z10:AE10 AG10 AI10:AP10 Z11:AF16 AG11:AP18 Z17:AE17 Z18:AF28 AG19:AK19 AM19:AP19 AH20:AP20 AG21:AP22 AG23:AK23 AM23:AP23 AG24:AP26 AG27:AH27 AJ27:AP27 AG28:AP28 Z29:AE29 AG29:AH29 AJ29:AP29 AG30:AK30 AM30:AP30 Z30:AF35 AG31:AP35">
    <cfRule type="cellIs" dxfId="9210" priority="5170" operator="equal">
      <formula>"ח"</formula>
    </cfRule>
  </conditionalFormatting>
  <conditionalFormatting sqref="AL4:AO4">
    <cfRule type="cellIs" dxfId="9209" priority="5104" operator="equal">
      <formula>"ח"</formula>
    </cfRule>
  </conditionalFormatting>
  <conditionalFormatting sqref="AR4:AS35">
    <cfRule type="cellIs" dxfId="9208" priority="5187" operator="equal">
      <formula>"כמ"</formula>
    </cfRule>
    <cfRule type="cellIs" dxfId="9207" priority="5184" operator="equal">
      <formula>"ל"</formula>
    </cfRule>
    <cfRule type="cellIs" dxfId="9206" priority="5193" operator="equal">
      <formula>"כש"</formula>
    </cfRule>
    <cfRule type="cellIs" dxfId="9205" priority="5185" operator="equal">
      <formula>"י"</formula>
    </cfRule>
    <cfRule type="cellIs" dxfId="9204" priority="5186" operator="equal">
      <formula>"כמש"</formula>
    </cfRule>
    <cfRule type="cellIs" dxfId="9203" priority="5194" operator="equal">
      <formula>"כ"</formula>
    </cfRule>
    <cfRule type="cellIs" dxfId="9202" priority="5188" operator="equal">
      <formula>"ק"</formula>
    </cfRule>
    <cfRule type="cellIs" dxfId="9201" priority="5189" operator="equal">
      <formula>"מ"</formula>
    </cfRule>
    <cfRule type="cellIs" dxfId="9200" priority="5190" operator="equal">
      <formula>"מנוחה"</formula>
    </cfRule>
    <cfRule type="cellIs" dxfId="9199" priority="5191" operator="equal">
      <formula>"מיל"</formula>
    </cfRule>
  </conditionalFormatting>
  <conditionalFormatting sqref="AR18:AS35">
    <cfRule type="cellIs" dxfId="9198" priority="5181" operator="equal">
      <formula>"ח"</formula>
    </cfRule>
  </conditionalFormatting>
  <conditionalFormatting sqref="AT1 CC1 AR14:AS17">
    <cfRule type="cellIs" dxfId="9197" priority="5613" operator="equal">
      <formula>"ח"</formula>
    </cfRule>
  </conditionalFormatting>
  <conditionalFormatting sqref="AT1 CC1">
    <cfRule type="cellIs" dxfId="9196" priority="5615" operator="equal">
      <formula>"כ"</formula>
    </cfRule>
    <cfRule type="cellIs" dxfId="9195" priority="5609" operator="equal">
      <formula>"ק"</formula>
    </cfRule>
    <cfRule type="cellIs" dxfId="9194" priority="5608" operator="equal">
      <formula>"כמ"</formula>
    </cfRule>
    <cfRule type="cellIs" dxfId="9193" priority="5607" operator="equal">
      <formula>"כמש"</formula>
    </cfRule>
    <cfRule type="cellIs" dxfId="9192" priority="5605" operator="equal">
      <formula>"י"</formula>
    </cfRule>
    <cfRule type="cellIs" dxfId="9191" priority="5604" operator="equal">
      <formula>"ל"</formula>
    </cfRule>
    <cfRule type="cellIs" dxfId="9190" priority="5610" operator="equal">
      <formula>"מ"</formula>
    </cfRule>
    <cfRule type="cellIs" dxfId="9189" priority="5612" operator="equal">
      <formula>"מיל"</formula>
    </cfRule>
    <cfRule type="cellIs" dxfId="9188" priority="5614" operator="equal">
      <formula>"כש"</formula>
    </cfRule>
    <cfRule type="cellIs" dxfId="9187" priority="5611" operator="equal">
      <formula>"מנוחה"</formula>
    </cfRule>
  </conditionalFormatting>
  <conditionalFormatting sqref="AT5:AU35">
    <cfRule type="cellIs" dxfId="9186" priority="2057" operator="equal">
      <formula>"ח"</formula>
    </cfRule>
    <cfRule type="cellIs" dxfId="9185" priority="2056" operator="equal">
      <formula>"מיל"</formula>
    </cfRule>
    <cfRule type="cellIs" dxfId="9184" priority="2055" operator="equal">
      <formula>"מנוחה"</formula>
    </cfRule>
    <cfRule type="cellIs" dxfId="9183" priority="2054" operator="equal">
      <formula>"מ"</formula>
    </cfRule>
    <cfRule type="cellIs" dxfId="9182" priority="2053" operator="equal">
      <formula>"ק"</formula>
    </cfRule>
    <cfRule type="cellIs" dxfId="9181" priority="2052" operator="equal">
      <formula>"כמ"</formula>
    </cfRule>
    <cfRule type="cellIs" dxfId="9180" priority="2051" operator="equal">
      <formula>"כמש"</formula>
    </cfRule>
    <cfRule type="cellIs" dxfId="9179" priority="2050" operator="equal">
      <formula>"י"</formula>
    </cfRule>
    <cfRule type="cellIs" dxfId="9178" priority="2049" operator="equal">
      <formula>"ל"</formula>
    </cfRule>
    <cfRule type="cellIs" dxfId="9177" priority="2059" operator="equal">
      <formula>"כ"</formula>
    </cfRule>
    <cfRule type="cellIs" dxfId="9176" priority="2058" operator="equal">
      <formula>"כש"</formula>
    </cfRule>
  </conditionalFormatting>
  <conditionalFormatting sqref="AV5 AV9">
    <cfRule type="cellIs" dxfId="9175" priority="5253" operator="equal">
      <formula>"כמ"</formula>
    </cfRule>
    <cfRule type="cellIs" dxfId="9174" priority="5250" operator="equal">
      <formula>"ל"</formula>
    </cfRule>
    <cfRule type="cellIs" dxfId="9173" priority="5254" operator="equal">
      <formula>"ק"</formula>
    </cfRule>
    <cfRule type="cellIs" dxfId="9172" priority="5260" operator="equal">
      <formula>"כ"</formula>
    </cfRule>
    <cfRule type="cellIs" dxfId="9171" priority="5259" operator="equal">
      <formula>"כש"</formula>
    </cfRule>
    <cfRule type="cellIs" dxfId="9170" priority="5258" operator="equal">
      <formula>"ח"</formula>
    </cfRule>
    <cfRule type="cellIs" dxfId="9169" priority="5256" operator="equal">
      <formula>"מנוחה"</formula>
    </cfRule>
    <cfRule type="cellIs" dxfId="9168" priority="5255" operator="equal">
      <formula>"מ"</formula>
    </cfRule>
    <cfRule type="cellIs" dxfId="9167" priority="5251" operator="equal">
      <formula>"י"</formula>
    </cfRule>
    <cfRule type="cellIs" dxfId="9166" priority="5257" operator="equal">
      <formula>"מיל"</formula>
    </cfRule>
    <cfRule type="cellIs" dxfId="9165" priority="5252" operator="equal">
      <formula>"כמש"</formula>
    </cfRule>
  </conditionalFormatting>
  <conditionalFormatting sqref="AW5:AW35 AY5:AY35 BA5:BA35 BC5:BC35">
    <cfRule type="cellIs" dxfId="9164" priority="4389" operator="equal">
      <formula>"ח"</formula>
    </cfRule>
  </conditionalFormatting>
  <conditionalFormatting sqref="AW39:AW40 AY39:AY40 BA39:BA40 BC39:BC40 BE39:BE40 BG39:BG40 BI39:BI40 BK39:BK40 BM39:BM40 BO39:BO40 BQ39:BQ40 BS39:BS40 BU39:BU40 BW39:BW40 BY39:BY40 CA39:CB40">
    <cfRule type="cellIs" dxfId="9163" priority="5372" operator="greaterThan">
      <formula>$CE$39</formula>
    </cfRule>
    <cfRule type="cellIs" dxfId="9162" priority="5371" operator="lessThan">
      <formula>$CE$39</formula>
    </cfRule>
  </conditionalFormatting>
  <conditionalFormatting sqref="AW4:AY9">
    <cfRule type="cellIs" dxfId="9161" priority="4929" operator="equal">
      <formula>"כש"</formula>
    </cfRule>
    <cfRule type="cellIs" dxfId="9160" priority="4926" operator="equal">
      <formula>"מנוחה"</formula>
    </cfRule>
    <cfRule type="cellIs" dxfId="9159" priority="4925" operator="equal">
      <formula>"מ"</formula>
    </cfRule>
    <cfRule type="cellIs" dxfId="9158" priority="4924" operator="equal">
      <formula>"ק"</formula>
    </cfRule>
    <cfRule type="cellIs" dxfId="9157" priority="4923" operator="equal">
      <formula>"כמ"</formula>
    </cfRule>
    <cfRule type="cellIs" dxfId="9156" priority="4922" operator="equal">
      <formula>"כמש"</formula>
    </cfRule>
    <cfRule type="cellIs" dxfId="9155" priority="4920" operator="equal">
      <formula>"ל"</formula>
    </cfRule>
    <cfRule type="cellIs" dxfId="9154" priority="4927" operator="equal">
      <formula>"מיל"</formula>
    </cfRule>
    <cfRule type="cellIs" dxfId="9153" priority="4921" operator="equal">
      <formula>"י"</formula>
    </cfRule>
    <cfRule type="cellIs" dxfId="9152" priority="4930" operator="equal">
      <formula>"כ"</formula>
    </cfRule>
  </conditionalFormatting>
  <conditionalFormatting sqref="AW10:BD35">
    <cfRule type="cellIs" dxfId="9151" priority="1535" operator="equal">
      <formula>"מנוחה"</formula>
    </cfRule>
    <cfRule type="cellIs" dxfId="9150" priority="1530" operator="equal">
      <formula>"י"</formula>
    </cfRule>
    <cfRule type="cellIs" dxfId="9149" priority="1536" operator="equal">
      <formula>"מיל"</formula>
    </cfRule>
    <cfRule type="cellIs" dxfId="9148" priority="1529" operator="equal">
      <formula>"ל"</formula>
    </cfRule>
    <cfRule type="cellIs" dxfId="9147" priority="1533" operator="equal">
      <formula>"ק"</formula>
    </cfRule>
    <cfRule type="cellIs" dxfId="9146" priority="1532" operator="equal">
      <formula>"כמ"</formula>
    </cfRule>
    <cfRule type="cellIs" dxfId="9145" priority="1531" operator="equal">
      <formula>"כמש"</formula>
    </cfRule>
    <cfRule type="cellIs" dxfId="9144" priority="1537" operator="equal">
      <formula>"כש"</formula>
    </cfRule>
    <cfRule type="cellIs" dxfId="9143" priority="1534" operator="equal">
      <formula>"מ"</formula>
    </cfRule>
    <cfRule type="cellIs" dxfId="9142" priority="1538" operator="equal">
      <formula>"כ"</formula>
    </cfRule>
  </conditionalFormatting>
  <conditionalFormatting sqref="AW2:CB2 AW3:AZ3 BE3:BO3 AW4:AY4 BE4 BG4 BI4 BK4:BM4 BO4 BS4:BU4 BW4 BY4 CA4">
    <cfRule type="cellIs" dxfId="9141" priority="5291" operator="equal">
      <formula>"ח"</formula>
    </cfRule>
  </conditionalFormatting>
  <conditionalFormatting sqref="AW2:CB2 AW3:AZ3 BE3:BO3 BK4:BM4 BO4 BS4:BU4 BW4 BY4 CA4">
    <cfRule type="cellIs" dxfId="9140" priority="5290" operator="equal">
      <formula>"מיל"</formula>
    </cfRule>
    <cfRule type="cellIs" dxfId="9139" priority="5289" operator="equal">
      <formula>"מנוחה"</formula>
    </cfRule>
    <cfRule type="cellIs" dxfId="9138" priority="5286" operator="equal">
      <formula>"כמ"</formula>
    </cfRule>
    <cfRule type="cellIs" dxfId="9137" priority="5285" operator="equal">
      <formula>"כמש"</formula>
    </cfRule>
    <cfRule type="cellIs" dxfId="9136" priority="5284" operator="equal">
      <formula>"י"</formula>
    </cfRule>
    <cfRule type="cellIs" dxfId="9135" priority="5283" operator="equal">
      <formula>"ל"</formula>
    </cfRule>
    <cfRule type="cellIs" dxfId="9134" priority="5287" operator="equal">
      <formula>"ק"</formula>
    </cfRule>
    <cfRule type="cellIs" dxfId="9133" priority="5293" operator="equal">
      <formula>"כ"</formula>
    </cfRule>
    <cfRule type="cellIs" dxfId="9132" priority="5292" operator="equal">
      <formula>"כש"</formula>
    </cfRule>
    <cfRule type="cellIs" dxfId="9131" priority="5288" operator="equal">
      <formula>"מ"</formula>
    </cfRule>
  </conditionalFormatting>
  <conditionalFormatting sqref="AX5:AX35">
    <cfRule type="cellIs" dxfId="9130" priority="4334" operator="equal">
      <formula>"ח"</formula>
    </cfRule>
  </conditionalFormatting>
  <conditionalFormatting sqref="AZ5:AZ35">
    <cfRule type="cellIs" dxfId="9129" priority="1550" operator="equal">
      <formula>"ח"</formula>
    </cfRule>
  </conditionalFormatting>
  <conditionalFormatting sqref="AZ5:BB9">
    <cfRule type="cellIs" dxfId="9128" priority="1925" operator="equal">
      <formula>"מיל"</formula>
    </cfRule>
    <cfRule type="cellIs" dxfId="9127" priority="1926" operator="equal">
      <formula>"כש"</formula>
    </cfRule>
    <cfRule type="cellIs" dxfId="9126" priority="1920" operator="equal">
      <formula>"כמש"</formula>
    </cfRule>
    <cfRule type="cellIs" dxfId="9125" priority="1927" operator="equal">
      <formula>"כ"</formula>
    </cfRule>
    <cfRule type="cellIs" dxfId="9124" priority="1918" operator="equal">
      <formula>"ל"</formula>
    </cfRule>
    <cfRule type="cellIs" dxfId="9123" priority="1919" operator="equal">
      <formula>"י"</formula>
    </cfRule>
    <cfRule type="cellIs" dxfId="9122" priority="1921" operator="equal">
      <formula>"כמ"</formula>
    </cfRule>
    <cfRule type="cellIs" dxfId="9121" priority="1922" operator="equal">
      <formula>"ק"</formula>
    </cfRule>
    <cfRule type="cellIs" dxfId="9120" priority="1923" operator="equal">
      <formula>"מ"</formula>
    </cfRule>
    <cfRule type="cellIs" dxfId="9119" priority="1924" operator="equal">
      <formula>"מנוחה"</formula>
    </cfRule>
  </conditionalFormatting>
  <conditionalFormatting sqref="BB5:BB35">
    <cfRule type="cellIs" dxfId="9118" priority="1539" operator="equal">
      <formula>"ח"</formula>
    </cfRule>
  </conditionalFormatting>
  <conditionalFormatting sqref="BC3:BC4">
    <cfRule type="cellIs" dxfId="9117" priority="5269" operator="equal">
      <formula>"ח"</formula>
    </cfRule>
  </conditionalFormatting>
  <conditionalFormatting sqref="BC3:BC9">
    <cfRule type="cellIs" dxfId="9116" priority="4976" operator="equal">
      <formula>"י"</formula>
    </cfRule>
    <cfRule type="cellIs" dxfId="9115" priority="4975" operator="equal">
      <formula>"ל"</formula>
    </cfRule>
    <cfRule type="cellIs" dxfId="9114" priority="4984" operator="equal">
      <formula>"כש"</formula>
    </cfRule>
    <cfRule type="cellIs" dxfId="9113" priority="4982" operator="equal">
      <formula>"מיל"</formula>
    </cfRule>
    <cfRule type="cellIs" dxfId="9112" priority="4981" operator="equal">
      <formula>"מנוחה"</formula>
    </cfRule>
    <cfRule type="cellIs" dxfId="9111" priority="4980" operator="equal">
      <formula>"מ"</formula>
    </cfRule>
    <cfRule type="cellIs" dxfId="9110" priority="4979" operator="equal">
      <formula>"ק"</formula>
    </cfRule>
    <cfRule type="cellIs" dxfId="9109" priority="4978" operator="equal">
      <formula>"כמ"</formula>
    </cfRule>
    <cfRule type="cellIs" dxfId="9108" priority="4985" operator="equal">
      <formula>"כ"</formula>
    </cfRule>
    <cfRule type="cellIs" dxfId="9107" priority="4977" operator="equal">
      <formula>"כמש"</formula>
    </cfRule>
  </conditionalFormatting>
  <conditionalFormatting sqref="BD5:BD9">
    <cfRule type="cellIs" dxfId="9106" priority="1908" operator="equal">
      <formula>"י"</formula>
    </cfRule>
    <cfRule type="cellIs" dxfId="9105" priority="1909" operator="equal">
      <formula>"כמש"</formula>
    </cfRule>
    <cfRule type="cellIs" dxfId="9104" priority="1910" operator="equal">
      <formula>"כמ"</formula>
    </cfRule>
    <cfRule type="cellIs" dxfId="9103" priority="1911" operator="equal">
      <formula>"ק"</formula>
    </cfRule>
    <cfRule type="cellIs" dxfId="9102" priority="1912" operator="equal">
      <formula>"מ"</formula>
    </cfRule>
    <cfRule type="cellIs" dxfId="9101" priority="1913" operator="equal">
      <formula>"מנוחה"</formula>
    </cfRule>
    <cfRule type="cellIs" dxfId="9100" priority="1914" operator="equal">
      <formula>"מיל"</formula>
    </cfRule>
    <cfRule type="cellIs" dxfId="9099" priority="1915" operator="equal">
      <formula>"כש"</formula>
    </cfRule>
    <cfRule type="cellIs" dxfId="9098" priority="1916" operator="equal">
      <formula>"כ"</formula>
    </cfRule>
    <cfRule type="cellIs" dxfId="9097" priority="1907" operator="equal">
      <formula>"ל"</formula>
    </cfRule>
  </conditionalFormatting>
  <conditionalFormatting sqref="BD5:BD35">
    <cfRule type="cellIs" dxfId="9096" priority="1528" operator="equal">
      <formula>"ח"</formula>
    </cfRule>
  </conditionalFormatting>
  <conditionalFormatting sqref="BE5:BE35">
    <cfRule type="cellIs" dxfId="9095" priority="3696" operator="equal">
      <formula>"ח"</formula>
    </cfRule>
  </conditionalFormatting>
  <conditionalFormatting sqref="BE11:BL35">
    <cfRule type="cellIs" dxfId="9094" priority="1082" operator="equal">
      <formula>"כש"</formula>
    </cfRule>
    <cfRule type="cellIs" dxfId="9093" priority="1083" operator="equal">
      <formula>"כ"</formula>
    </cfRule>
  </conditionalFormatting>
  <conditionalFormatting sqref="BE12:BL35">
    <cfRule type="cellIs" dxfId="9092" priority="1078" operator="equal">
      <formula>"ק"</formula>
    </cfRule>
    <cfRule type="cellIs" dxfId="9091" priority="1077" operator="equal">
      <formula>"כמ"</formula>
    </cfRule>
    <cfRule type="cellIs" dxfId="9090" priority="1076" operator="equal">
      <formula>"כמש"</formula>
    </cfRule>
    <cfRule type="cellIs" dxfId="9089" priority="1075" operator="equal">
      <formula>"י"</formula>
    </cfRule>
    <cfRule type="cellIs" dxfId="9088" priority="1074" operator="equal">
      <formula>"ל"</formula>
    </cfRule>
    <cfRule type="cellIs" dxfId="9087" priority="1079" operator="equal">
      <formula>"מ"</formula>
    </cfRule>
    <cfRule type="cellIs" dxfId="9086" priority="1080" operator="equal">
      <formula>"מנוחה"</formula>
    </cfRule>
    <cfRule type="cellIs" dxfId="9085" priority="1081" operator="equal">
      <formula>"מיל"</formula>
    </cfRule>
  </conditionalFormatting>
  <conditionalFormatting sqref="BF5:BF7">
    <cfRule type="cellIs" dxfId="9084" priority="2044" operator="equal">
      <formula>"מ"</formula>
    </cfRule>
    <cfRule type="cellIs" dxfId="9083" priority="2045" operator="equal">
      <formula>"מנוחה"</formula>
    </cfRule>
    <cfRule type="cellIs" dxfId="9082" priority="2046" operator="equal">
      <formula>"מיל"</formula>
    </cfRule>
    <cfRule type="cellIs" dxfId="9081" priority="2047" operator="equal">
      <formula>"כש"</formula>
    </cfRule>
    <cfRule type="cellIs" dxfId="9080" priority="2048" operator="equal">
      <formula>"כ"</formula>
    </cfRule>
    <cfRule type="cellIs" dxfId="9079" priority="2039" operator="equal">
      <formula>"ל"</formula>
    </cfRule>
    <cfRule type="cellIs" dxfId="9078" priority="2040" operator="equal">
      <formula>"י"</formula>
    </cfRule>
    <cfRule type="cellIs" dxfId="9077" priority="2041" operator="equal">
      <formula>"כמש"</formula>
    </cfRule>
    <cfRule type="cellIs" dxfId="9076" priority="2042" operator="equal">
      <formula>"כמ"</formula>
    </cfRule>
    <cfRule type="cellIs" dxfId="9075" priority="2043" operator="equal">
      <formula>"ק"</formula>
    </cfRule>
  </conditionalFormatting>
  <conditionalFormatting sqref="BF5:BF35">
    <cfRule type="cellIs" dxfId="9074" priority="1136" operator="equal">
      <formula>"ח"</formula>
    </cfRule>
  </conditionalFormatting>
  <conditionalFormatting sqref="BF8:BG10">
    <cfRule type="cellIs" dxfId="9073" priority="1515" operator="equal">
      <formula>"כ"</formula>
    </cfRule>
    <cfRule type="cellIs" dxfId="9072" priority="1514" operator="equal">
      <formula>"כש"</formula>
    </cfRule>
    <cfRule type="cellIs" dxfId="9071" priority="1513" operator="equal">
      <formula>"מיל"</formula>
    </cfRule>
    <cfRule type="cellIs" dxfId="9070" priority="1512" operator="equal">
      <formula>"מנוחה"</formula>
    </cfRule>
    <cfRule type="cellIs" dxfId="9069" priority="1511" operator="equal">
      <formula>"מ"</formula>
    </cfRule>
    <cfRule type="cellIs" dxfId="9068" priority="1510" operator="equal">
      <formula>"ק"</formula>
    </cfRule>
    <cfRule type="cellIs" dxfId="9067" priority="1509" operator="equal">
      <formula>"כמ"</formula>
    </cfRule>
    <cfRule type="cellIs" dxfId="9066" priority="1508" operator="equal">
      <formula>"כמש"</formula>
    </cfRule>
    <cfRule type="cellIs" dxfId="9065" priority="1507" operator="equal">
      <formula>"י"</formula>
    </cfRule>
    <cfRule type="cellIs" dxfId="9064" priority="1506" operator="equal">
      <formula>"ל"</formula>
    </cfRule>
  </conditionalFormatting>
  <conditionalFormatting sqref="BG4:BG7 BE4:BE10">
    <cfRule type="cellIs" dxfId="9063" priority="4282" operator="equal">
      <formula>"ל"</formula>
    </cfRule>
    <cfRule type="cellIs" dxfId="9062" priority="4291" operator="equal">
      <formula>"כש"</formula>
    </cfRule>
    <cfRule type="cellIs" dxfId="9061" priority="4292" operator="equal">
      <formula>"כ"</formula>
    </cfRule>
    <cfRule type="cellIs" dxfId="9060" priority="4289" operator="equal">
      <formula>"מיל"</formula>
    </cfRule>
    <cfRule type="cellIs" dxfId="9059" priority="4288" operator="equal">
      <formula>"מנוחה"</formula>
    </cfRule>
    <cfRule type="cellIs" dxfId="9058" priority="4287" operator="equal">
      <formula>"מ"</formula>
    </cfRule>
    <cfRule type="cellIs" dxfId="9057" priority="4286" operator="equal">
      <formula>"ק"</formula>
    </cfRule>
    <cfRule type="cellIs" dxfId="9056" priority="4285" operator="equal">
      <formula>"כמ"</formula>
    </cfRule>
    <cfRule type="cellIs" dxfId="9055" priority="4284" operator="equal">
      <formula>"כמש"</formula>
    </cfRule>
    <cfRule type="cellIs" dxfId="9054" priority="4283" operator="equal">
      <formula>"י"</formula>
    </cfRule>
  </conditionalFormatting>
  <conditionalFormatting sqref="BG5:BG35 BI5:BI35 BK5:BK35">
    <cfRule type="cellIs" dxfId="9053" priority="1137" operator="equal">
      <formula>"ח"</formula>
    </cfRule>
  </conditionalFormatting>
  <conditionalFormatting sqref="BH5:BH10">
    <cfRule type="cellIs" dxfId="9052" priority="1486" operator="equal">
      <formula>"ל"</formula>
    </cfRule>
    <cfRule type="cellIs" dxfId="9051" priority="1495" operator="equal">
      <formula>"כ"</formula>
    </cfRule>
    <cfRule type="cellIs" dxfId="9050" priority="1494" operator="equal">
      <formula>"כש"</formula>
    </cfRule>
    <cfRule type="cellIs" dxfId="9049" priority="1493" operator="equal">
      <formula>"מיל"</formula>
    </cfRule>
    <cfRule type="cellIs" dxfId="9048" priority="1492" operator="equal">
      <formula>"מנוחה"</formula>
    </cfRule>
    <cfRule type="cellIs" dxfId="9047" priority="1491" operator="equal">
      <formula>"מ"</formula>
    </cfRule>
    <cfRule type="cellIs" dxfId="9046" priority="1490" operator="equal">
      <formula>"ק"</formula>
    </cfRule>
    <cfRule type="cellIs" dxfId="9045" priority="1489" operator="equal">
      <formula>"כמ"</formula>
    </cfRule>
    <cfRule type="cellIs" dxfId="9044" priority="1488" operator="equal">
      <formula>"כמש"</formula>
    </cfRule>
    <cfRule type="cellIs" dxfId="9043" priority="1487" operator="equal">
      <formula>"י"</formula>
    </cfRule>
  </conditionalFormatting>
  <conditionalFormatting sqref="BH5:BH35">
    <cfRule type="cellIs" dxfId="9042" priority="1095" operator="equal">
      <formula>"ח"</formula>
    </cfRule>
  </conditionalFormatting>
  <conditionalFormatting sqref="BI4:BI10">
    <cfRule type="cellIs" dxfId="9041" priority="1500" operator="equal">
      <formula>"ק"</formula>
    </cfRule>
    <cfRule type="cellIs" dxfId="9040" priority="1499" operator="equal">
      <formula>"כמ"</formula>
    </cfRule>
    <cfRule type="cellIs" dxfId="9039" priority="1497" operator="equal">
      <formula>"י"</formula>
    </cfRule>
    <cfRule type="cellIs" dxfId="9038" priority="1498" operator="equal">
      <formula>"כמש"</formula>
    </cfRule>
    <cfRule type="cellIs" dxfId="9037" priority="1496" operator="equal">
      <formula>"ל"</formula>
    </cfRule>
    <cfRule type="cellIs" dxfId="9036" priority="1501" operator="equal">
      <formula>"מ"</formula>
    </cfRule>
    <cfRule type="cellIs" dxfId="9035" priority="1502" operator="equal">
      <formula>"מנוחה"</formula>
    </cfRule>
    <cfRule type="cellIs" dxfId="9034" priority="1503" operator="equal">
      <formula>"מיל"</formula>
    </cfRule>
    <cfRule type="cellIs" dxfId="9033" priority="1504" operator="equal">
      <formula>"כש"</formula>
    </cfRule>
    <cfRule type="cellIs" dxfId="9032" priority="1505" operator="equal">
      <formula>"כ"</formula>
    </cfRule>
  </conditionalFormatting>
  <conditionalFormatting sqref="BJ5:BJ35">
    <cfRule type="cellIs" dxfId="9031" priority="1084" operator="equal">
      <formula>"ח"</formula>
    </cfRule>
  </conditionalFormatting>
  <conditionalFormatting sqref="BJ5:BL10">
    <cfRule type="cellIs" dxfId="9030" priority="1468" operator="equal">
      <formula>"ק"</formula>
    </cfRule>
    <cfRule type="cellIs" dxfId="9029" priority="1465" operator="equal">
      <formula>"י"</formula>
    </cfRule>
    <cfRule type="cellIs" dxfId="9028" priority="1466" operator="equal">
      <formula>"כמש"</formula>
    </cfRule>
    <cfRule type="cellIs" dxfId="9027" priority="1472" operator="equal">
      <formula>"כש"</formula>
    </cfRule>
    <cfRule type="cellIs" dxfId="9026" priority="1467" operator="equal">
      <formula>"כמ"</formula>
    </cfRule>
    <cfRule type="cellIs" dxfId="9025" priority="1473" operator="equal">
      <formula>"כ"</formula>
    </cfRule>
    <cfRule type="cellIs" dxfId="9024" priority="1471" operator="equal">
      <formula>"מיל"</formula>
    </cfRule>
    <cfRule type="cellIs" dxfId="9023" priority="1470" operator="equal">
      <formula>"מנוחה"</formula>
    </cfRule>
    <cfRule type="cellIs" dxfId="9022" priority="1469" operator="equal">
      <formula>"מ"</formula>
    </cfRule>
    <cfRule type="cellIs" dxfId="9021" priority="1464" operator="equal">
      <formula>"ל"</formula>
    </cfRule>
  </conditionalFormatting>
  <conditionalFormatting sqref="BL5:BL35">
    <cfRule type="cellIs" dxfId="9020" priority="1073" operator="equal">
      <formula>"ח"</formula>
    </cfRule>
  </conditionalFormatting>
  <conditionalFormatting sqref="BM5:BM7">
    <cfRule type="cellIs" dxfId="9019" priority="3597" operator="equal">
      <formula>"ח"</formula>
    </cfRule>
  </conditionalFormatting>
  <conditionalFormatting sqref="BM9:BM11">
    <cfRule type="cellIs" dxfId="9018" priority="3498" operator="equal">
      <formula>"ח"</formula>
    </cfRule>
  </conditionalFormatting>
  <conditionalFormatting sqref="BM13:BM15">
    <cfRule type="cellIs" dxfId="9017" priority="3399" operator="equal">
      <formula>"ח"</formula>
    </cfRule>
  </conditionalFormatting>
  <conditionalFormatting sqref="BM17:BM19">
    <cfRule type="cellIs" dxfId="9016" priority="3300" operator="equal">
      <formula>"ח"</formula>
    </cfRule>
  </conditionalFormatting>
  <conditionalFormatting sqref="BM21:BM23">
    <cfRule type="cellIs" dxfId="9015" priority="3201" operator="equal">
      <formula>"ח"</formula>
    </cfRule>
  </conditionalFormatting>
  <conditionalFormatting sqref="BM25:BM27">
    <cfRule type="cellIs" dxfId="9014" priority="3102" operator="equal">
      <formula>"ח"</formula>
    </cfRule>
  </conditionalFormatting>
  <conditionalFormatting sqref="BM29:BM31">
    <cfRule type="cellIs" dxfId="9013" priority="3003" operator="equal">
      <formula>"ח"</formula>
    </cfRule>
  </conditionalFormatting>
  <conditionalFormatting sqref="BM33:BM35">
    <cfRule type="cellIs" dxfId="9012" priority="2904" operator="equal">
      <formula>"ח"</formula>
    </cfRule>
  </conditionalFormatting>
  <conditionalFormatting sqref="BM5:BP6">
    <cfRule type="cellIs" dxfId="9011" priority="1037" operator="equal">
      <formula>"מנוחה"</formula>
    </cfRule>
    <cfRule type="cellIs" dxfId="9010" priority="1040" operator="equal">
      <formula>"כ"</formula>
    </cfRule>
    <cfRule type="cellIs" dxfId="9009" priority="1039" operator="equal">
      <formula>"כש"</formula>
    </cfRule>
    <cfRule type="cellIs" dxfId="9008" priority="1038" operator="equal">
      <formula>"מיל"</formula>
    </cfRule>
    <cfRule type="cellIs" dxfId="9007" priority="1036" operator="equal">
      <formula>"מ"</formula>
    </cfRule>
    <cfRule type="cellIs" dxfId="9006" priority="1035" operator="equal">
      <formula>"ק"</formula>
    </cfRule>
    <cfRule type="cellIs" dxfId="9005" priority="1034" operator="equal">
      <formula>"כמ"</formula>
    </cfRule>
    <cfRule type="cellIs" dxfId="9004" priority="1033" operator="equal">
      <formula>"כמש"</formula>
    </cfRule>
    <cfRule type="cellIs" dxfId="9003" priority="1032" operator="equal">
      <formula>"י"</formula>
    </cfRule>
    <cfRule type="cellIs" dxfId="9002" priority="1031" operator="equal">
      <formula>"ל"</formula>
    </cfRule>
  </conditionalFormatting>
  <conditionalFormatting sqref="BM7:BT35">
    <cfRule type="cellIs" dxfId="9001" priority="563" operator="equal">
      <formula>"כ"</formula>
    </cfRule>
    <cfRule type="cellIs" dxfId="9000" priority="562" operator="equal">
      <formula>"כש"</formula>
    </cfRule>
  </conditionalFormatting>
  <conditionalFormatting sqref="BM9:BT10">
    <cfRule type="cellIs" dxfId="8999" priority="949" operator="equal">
      <formula>"מ"</formula>
    </cfRule>
    <cfRule type="cellIs" dxfId="8998" priority="950" operator="equal">
      <formula>"מנוחה"</formula>
    </cfRule>
    <cfRule type="cellIs" dxfId="8997" priority="946" operator="equal">
      <formula>"כמש"</formula>
    </cfRule>
    <cfRule type="cellIs" dxfId="8996" priority="951" operator="equal">
      <formula>"מיל"</formula>
    </cfRule>
    <cfRule type="cellIs" dxfId="8995" priority="947" operator="equal">
      <formula>"כמ"</formula>
    </cfRule>
    <cfRule type="cellIs" dxfId="8994" priority="945" operator="equal">
      <formula>"י"</formula>
    </cfRule>
    <cfRule type="cellIs" dxfId="8993" priority="944" operator="equal">
      <formula>"ל"</formula>
    </cfRule>
    <cfRule type="cellIs" dxfId="8992" priority="948" operator="equal">
      <formula>"ק"</formula>
    </cfRule>
  </conditionalFormatting>
  <conditionalFormatting sqref="BM13:BT14">
    <cfRule type="cellIs" dxfId="8991" priority="882" operator="equal">
      <formula>"כמ"</formula>
    </cfRule>
    <cfRule type="cellIs" dxfId="8990" priority="883" operator="equal">
      <formula>"ק"</formula>
    </cfRule>
    <cfRule type="cellIs" dxfId="8989" priority="886" operator="equal">
      <formula>"מיל"</formula>
    </cfRule>
    <cfRule type="cellIs" dxfId="8988" priority="884" operator="equal">
      <formula>"מ"</formula>
    </cfRule>
    <cfRule type="cellIs" dxfId="8987" priority="879" operator="equal">
      <formula>"ל"</formula>
    </cfRule>
    <cfRule type="cellIs" dxfId="8986" priority="880" operator="equal">
      <formula>"י"</formula>
    </cfRule>
    <cfRule type="cellIs" dxfId="8985" priority="881" operator="equal">
      <formula>"כמש"</formula>
    </cfRule>
    <cfRule type="cellIs" dxfId="8984" priority="885" operator="equal">
      <formula>"מנוחה"</formula>
    </cfRule>
  </conditionalFormatting>
  <conditionalFormatting sqref="BM17:BT18">
    <cfRule type="cellIs" dxfId="8983" priority="821" operator="equal">
      <formula>"מיל"</formula>
    </cfRule>
    <cfRule type="cellIs" dxfId="8982" priority="816" operator="equal">
      <formula>"כמש"</formula>
    </cfRule>
    <cfRule type="cellIs" dxfId="8981" priority="815" operator="equal">
      <formula>"י"</formula>
    </cfRule>
    <cfRule type="cellIs" dxfId="8980" priority="818" operator="equal">
      <formula>"ק"</formula>
    </cfRule>
    <cfRule type="cellIs" dxfId="8979" priority="819" operator="equal">
      <formula>"מ"</formula>
    </cfRule>
    <cfRule type="cellIs" dxfId="8978" priority="820" operator="equal">
      <formula>"מנוחה"</formula>
    </cfRule>
    <cfRule type="cellIs" dxfId="8977" priority="817" operator="equal">
      <formula>"כמ"</formula>
    </cfRule>
    <cfRule type="cellIs" dxfId="8976" priority="814" operator="equal">
      <formula>"ל"</formula>
    </cfRule>
  </conditionalFormatting>
  <conditionalFormatting sqref="BM21:BT22">
    <cfRule type="cellIs" dxfId="8975" priority="756" operator="equal">
      <formula>"מיל"</formula>
    </cfRule>
    <cfRule type="cellIs" dxfId="8974" priority="755" operator="equal">
      <formula>"מנוחה"</formula>
    </cfRule>
    <cfRule type="cellIs" dxfId="8973" priority="754" operator="equal">
      <formula>"מ"</formula>
    </cfRule>
    <cfRule type="cellIs" dxfId="8972" priority="753" operator="equal">
      <formula>"ק"</formula>
    </cfRule>
    <cfRule type="cellIs" dxfId="8971" priority="752" operator="equal">
      <formula>"כמ"</formula>
    </cfRule>
    <cfRule type="cellIs" dxfId="8970" priority="751" operator="equal">
      <formula>"כמש"</formula>
    </cfRule>
    <cfRule type="cellIs" dxfId="8969" priority="749" operator="equal">
      <formula>"ל"</formula>
    </cfRule>
    <cfRule type="cellIs" dxfId="8968" priority="750" operator="equal">
      <formula>"י"</formula>
    </cfRule>
  </conditionalFormatting>
  <conditionalFormatting sqref="BM25:BT26">
    <cfRule type="cellIs" dxfId="8967" priority="689" operator="equal">
      <formula>"מ"</formula>
    </cfRule>
    <cfRule type="cellIs" dxfId="8966" priority="691" operator="equal">
      <formula>"מיל"</formula>
    </cfRule>
    <cfRule type="cellIs" dxfId="8965" priority="690" operator="equal">
      <formula>"מנוחה"</formula>
    </cfRule>
    <cfRule type="cellIs" dxfId="8964" priority="686" operator="equal">
      <formula>"כמש"</formula>
    </cfRule>
    <cfRule type="cellIs" dxfId="8963" priority="685" operator="equal">
      <formula>"י"</formula>
    </cfRule>
    <cfRule type="cellIs" dxfId="8962" priority="684" operator="equal">
      <formula>"ל"</formula>
    </cfRule>
    <cfRule type="cellIs" dxfId="8961" priority="688" operator="equal">
      <formula>"ק"</formula>
    </cfRule>
    <cfRule type="cellIs" dxfId="8960" priority="687" operator="equal">
      <formula>"כמ"</formula>
    </cfRule>
  </conditionalFormatting>
  <conditionalFormatting sqref="BM29:BT30">
    <cfRule type="cellIs" dxfId="8959" priority="620" operator="equal">
      <formula>"י"</formula>
    </cfRule>
    <cfRule type="cellIs" dxfId="8958" priority="619" operator="equal">
      <formula>"ל"</formula>
    </cfRule>
    <cfRule type="cellIs" dxfId="8957" priority="626" operator="equal">
      <formula>"מיל"</formula>
    </cfRule>
    <cfRule type="cellIs" dxfId="8956" priority="625" operator="equal">
      <formula>"מנוחה"</formula>
    </cfRule>
    <cfRule type="cellIs" dxfId="8955" priority="624" operator="equal">
      <formula>"מ"</formula>
    </cfRule>
    <cfRule type="cellIs" dxfId="8954" priority="623" operator="equal">
      <formula>"ק"</formula>
    </cfRule>
    <cfRule type="cellIs" dxfId="8953" priority="622" operator="equal">
      <formula>"כמ"</formula>
    </cfRule>
    <cfRule type="cellIs" dxfId="8952" priority="621" operator="equal">
      <formula>"כמש"</formula>
    </cfRule>
  </conditionalFormatting>
  <conditionalFormatting sqref="BM32:BT32 BM8:BT8 BM12:BT12 BM16:BT16 BM20:BT20 BM24:BT24 BM28:BT28">
    <cfRule type="cellIs" dxfId="8951" priority="5425" operator="equal">
      <formula>"ח"</formula>
    </cfRule>
  </conditionalFormatting>
  <conditionalFormatting sqref="BM33:BT34">
    <cfRule type="cellIs" dxfId="8950" priority="561" operator="equal">
      <formula>"מיל"</formula>
    </cfRule>
    <cfRule type="cellIs" dxfId="8949" priority="560" operator="equal">
      <formula>"מנוחה"</formula>
    </cfRule>
    <cfRule type="cellIs" dxfId="8948" priority="558" operator="equal">
      <formula>"ק"</formula>
    </cfRule>
    <cfRule type="cellIs" dxfId="8947" priority="556" operator="equal">
      <formula>"כמש"</formula>
    </cfRule>
    <cfRule type="cellIs" dxfId="8946" priority="555" operator="equal">
      <formula>"י"</formula>
    </cfRule>
    <cfRule type="cellIs" dxfId="8945" priority="559" operator="equal">
      <formula>"מ"</formula>
    </cfRule>
    <cfRule type="cellIs" dxfId="8944" priority="557" operator="equal">
      <formula>"כמ"</formula>
    </cfRule>
    <cfRule type="cellIs" dxfId="8943" priority="554" operator="equal">
      <formula>"ל"</formula>
    </cfRule>
  </conditionalFormatting>
  <conditionalFormatting sqref="BN5:BN7">
    <cfRule type="cellIs" dxfId="8942" priority="1071" operator="equal">
      <formula>"ח"</formula>
    </cfRule>
  </conditionalFormatting>
  <conditionalFormatting sqref="BN9:BN11">
    <cfRule type="cellIs" dxfId="8941" priority="1006" operator="equal">
      <formula>"ח"</formula>
    </cfRule>
  </conditionalFormatting>
  <conditionalFormatting sqref="BN13:BN15">
    <cfRule type="cellIs" dxfId="8940" priority="941" operator="equal">
      <formula>"ח"</formula>
    </cfRule>
  </conditionalFormatting>
  <conditionalFormatting sqref="BN17:BN19">
    <cfRule type="cellIs" dxfId="8939" priority="876" operator="equal">
      <formula>"ח"</formula>
    </cfRule>
  </conditionalFormatting>
  <conditionalFormatting sqref="BN21:BN23">
    <cfRule type="cellIs" dxfId="8938" priority="811" operator="equal">
      <formula>"ח"</formula>
    </cfRule>
  </conditionalFormatting>
  <conditionalFormatting sqref="BN25:BN27">
    <cfRule type="cellIs" dxfId="8937" priority="746" operator="equal">
      <formula>"ח"</formula>
    </cfRule>
  </conditionalFormatting>
  <conditionalFormatting sqref="BN29:BN35">
    <cfRule type="cellIs" dxfId="8936" priority="616" operator="equal">
      <formula>"ח"</formula>
    </cfRule>
  </conditionalFormatting>
  <conditionalFormatting sqref="BO5:BO7 BQ5:BQ7 BS5:BS7">
    <cfRule type="cellIs" dxfId="8935" priority="1072" operator="equal">
      <formula>"ח"</formula>
    </cfRule>
  </conditionalFormatting>
  <conditionalFormatting sqref="BO9:BO11 BQ9:BQ11 BS9:BS11">
    <cfRule type="cellIs" dxfId="8934" priority="1007" operator="equal">
      <formula>"ח"</formula>
    </cfRule>
  </conditionalFormatting>
  <conditionalFormatting sqref="BO13:BO15 BQ13:BQ15 BS13:BS15">
    <cfRule type="cellIs" dxfId="8933" priority="942" operator="equal">
      <formula>"ח"</formula>
    </cfRule>
  </conditionalFormatting>
  <conditionalFormatting sqref="BO17:BO19 BQ17:BQ19 BS17:BS19">
    <cfRule type="cellIs" dxfId="8932" priority="877" operator="equal">
      <formula>"ח"</formula>
    </cfRule>
  </conditionalFormatting>
  <conditionalFormatting sqref="BO21:BO23 BQ21:BQ23 BS21:BS23">
    <cfRule type="cellIs" dxfId="8931" priority="812" operator="equal">
      <formula>"ח"</formula>
    </cfRule>
  </conditionalFormatting>
  <conditionalFormatting sqref="BO25:BO27 BQ25:BQ27 BS25:BS27">
    <cfRule type="cellIs" dxfId="8930" priority="747" operator="equal">
      <formula>"ח"</formula>
    </cfRule>
  </conditionalFormatting>
  <conditionalFormatting sqref="BO29:BO31 BQ29:BQ31 BS29:BS31">
    <cfRule type="cellIs" dxfId="8929" priority="682" operator="equal">
      <formula>"ח"</formula>
    </cfRule>
  </conditionalFormatting>
  <conditionalFormatting sqref="BO33:BO35 BQ33:BQ35 BS33:BS35">
    <cfRule type="cellIs" dxfId="8928" priority="617" operator="equal">
      <formula>"ח"</formula>
    </cfRule>
  </conditionalFormatting>
  <conditionalFormatting sqref="BP5:BP7">
    <cfRule type="cellIs" dxfId="8927" priority="1030" operator="equal">
      <formula>"ח"</formula>
    </cfRule>
  </conditionalFormatting>
  <conditionalFormatting sqref="BP9:BP11">
    <cfRule type="cellIs" dxfId="8926" priority="965" operator="equal">
      <formula>"ח"</formula>
    </cfRule>
  </conditionalFormatting>
  <conditionalFormatting sqref="BP13:BP15">
    <cfRule type="cellIs" dxfId="8925" priority="900" operator="equal">
      <formula>"ח"</formula>
    </cfRule>
  </conditionalFormatting>
  <conditionalFormatting sqref="BP17:BP19">
    <cfRule type="cellIs" dxfId="8924" priority="835" operator="equal">
      <formula>"ח"</formula>
    </cfRule>
  </conditionalFormatting>
  <conditionalFormatting sqref="BP21:BP23">
    <cfRule type="cellIs" dxfId="8923" priority="770" operator="equal">
      <formula>"ח"</formula>
    </cfRule>
  </conditionalFormatting>
  <conditionalFormatting sqref="BP25:BP27">
    <cfRule type="cellIs" dxfId="8922" priority="705" operator="equal">
      <formula>"ח"</formula>
    </cfRule>
  </conditionalFormatting>
  <conditionalFormatting sqref="BP29:BP31">
    <cfRule type="cellIs" dxfId="8921" priority="640" operator="equal">
      <formula>"ח"</formula>
    </cfRule>
  </conditionalFormatting>
  <conditionalFormatting sqref="BP33:BP35">
    <cfRule type="cellIs" dxfId="8920" priority="575" operator="equal">
      <formula>"ח"</formula>
    </cfRule>
  </conditionalFormatting>
  <conditionalFormatting sqref="BQ4:BQ6">
    <cfRule type="cellIs" dxfId="8919" priority="1043" operator="equal">
      <formula>"כמש"</formula>
    </cfRule>
    <cfRule type="cellIs" dxfId="8918" priority="1042" operator="equal">
      <formula>"י"</formula>
    </cfRule>
    <cfRule type="cellIs" dxfId="8917" priority="1041" operator="equal">
      <formula>"ל"</formula>
    </cfRule>
    <cfRule type="cellIs" dxfId="8916" priority="1050" operator="equal">
      <formula>"כ"</formula>
    </cfRule>
    <cfRule type="cellIs" dxfId="8915" priority="1049" operator="equal">
      <formula>"כש"</formula>
    </cfRule>
    <cfRule type="cellIs" dxfId="8914" priority="1048" operator="equal">
      <formula>"מיל"</formula>
    </cfRule>
    <cfRule type="cellIs" dxfId="8913" priority="1047" operator="equal">
      <formula>"מנוחה"</formula>
    </cfRule>
    <cfRule type="cellIs" dxfId="8912" priority="1046" operator="equal">
      <formula>"מ"</formula>
    </cfRule>
    <cfRule type="cellIs" dxfId="8911" priority="1045" operator="equal">
      <formula>"ק"</formula>
    </cfRule>
    <cfRule type="cellIs" dxfId="8910" priority="1044" operator="equal">
      <formula>"כמ"</formula>
    </cfRule>
  </conditionalFormatting>
  <conditionalFormatting sqref="BQ3:CA3 BQ4">
    <cfRule type="cellIs" dxfId="8909" priority="5280" operator="equal">
      <formula>"ח"</formula>
    </cfRule>
  </conditionalFormatting>
  <conditionalFormatting sqref="BQ3:CA3">
    <cfRule type="cellIs" dxfId="8908" priority="5281" operator="equal">
      <formula>"כש"</formula>
    </cfRule>
    <cfRule type="cellIs" dxfId="8907" priority="5276" operator="equal">
      <formula>"ק"</formula>
    </cfRule>
    <cfRule type="cellIs" dxfId="8906" priority="5272" operator="equal">
      <formula>"ל"</formula>
    </cfRule>
    <cfRule type="cellIs" dxfId="8905" priority="5278" operator="equal">
      <formula>"מנוחה"</formula>
    </cfRule>
    <cfRule type="cellIs" dxfId="8904" priority="5275" operator="equal">
      <formula>"כמ"</formula>
    </cfRule>
    <cfRule type="cellIs" dxfId="8903" priority="5282" operator="equal">
      <formula>"כ"</formula>
    </cfRule>
    <cfRule type="cellIs" dxfId="8902" priority="5277" operator="equal">
      <formula>"מ"</formula>
    </cfRule>
    <cfRule type="cellIs" dxfId="8901" priority="5274" operator="equal">
      <formula>"כמש"</formula>
    </cfRule>
    <cfRule type="cellIs" dxfId="8900" priority="5273" operator="equal">
      <formula>"י"</formula>
    </cfRule>
    <cfRule type="cellIs" dxfId="8899" priority="5279" operator="equal">
      <formula>"מיל"</formula>
    </cfRule>
  </conditionalFormatting>
  <conditionalFormatting sqref="BR5:BR7">
    <cfRule type="cellIs" dxfId="8898" priority="1019" operator="equal">
      <formula>"ח"</formula>
    </cfRule>
  </conditionalFormatting>
  <conditionalFormatting sqref="BR9:BR11">
    <cfRule type="cellIs" dxfId="8897" priority="954" operator="equal">
      <formula>"ח"</formula>
    </cfRule>
  </conditionalFormatting>
  <conditionalFormatting sqref="BR13:BR15">
    <cfRule type="cellIs" dxfId="8896" priority="889" operator="equal">
      <formula>"ח"</formula>
    </cfRule>
  </conditionalFormatting>
  <conditionalFormatting sqref="BR17:BR19">
    <cfRule type="cellIs" dxfId="8895" priority="824" operator="equal">
      <formula>"ח"</formula>
    </cfRule>
  </conditionalFormatting>
  <conditionalFormatting sqref="BR21:BR23">
    <cfRule type="cellIs" dxfId="8894" priority="759" operator="equal">
      <formula>"ח"</formula>
    </cfRule>
  </conditionalFormatting>
  <conditionalFormatting sqref="BR25:BR27">
    <cfRule type="cellIs" dxfId="8893" priority="694" operator="equal">
      <formula>"ח"</formula>
    </cfRule>
  </conditionalFormatting>
  <conditionalFormatting sqref="BR29:BR31">
    <cfRule type="cellIs" dxfId="8892" priority="629" operator="equal">
      <formula>"ח"</formula>
    </cfRule>
  </conditionalFormatting>
  <conditionalFormatting sqref="BR33:BR35">
    <cfRule type="cellIs" dxfId="8891" priority="564" operator="equal">
      <formula>"ח"</formula>
    </cfRule>
  </conditionalFormatting>
  <conditionalFormatting sqref="BR5:BT6">
    <cfRule type="cellIs" dxfId="8890" priority="1018" operator="equal">
      <formula>"כ"</formula>
    </cfRule>
    <cfRule type="cellIs" dxfId="8889" priority="1009" operator="equal">
      <formula>"ל"</formula>
    </cfRule>
    <cfRule type="cellIs" dxfId="8888" priority="1010" operator="equal">
      <formula>"י"</formula>
    </cfRule>
    <cfRule type="cellIs" dxfId="8887" priority="1011" operator="equal">
      <formula>"כמש"</formula>
    </cfRule>
    <cfRule type="cellIs" dxfId="8886" priority="1013" operator="equal">
      <formula>"ק"</formula>
    </cfRule>
    <cfRule type="cellIs" dxfId="8885" priority="1012" operator="equal">
      <formula>"כמ"</formula>
    </cfRule>
    <cfRule type="cellIs" dxfId="8884" priority="1014" operator="equal">
      <formula>"מ"</formula>
    </cfRule>
    <cfRule type="cellIs" dxfId="8883" priority="1015" operator="equal">
      <formula>"מנוחה"</formula>
    </cfRule>
    <cfRule type="cellIs" dxfId="8882" priority="1016" operator="equal">
      <formula>"מיל"</formula>
    </cfRule>
    <cfRule type="cellIs" dxfId="8881" priority="1017" operator="equal">
      <formula>"כש"</formula>
    </cfRule>
  </conditionalFormatting>
  <conditionalFormatting sqref="BT5:BT7">
    <cfRule type="cellIs" dxfId="8880" priority="1008" operator="equal">
      <formula>"ח"</formula>
    </cfRule>
  </conditionalFormatting>
  <conditionalFormatting sqref="BT9:BT11">
    <cfRule type="cellIs" dxfId="8879" priority="943" operator="equal">
      <formula>"ח"</formula>
    </cfRule>
  </conditionalFormatting>
  <conditionalFormatting sqref="BT13:BT15">
    <cfRule type="cellIs" dxfId="8878" priority="878" operator="equal">
      <formula>"ח"</formula>
    </cfRule>
  </conditionalFormatting>
  <conditionalFormatting sqref="BT17:BT19">
    <cfRule type="cellIs" dxfId="8877" priority="813" operator="equal">
      <formula>"ח"</formula>
    </cfRule>
  </conditionalFormatting>
  <conditionalFormatting sqref="BT21:BT23">
    <cfRule type="cellIs" dxfId="8876" priority="748" operator="equal">
      <formula>"ח"</formula>
    </cfRule>
  </conditionalFormatting>
  <conditionalFormatting sqref="BT25:BT27">
    <cfRule type="cellIs" dxfId="8875" priority="683" operator="equal">
      <formula>"ח"</formula>
    </cfRule>
  </conditionalFormatting>
  <conditionalFormatting sqref="BT29:BT31">
    <cfRule type="cellIs" dxfId="8874" priority="618" operator="equal">
      <formula>"ח"</formula>
    </cfRule>
  </conditionalFormatting>
  <conditionalFormatting sqref="BT33:BT35">
    <cfRule type="cellIs" dxfId="8873" priority="553" operator="equal">
      <formula>"ח"</formula>
    </cfRule>
  </conditionalFormatting>
  <conditionalFormatting sqref="BU6:BU8">
    <cfRule type="cellIs" dxfId="8872" priority="2805" operator="equal">
      <formula>"ח"</formula>
    </cfRule>
  </conditionalFormatting>
  <conditionalFormatting sqref="BU10:BU12">
    <cfRule type="cellIs" dxfId="8871" priority="2706" operator="equal">
      <formula>"ח"</formula>
    </cfRule>
  </conditionalFormatting>
  <conditionalFormatting sqref="BU14:BU16">
    <cfRule type="cellIs" dxfId="8870" priority="2607" operator="equal">
      <formula>"ח"</formula>
    </cfRule>
  </conditionalFormatting>
  <conditionalFormatting sqref="BU18:BU20">
    <cfRule type="cellIs" dxfId="8869" priority="2508" operator="equal">
      <formula>"ח"</formula>
    </cfRule>
  </conditionalFormatting>
  <conditionalFormatting sqref="BU22:BU24">
    <cfRule type="cellIs" dxfId="8868" priority="2409" operator="equal">
      <formula>"ח"</formula>
    </cfRule>
  </conditionalFormatting>
  <conditionalFormatting sqref="BU26:BU28">
    <cfRule type="cellIs" dxfId="8867" priority="2310" operator="equal">
      <formula>"ח"</formula>
    </cfRule>
  </conditionalFormatting>
  <conditionalFormatting sqref="BU30:BU32">
    <cfRule type="cellIs" dxfId="8866" priority="2211" operator="equal">
      <formula>"ח"</formula>
    </cfRule>
  </conditionalFormatting>
  <conditionalFormatting sqref="BU33:BX33 BU34:BU35">
    <cfRule type="cellIs" dxfId="8865" priority="5403" operator="equal">
      <formula>"ח"</formula>
    </cfRule>
  </conditionalFormatting>
  <conditionalFormatting sqref="BU5:CB5 BU9:CB9 BU13:CB13 BU17:CB17 BU21:CB21 BU25:CB25 BU29:CB29 CB33">
    <cfRule type="cellIs" dxfId="8864" priority="5381" operator="equal">
      <formula>"ח"</formula>
    </cfRule>
  </conditionalFormatting>
  <conditionalFormatting sqref="BU6:CD35">
    <cfRule type="cellIs" dxfId="8863" priority="42" operator="equal">
      <formula>"כש"</formula>
    </cfRule>
    <cfRule type="cellIs" dxfId="8862" priority="43" operator="equal">
      <formula>"כ"</formula>
    </cfRule>
  </conditionalFormatting>
  <conditionalFormatting sqref="BU5:CE5 BU6 BM7:BU7 BM8:CD8 BU9:CE9 BU10 BE11:BU11 BM12:CD12 BU13:CD13 BU14 BM15:BU15 BM16:CD16 BU17:CD17 BU18 BM19:BU19 BM20:CD20 BU21:CD21 BU22 BM23:BU23 BM24:CD24 BU25:CD25 BU26 BM27:BU27 BM28:CD28 BU29:CD29 BU30 BM31:BU31 BM32:CD32 BU33:CD33 BU34 BM35:BU35">
    <cfRule type="cellIs" dxfId="8861" priority="1972" operator="equal">
      <formula>"ל"</formula>
    </cfRule>
    <cfRule type="cellIs" dxfId="8860" priority="1979" operator="equal">
      <formula>"מיל"</formula>
    </cfRule>
    <cfRule type="cellIs" dxfId="8859" priority="1978" operator="equal">
      <formula>"מנוחה"</formula>
    </cfRule>
    <cfRule type="cellIs" dxfId="8858" priority="1977" operator="equal">
      <formula>"מ"</formula>
    </cfRule>
    <cfRule type="cellIs" dxfId="8857" priority="1976" operator="equal">
      <formula>"ק"</formula>
    </cfRule>
    <cfRule type="cellIs" dxfId="8856" priority="1975" operator="equal">
      <formula>"כמ"</formula>
    </cfRule>
    <cfRule type="cellIs" dxfId="8855" priority="1974" operator="equal">
      <formula>"כמש"</formula>
    </cfRule>
    <cfRule type="cellIs" dxfId="8854" priority="1973" operator="equal">
      <formula>"י"</formula>
    </cfRule>
  </conditionalFormatting>
  <conditionalFormatting sqref="BU5:CE5">
    <cfRule type="cellIs" dxfId="8853" priority="1981" operator="equal">
      <formula>"כש"</formula>
    </cfRule>
    <cfRule type="cellIs" dxfId="8852" priority="1982" operator="equal">
      <formula>"כ"</formula>
    </cfRule>
  </conditionalFormatting>
  <conditionalFormatting sqref="BV6:BV8">
    <cfRule type="cellIs" dxfId="8851" priority="551" operator="equal">
      <formula>"ח"</formula>
    </cfRule>
  </conditionalFormatting>
  <conditionalFormatting sqref="BV10:BV12">
    <cfRule type="cellIs" dxfId="8850" priority="486" operator="equal">
      <formula>"ח"</formula>
    </cfRule>
  </conditionalFormatting>
  <conditionalFormatting sqref="BV14:BV16">
    <cfRule type="cellIs" dxfId="8849" priority="421" operator="equal">
      <formula>"ח"</formula>
    </cfRule>
  </conditionalFormatting>
  <conditionalFormatting sqref="BV18:BV20">
    <cfRule type="cellIs" dxfId="8848" priority="356" operator="equal">
      <formula>"ח"</formula>
    </cfRule>
  </conditionalFormatting>
  <conditionalFormatting sqref="BV22:BV24">
    <cfRule type="cellIs" dxfId="8847" priority="291" operator="equal">
      <formula>"ח"</formula>
    </cfRule>
  </conditionalFormatting>
  <conditionalFormatting sqref="BV26:BV28">
    <cfRule type="cellIs" dxfId="8846" priority="226" operator="equal">
      <formula>"ח"</formula>
    </cfRule>
  </conditionalFormatting>
  <conditionalFormatting sqref="BV30:BV32">
    <cfRule type="cellIs" dxfId="8845" priority="161" operator="equal">
      <formula>"ח"</formula>
    </cfRule>
  </conditionalFormatting>
  <conditionalFormatting sqref="BV34:BV35">
    <cfRule type="cellIs" dxfId="8844" priority="96" operator="equal">
      <formula>"ח"</formula>
    </cfRule>
  </conditionalFormatting>
  <conditionalFormatting sqref="BV6:CD7">
    <cfRule type="cellIs" dxfId="8843" priority="489" operator="equal">
      <formula>"ל"</formula>
    </cfRule>
    <cfRule type="cellIs" dxfId="8842" priority="490" operator="equal">
      <formula>"י"</formula>
    </cfRule>
    <cfRule type="cellIs" dxfId="8841" priority="495" operator="equal">
      <formula>"מנוחה"</formula>
    </cfRule>
    <cfRule type="cellIs" dxfId="8840" priority="496" operator="equal">
      <formula>"מיל"</formula>
    </cfRule>
    <cfRule type="cellIs" dxfId="8839" priority="494" operator="equal">
      <formula>"מ"</formula>
    </cfRule>
    <cfRule type="cellIs" dxfId="8838" priority="491" operator="equal">
      <formula>"כמש"</formula>
    </cfRule>
    <cfRule type="cellIs" dxfId="8837" priority="492" operator="equal">
      <formula>"כמ"</formula>
    </cfRule>
    <cfRule type="cellIs" dxfId="8836" priority="493" operator="equal">
      <formula>"ק"</formula>
    </cfRule>
  </conditionalFormatting>
  <conditionalFormatting sqref="BV10:CD11">
    <cfRule type="cellIs" dxfId="8835" priority="424" operator="equal">
      <formula>"ל"</formula>
    </cfRule>
    <cfRule type="cellIs" dxfId="8834" priority="425" operator="equal">
      <formula>"י"</formula>
    </cfRule>
    <cfRule type="cellIs" dxfId="8833" priority="426" operator="equal">
      <formula>"כמש"</formula>
    </cfRule>
    <cfRule type="cellIs" dxfId="8832" priority="427" operator="equal">
      <formula>"כמ"</formula>
    </cfRule>
    <cfRule type="cellIs" dxfId="8831" priority="428" operator="equal">
      <formula>"ק"</formula>
    </cfRule>
    <cfRule type="cellIs" dxfId="8830" priority="430" operator="equal">
      <formula>"מנוחה"</formula>
    </cfRule>
    <cfRule type="cellIs" dxfId="8829" priority="431" operator="equal">
      <formula>"מיל"</formula>
    </cfRule>
    <cfRule type="cellIs" dxfId="8828" priority="429" operator="equal">
      <formula>"מ"</formula>
    </cfRule>
  </conditionalFormatting>
  <conditionalFormatting sqref="BV14:CD15">
    <cfRule type="cellIs" dxfId="8827" priority="362" operator="equal">
      <formula>"כמ"</formula>
    </cfRule>
    <cfRule type="cellIs" dxfId="8826" priority="361" operator="equal">
      <formula>"כמש"</formula>
    </cfRule>
    <cfRule type="cellIs" dxfId="8825" priority="360" operator="equal">
      <formula>"י"</formula>
    </cfRule>
    <cfRule type="cellIs" dxfId="8824" priority="366" operator="equal">
      <formula>"מיל"</formula>
    </cfRule>
    <cfRule type="cellIs" dxfId="8823" priority="359" operator="equal">
      <formula>"ל"</formula>
    </cfRule>
    <cfRule type="cellIs" dxfId="8822" priority="365" operator="equal">
      <formula>"מנוחה"</formula>
    </cfRule>
    <cfRule type="cellIs" dxfId="8821" priority="364" operator="equal">
      <formula>"מ"</formula>
    </cfRule>
    <cfRule type="cellIs" dxfId="8820" priority="363" operator="equal">
      <formula>"ק"</formula>
    </cfRule>
  </conditionalFormatting>
  <conditionalFormatting sqref="BV18:CD19">
    <cfRule type="cellIs" dxfId="8819" priority="294" operator="equal">
      <formula>"ל"</formula>
    </cfRule>
    <cfRule type="cellIs" dxfId="8818" priority="295" operator="equal">
      <formula>"י"</formula>
    </cfRule>
    <cfRule type="cellIs" dxfId="8817" priority="296" operator="equal">
      <formula>"כמש"</formula>
    </cfRule>
    <cfRule type="cellIs" dxfId="8816" priority="301" operator="equal">
      <formula>"מיל"</formula>
    </cfRule>
    <cfRule type="cellIs" dxfId="8815" priority="300" operator="equal">
      <formula>"מנוחה"</formula>
    </cfRule>
    <cfRule type="cellIs" dxfId="8814" priority="299" operator="equal">
      <formula>"מ"</formula>
    </cfRule>
    <cfRule type="cellIs" dxfId="8813" priority="297" operator="equal">
      <formula>"כמ"</formula>
    </cfRule>
    <cfRule type="cellIs" dxfId="8812" priority="298" operator="equal">
      <formula>"ק"</formula>
    </cfRule>
  </conditionalFormatting>
  <conditionalFormatting sqref="BV22:CD23">
    <cfRule type="cellIs" dxfId="8811" priority="232" operator="equal">
      <formula>"כמ"</formula>
    </cfRule>
    <cfRule type="cellIs" dxfId="8810" priority="229" operator="equal">
      <formula>"ל"</formula>
    </cfRule>
    <cfRule type="cellIs" dxfId="8809" priority="230" operator="equal">
      <formula>"י"</formula>
    </cfRule>
    <cfRule type="cellIs" dxfId="8808" priority="231" operator="equal">
      <formula>"כמש"</formula>
    </cfRule>
    <cfRule type="cellIs" dxfId="8807" priority="233" operator="equal">
      <formula>"ק"</formula>
    </cfRule>
    <cfRule type="cellIs" dxfId="8806" priority="234" operator="equal">
      <formula>"מ"</formula>
    </cfRule>
    <cfRule type="cellIs" dxfId="8805" priority="235" operator="equal">
      <formula>"מנוחה"</formula>
    </cfRule>
    <cfRule type="cellIs" dxfId="8804" priority="236" operator="equal">
      <formula>"מיל"</formula>
    </cfRule>
  </conditionalFormatting>
  <conditionalFormatting sqref="BV26:CD27">
    <cfRule type="cellIs" dxfId="8803" priority="165" operator="equal">
      <formula>"י"</formula>
    </cfRule>
    <cfRule type="cellIs" dxfId="8802" priority="164" operator="equal">
      <formula>"ל"</formula>
    </cfRule>
    <cfRule type="cellIs" dxfId="8801" priority="167" operator="equal">
      <formula>"כמ"</formula>
    </cfRule>
    <cfRule type="cellIs" dxfId="8800" priority="168" operator="equal">
      <formula>"ק"</formula>
    </cfRule>
    <cfRule type="cellIs" dxfId="8799" priority="169" operator="equal">
      <formula>"מ"</formula>
    </cfRule>
    <cfRule type="cellIs" dxfId="8798" priority="170" operator="equal">
      <formula>"מנוחה"</formula>
    </cfRule>
    <cfRule type="cellIs" dxfId="8797" priority="171" operator="equal">
      <formula>"מיל"</formula>
    </cfRule>
    <cfRule type="cellIs" dxfId="8796" priority="166" operator="equal">
      <formula>"כמש"</formula>
    </cfRule>
  </conditionalFormatting>
  <conditionalFormatting sqref="BV30:CD31">
    <cfRule type="cellIs" dxfId="8795" priority="102" operator="equal">
      <formula>"כמ"</formula>
    </cfRule>
    <cfRule type="cellIs" dxfId="8794" priority="101" operator="equal">
      <formula>"כמש"</formula>
    </cfRule>
    <cfRule type="cellIs" dxfId="8793" priority="100" operator="equal">
      <formula>"י"</formula>
    </cfRule>
    <cfRule type="cellIs" dxfId="8792" priority="99" operator="equal">
      <formula>"ל"</formula>
    </cfRule>
    <cfRule type="cellIs" dxfId="8791" priority="105" operator="equal">
      <formula>"מנוחה"</formula>
    </cfRule>
    <cfRule type="cellIs" dxfId="8790" priority="106" operator="equal">
      <formula>"מיל"</formula>
    </cfRule>
    <cfRule type="cellIs" dxfId="8789" priority="104" operator="equal">
      <formula>"מ"</formula>
    </cfRule>
    <cfRule type="cellIs" dxfId="8788" priority="103" operator="equal">
      <formula>"ק"</formula>
    </cfRule>
  </conditionalFormatting>
  <conditionalFormatting sqref="BV34:CD35">
    <cfRule type="cellIs" dxfId="8787" priority="35" operator="equal">
      <formula>"י"</formula>
    </cfRule>
    <cfRule type="cellIs" dxfId="8786" priority="34" operator="equal">
      <formula>"ל"</formula>
    </cfRule>
    <cfRule type="cellIs" dxfId="8785" priority="40" operator="equal">
      <formula>"מנוחה"</formula>
    </cfRule>
    <cfRule type="cellIs" dxfId="8784" priority="36" operator="equal">
      <formula>"כמש"</formula>
    </cfRule>
    <cfRule type="cellIs" dxfId="8783" priority="37" operator="equal">
      <formula>"כמ"</formula>
    </cfRule>
    <cfRule type="cellIs" dxfId="8782" priority="38" operator="equal">
      <formula>"ק"</formula>
    </cfRule>
    <cfRule type="cellIs" dxfId="8781" priority="39" operator="equal">
      <formula>"מ"</formula>
    </cfRule>
    <cfRule type="cellIs" dxfId="8780" priority="41" operator="equal">
      <formula>"מיל"</formula>
    </cfRule>
  </conditionalFormatting>
  <conditionalFormatting sqref="BW6:BW8 BY6:BY8 CA6:CA8">
    <cfRule type="cellIs" dxfId="8779" priority="552" operator="equal">
      <formula>"ח"</formula>
    </cfRule>
  </conditionalFormatting>
  <conditionalFormatting sqref="BW10:BW12 BY10:BY12 CA10:CA12">
    <cfRule type="cellIs" dxfId="8778" priority="487" operator="equal">
      <formula>"ח"</formula>
    </cfRule>
  </conditionalFormatting>
  <conditionalFormatting sqref="BW14:BW16 BY14:BY16 CA14:CA16">
    <cfRule type="cellIs" dxfId="8777" priority="422" operator="equal">
      <formula>"ח"</formula>
    </cfRule>
  </conditionalFormatting>
  <conditionalFormatting sqref="BW18:BW20 BY18:BY20 CA18:CA20">
    <cfRule type="cellIs" dxfId="8776" priority="357" operator="equal">
      <formula>"ח"</formula>
    </cfRule>
  </conditionalFormatting>
  <conditionalFormatting sqref="BW22:BW24 BY22:BY24 CA22:CA24">
    <cfRule type="cellIs" dxfId="8775" priority="292" operator="equal">
      <formula>"ח"</formula>
    </cfRule>
  </conditionalFormatting>
  <conditionalFormatting sqref="BW26:BW28 BY26:BY28 CA26:CA28">
    <cfRule type="cellIs" dxfId="8774" priority="227" operator="equal">
      <formula>"ח"</formula>
    </cfRule>
  </conditionalFormatting>
  <conditionalFormatting sqref="BW30:BW32">
    <cfRule type="cellIs" dxfId="8773" priority="162" operator="equal">
      <formula>"ח"</formula>
    </cfRule>
  </conditionalFormatting>
  <conditionalFormatting sqref="BX6:BX8">
    <cfRule type="cellIs" dxfId="8772" priority="510" operator="equal">
      <formula>"ח"</formula>
    </cfRule>
  </conditionalFormatting>
  <conditionalFormatting sqref="BX10:BX12">
    <cfRule type="cellIs" dxfId="8771" priority="445" operator="equal">
      <formula>"ח"</formula>
    </cfRule>
  </conditionalFormatting>
  <conditionalFormatting sqref="BX14:BX16">
    <cfRule type="cellIs" dxfId="8770" priority="380" operator="equal">
      <formula>"ח"</formula>
    </cfRule>
  </conditionalFormatting>
  <conditionalFormatting sqref="BX18:BX20">
    <cfRule type="cellIs" dxfId="8769" priority="315" operator="equal">
      <formula>"ח"</formula>
    </cfRule>
  </conditionalFormatting>
  <conditionalFormatting sqref="BX22:BX24">
    <cfRule type="cellIs" dxfId="8768" priority="250" operator="equal">
      <formula>"ח"</formula>
    </cfRule>
  </conditionalFormatting>
  <conditionalFormatting sqref="BX26:BX28">
    <cfRule type="cellIs" dxfId="8767" priority="185" operator="equal">
      <formula>"ח"</formula>
    </cfRule>
  </conditionalFormatting>
  <conditionalFormatting sqref="BX30:BX32">
    <cfRule type="cellIs" dxfId="8766" priority="120" operator="equal">
      <formula>"ח"</formula>
    </cfRule>
  </conditionalFormatting>
  <conditionalFormatting sqref="BX34:BX35">
    <cfRule type="cellIs" dxfId="8765" priority="55" operator="equal">
      <formula>"ח"</formula>
    </cfRule>
  </conditionalFormatting>
  <conditionalFormatting sqref="BY30:BY35 CA30:CA35 BW34:BW35">
    <cfRule type="cellIs" dxfId="8764" priority="97" operator="equal">
      <formula>"ח"</formula>
    </cfRule>
  </conditionalFormatting>
  <conditionalFormatting sqref="BZ6:BZ8">
    <cfRule type="cellIs" dxfId="8763" priority="499" operator="equal">
      <formula>"ח"</formula>
    </cfRule>
  </conditionalFormatting>
  <conditionalFormatting sqref="BZ10:BZ12">
    <cfRule type="cellIs" dxfId="8762" priority="434" operator="equal">
      <formula>"ח"</formula>
    </cfRule>
  </conditionalFormatting>
  <conditionalFormatting sqref="BZ14:BZ16">
    <cfRule type="cellIs" dxfId="8761" priority="369" operator="equal">
      <formula>"ח"</formula>
    </cfRule>
  </conditionalFormatting>
  <conditionalFormatting sqref="BZ18:BZ20">
    <cfRule type="cellIs" dxfId="8760" priority="304" operator="equal">
      <formula>"ח"</formula>
    </cfRule>
  </conditionalFormatting>
  <conditionalFormatting sqref="BZ22:BZ24">
    <cfRule type="cellIs" dxfId="8759" priority="239" operator="equal">
      <formula>"ח"</formula>
    </cfRule>
  </conditionalFormatting>
  <conditionalFormatting sqref="BZ26:BZ28">
    <cfRule type="cellIs" dxfId="8758" priority="174" operator="equal">
      <formula>"ח"</formula>
    </cfRule>
  </conditionalFormatting>
  <conditionalFormatting sqref="BZ30:BZ32">
    <cfRule type="cellIs" dxfId="8757" priority="109" operator="equal">
      <formula>"ח"</formula>
    </cfRule>
  </conditionalFormatting>
  <conditionalFormatting sqref="BZ33">
    <cfRule type="cellIs" dxfId="8756" priority="5392" operator="equal">
      <formula>"ח"</formula>
    </cfRule>
  </conditionalFormatting>
  <conditionalFormatting sqref="BZ34:BZ35">
    <cfRule type="cellIs" dxfId="8755" priority="44" operator="equal">
      <formula>"ח"</formula>
    </cfRule>
  </conditionalFormatting>
  <conditionalFormatting sqref="CB6:CB8">
    <cfRule type="cellIs" dxfId="8754" priority="488" operator="equal">
      <formula>"ח"</formula>
    </cfRule>
  </conditionalFormatting>
  <conditionalFormatting sqref="CB10:CB12">
    <cfRule type="cellIs" dxfId="8753" priority="423" operator="equal">
      <formula>"ח"</formula>
    </cfRule>
  </conditionalFormatting>
  <conditionalFormatting sqref="CB14:CB16">
    <cfRule type="cellIs" dxfId="8752" priority="358" operator="equal">
      <formula>"ח"</formula>
    </cfRule>
  </conditionalFormatting>
  <conditionalFormatting sqref="CB18:CB20">
    <cfRule type="cellIs" dxfId="8751" priority="293" operator="equal">
      <formula>"ח"</formula>
    </cfRule>
  </conditionalFormatting>
  <conditionalFormatting sqref="CB22:CB24">
    <cfRule type="cellIs" dxfId="8750" priority="228" operator="equal">
      <formula>"ח"</formula>
    </cfRule>
  </conditionalFormatting>
  <conditionalFormatting sqref="CB26:CB28">
    <cfRule type="cellIs" dxfId="8749" priority="163" operator="equal">
      <formula>"ח"</formula>
    </cfRule>
  </conditionalFormatting>
  <conditionalFormatting sqref="CB30:CB32">
    <cfRule type="cellIs" dxfId="8748" priority="98" operator="equal">
      <formula>"ח"</formula>
    </cfRule>
  </conditionalFormatting>
  <conditionalFormatting sqref="CB34:CB35">
    <cfRule type="cellIs" dxfId="8747" priority="33" operator="equal">
      <formula>"ח"</formula>
    </cfRule>
  </conditionalFormatting>
  <conditionalFormatting sqref="CC5:CD35">
    <cfRule type="cellIs" dxfId="8746" priority="1980" operator="equal">
      <formula>"ח"</formula>
    </cfRule>
  </conditionalFormatting>
  <conditionalFormatting sqref="CE5 CE9">
    <cfRule type="cellIs" dxfId="8745" priority="5247" operator="equal">
      <formula>"ח"</formula>
    </cfRule>
  </conditionalFormatting>
  <conditionalFormatting sqref="CE9">
    <cfRule type="cellIs" dxfId="8744" priority="5249" operator="equal">
      <formula>"כ"</formula>
    </cfRule>
    <cfRule type="cellIs" dxfId="8743" priority="5248" operator="equal">
      <formula>"כש"</formula>
    </cfRule>
  </conditionalFormatting>
  <conditionalFormatting sqref="CF5:CG35">
    <cfRule type="cellIs" dxfId="8742" priority="5606" operator="lessThan">
      <formula>4</formula>
    </cfRule>
  </conditionalFormatting>
  <conditionalFormatting sqref="CJ18">
    <cfRule type="cellIs" dxfId="8741" priority="22" operator="equal">
      <formula>"כ"</formula>
    </cfRule>
    <cfRule type="cellIs" dxfId="8740" priority="15" operator="equal">
      <formula>"כמש"</formula>
    </cfRule>
    <cfRule type="cellIs" dxfId="8739" priority="16" operator="equal">
      <formula>"כמ"</formula>
    </cfRule>
    <cfRule type="cellIs" dxfId="8738" priority="17" operator="equal">
      <formula>"ק"</formula>
    </cfRule>
    <cfRule type="cellIs" dxfId="8737" priority="12" operator="equal">
      <formula>"ח"</formula>
    </cfRule>
    <cfRule type="cellIs" dxfId="8736" priority="18" operator="equal">
      <formula>"מ"</formula>
    </cfRule>
    <cfRule type="cellIs" dxfId="8735" priority="19" operator="equal">
      <formula>"מנוחה"</formula>
    </cfRule>
    <cfRule type="cellIs" dxfId="8734" priority="20" operator="equal">
      <formula>"מיל"</formula>
    </cfRule>
    <cfRule type="cellIs" dxfId="8733" priority="21" operator="equal">
      <formula>"כש"</formula>
    </cfRule>
    <cfRule type="cellIs" dxfId="8732" priority="13" operator="equal">
      <formula>"ל"</formula>
    </cfRule>
    <cfRule type="cellIs" dxfId="8731" priority="14" operator="equal">
      <formula>"י"</formula>
    </cfRule>
  </conditionalFormatting>
  <conditionalFormatting sqref="CJ29">
    <cfRule type="cellIs" dxfId="8730" priority="4" operator="equal">
      <formula>"כמש"</formula>
    </cfRule>
    <cfRule type="cellIs" dxfId="8729" priority="5" operator="equal">
      <formula>"כמ"</formula>
    </cfRule>
    <cfRule type="cellIs" dxfId="8728" priority="8" operator="equal">
      <formula>"מנוחה"</formula>
    </cfRule>
    <cfRule type="cellIs" dxfId="8727" priority="1" operator="equal">
      <formula>"ח"</formula>
    </cfRule>
    <cfRule type="cellIs" dxfId="8726" priority="9" operator="equal">
      <formula>"מיל"</formula>
    </cfRule>
    <cfRule type="cellIs" dxfId="8725" priority="10" operator="equal">
      <formula>"כש"</formula>
    </cfRule>
    <cfRule type="cellIs" dxfId="8724" priority="11" operator="equal">
      <formula>"כ"</formula>
    </cfRule>
    <cfRule type="cellIs" dxfId="8723" priority="7" operator="equal">
      <formula>"מ"</formula>
    </cfRule>
    <cfRule type="cellIs" dxfId="8722" priority="2" operator="equal">
      <formula>"ל"</formula>
    </cfRule>
    <cfRule type="cellIs" dxfId="8721" priority="6" operator="equal">
      <formula>"ק"</formula>
    </cfRule>
    <cfRule type="cellIs" dxfId="8720" priority="3" operator="equal">
      <formula>"י"</formula>
    </cfRule>
  </conditionalFormatting>
  <hyperlinks>
    <hyperlink ref="X4:Y4" r:id="rId11" tooltip="עדכון במייל" display="עדכון במייל" xr:uid="{00000000-0004-0000-00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מיילים!$M$2:$M$38</xm:f>
          </x14:formula1>
          <xm:sqref>BQ3:BR3 BC3</xm:sqref>
        </x14:dataValidation>
        <x14:dataValidation type="list" allowBlank="1" showInputMessage="1" showErrorMessage="1" xr:uid="{00000000-0002-0000-0000-000001000000}">
          <x14:formula1>
            <xm:f>מיילים!$M$2:$M$31</xm:f>
          </x14:formula1>
          <xm:sqref>P3:Q3 AW3:AZ3 BS3:CA3 BE3:BO3 AD3:AE3 D3:N3</xm:sqref>
        </x14:dataValidation>
        <x14:dataValidation type="list" allowBlank="1" showInputMessage="1" showErrorMessage="1" xr:uid="{00000000-0002-0000-0000-000002000000}">
          <x14:formula1>
            <xm:f>מיילים!$M$3:$M$37</xm:f>
          </x14:formula1>
          <xm:sqref>R3:S3 V3:W3</xm:sqref>
        </x14:dataValidation>
        <x14:dataValidation type="list" allowBlank="1" showInputMessage="1" showErrorMessage="1" xr:uid="{00000000-0002-0000-0000-000003000000}">
          <x14:formula1>
            <xm:f>מיילים!$M$2:$M$36</xm:f>
          </x14:formula1>
          <xm:sqref>T3:U3</xm:sqref>
        </x14:dataValidation>
        <x14:dataValidation type="list" allowBlank="1" showInputMessage="1" xr:uid="{00000000-0002-0000-0000-000004000000}">
          <x14:formula1>
            <xm:f>מקרא!$B$5:$B$60</xm:f>
          </x14:formula1>
          <xm:sqref>AI18:AO18 AI24:AO25 Y18:AG18 BL5:BM5 BL6:BL7 BM6:BM35 BF8:BL35 Y5:Y10 AH20:AO20 AW5:BE35 BF5:BK7 Z10:AE10 R14:X15 AG24:AG25 Z5:AJ5 AL5:AO5 Z6:AO7 Z9:AO9 AN8:AO8 Z8:AL8 AL22 AG21:AO21 AG22:AK23 AM22:AO23 AM29:AO30 AG10 AI10:AO10 Y11:AO16 Y17:AE17 AG17:AO17 AG31:AO35 AJ19:AK19 AM19:AO19 Y19:AF28 Y30:AF35 Y29:AE29 AG27:AH27 AG26:AO26 AG28:AO28 AJ27:AO27 AG19:AH19 BN5:CB35 AG30:AK30 AG29:AH29 AJ29:AM29 D5:X13 AD26:AE35 D16:X35 AD5:AE24 D14:P15</xm:sqref>
        </x14:dataValidation>
        <x14:dataValidation type="list" allowBlank="1" showInputMessage="1" showErrorMessage="1" xr:uid="{00000000-0002-0000-0000-000005000000}">
          <x14:formula1>
            <xm:f>מיילים!$M$2:$M$40</xm:f>
          </x14:formula1>
          <xm:sqref>X3:AO3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K36"/>
  <sheetViews>
    <sheetView rightToLeft="1" zoomScale="85" zoomScaleNormal="100" workbookViewId="0">
      <pane ySplit="4" topLeftCell="A5" activePane="bottomLeft" state="frozen"/>
      <selection pane="bottomLeft" activeCell="E13" sqref="E13"/>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37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8.125" style="1" bestFit="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7.625" style="1" customWidth="1"/>
    <col min="29" max="29" width="4.625" style="1" customWidth="1"/>
    <col min="30" max="30" width="7.625" style="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280</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0">
        <v>2</v>
      </c>
      <c r="AU1" s="341"/>
      <c r="AV1" s="342"/>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366">
        <v>2</v>
      </c>
      <c r="CD1" s="367"/>
      <c r="CE1" s="368"/>
      <c r="CF1" s="91"/>
      <c r="CG1" s="92"/>
      <c r="CH1" s="92"/>
      <c r="CI1" s="92"/>
      <c r="CJ1" s="92"/>
      <c r="CK1" s="92"/>
    </row>
    <row r="2" spans="1:89" ht="15" customHeight="1" thickBot="1">
      <c r="A2" s="340"/>
      <c r="B2" s="341"/>
      <c r="C2" s="342"/>
      <c r="D2" s="385" t="s">
        <v>124</v>
      </c>
      <c r="E2" s="415"/>
      <c r="F2" s="415"/>
      <c r="G2" s="415"/>
      <c r="H2" s="415"/>
      <c r="I2" s="415"/>
      <c r="J2" s="415"/>
      <c r="K2" s="415"/>
      <c r="L2" s="415"/>
      <c r="M2" s="415"/>
      <c r="N2" s="415"/>
      <c r="O2" s="415"/>
      <c r="P2" s="415"/>
      <c r="Q2" s="415"/>
      <c r="R2" s="415"/>
      <c r="S2" s="415"/>
      <c r="T2" s="415"/>
      <c r="U2" s="415"/>
      <c r="V2" s="415"/>
      <c r="W2" s="354"/>
      <c r="X2" s="377" t="s">
        <v>141</v>
      </c>
      <c r="Y2" s="376"/>
      <c r="Z2" s="414" t="s">
        <v>35</v>
      </c>
      <c r="AA2" s="391"/>
      <c r="AB2" s="514"/>
      <c r="AC2" s="515"/>
      <c r="AD2" s="378"/>
      <c r="AE2" s="513"/>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69"/>
      <c r="CD2" s="370"/>
      <c r="CE2" s="371"/>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516" t="s">
        <v>233</v>
      </c>
      <c r="U3" s="517"/>
      <c r="V3" s="385" t="s">
        <v>232</v>
      </c>
      <c r="W3" s="354"/>
      <c r="X3" s="518" t="s">
        <v>174</v>
      </c>
      <c r="Y3" s="519"/>
      <c r="Z3" s="414" t="s">
        <v>29</v>
      </c>
      <c r="AA3" s="391"/>
      <c r="AB3" s="514" t="s">
        <v>176</v>
      </c>
      <c r="AC3" s="515"/>
      <c r="AD3" s="378" t="s">
        <v>3</v>
      </c>
      <c r="AE3" s="513"/>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349" t="s">
        <v>27</v>
      </c>
      <c r="BN3" s="350"/>
      <c r="BO3" s="351" t="s">
        <v>21</v>
      </c>
      <c r="BP3" s="352"/>
      <c r="BQ3" s="351" t="s">
        <v>23</v>
      </c>
      <c r="BR3" s="352"/>
      <c r="BS3" s="350" t="s">
        <v>28</v>
      </c>
      <c r="BT3" s="392"/>
      <c r="BU3" s="393"/>
      <c r="BV3" s="394"/>
      <c r="BW3" s="395" t="s">
        <v>30</v>
      </c>
      <c r="BX3" s="395"/>
      <c r="BY3" s="395" t="s">
        <v>31</v>
      </c>
      <c r="BZ3" s="395"/>
      <c r="CA3" s="396" t="s">
        <v>227</v>
      </c>
      <c r="CB3" s="397"/>
      <c r="CC3" s="369"/>
      <c r="CD3" s="370"/>
      <c r="CE3" s="371"/>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5"/>
      <c r="V4" s="353" t="str">
        <f>HYPERLINK("maiLto:" &amp; מיילים!B35 &amp; "?subject=" &amp; מיילים!G$3 &amp; "&amp;body=" &amp; מיילים!H$3,"עדכון במייל")</f>
        <v>עדכון במייל</v>
      </c>
      <c r="W4" s="356"/>
      <c r="X4" s="357" t="str">
        <f>HYPERLINK("maiLto:" &amp; מיילים!B12 &amp; "?subject=" &amp; מיילים!G$3 &amp; "&amp;body=" &amp; מיילים!H$3,"עדכון במייל")</f>
        <v>עדכון במייל</v>
      </c>
      <c r="Y4" s="358"/>
      <c r="Z4" s="364" t="str">
        <f>HYPERLINK("maiLto:" &amp; מיילים!B28 &amp; "?subject=" &amp; מיילים!G$3 &amp; "&amp;body=" &amp; מיילים!H$3,"עדכון במייל")</f>
        <v>עדכון במייל</v>
      </c>
      <c r="AA4" s="365"/>
      <c r="AB4" s="364" t="str">
        <f>HYPERLINK("maiLto:" &amp; מיילים!B7 &amp; "?subject=" &amp; מיילים!G$3 &amp; "&amp;body=" &amp; מיילים!H$3,"עדכון במייל")</f>
        <v>עדכון במייל</v>
      </c>
      <c r="AC4" s="365"/>
      <c r="AD4" s="364" t="str">
        <f>HYPERLINK("maiLto:" &amp; מיילים!B8 &amp; "?subject=" &amp; מיילים!I$3 &amp; "&amp;body=" &amp; מיילים!J$3,"עדכון במייל")</f>
        <v>עדכון במייל</v>
      </c>
      <c r="AE4" s="391"/>
      <c r="AF4" s="424" t="str">
        <f>HYPERLINK("maiLto:" &amp; מיילים!B5 &amp; "?subject=" &amp; מיילים!I$3 &amp; "&amp;body=" &amp; מיילים!J$3,"עדכון במייל")</f>
        <v>עדכון במייל</v>
      </c>
      <c r="AG4" s="384"/>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6"/>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446" t="str">
        <f>HYPERLINK("maiLto:" &amp; מיילים!B26 &amp; "?subject=" &amp; מיילים!G$3 &amp; "&amp;body=" &amp; מיילים!H$3,"עדכון במייל")</f>
        <v>עדכון במייל</v>
      </c>
      <c r="BN4" s="447"/>
      <c r="BO4" s="448" t="str">
        <f>HYPERLINK("maiLto:" &amp; מיילים!R19 &amp; "?subject=" &amp; מיילים!W$3 &amp; "&amp;body=" &amp; מיילים!X$3,"עדכון במייל")</f>
        <v>עדכון במייל</v>
      </c>
      <c r="BP4" s="447"/>
      <c r="BQ4" s="448" t="str">
        <f>HYPERLINK("maiLto:" &amp; מיילים!P21 &amp; "?subject=" &amp; מיילים!U$3 &amp; "&amp;body=" &amp; מיילים!V$3,"עדכון במייל")</f>
        <v>עדכון במייל</v>
      </c>
      <c r="BR4" s="447"/>
      <c r="BS4" s="431" t="str">
        <f>HYPERLINK("maiLto:" &amp; מיילים!B27 &amp; "?subject=" &amp; מיילים!G$3 &amp; "&amp;body=" &amp; מיילים!H$3,"עדכון במייל")</f>
        <v>עדכון במייל</v>
      </c>
      <c r="BT4" s="432"/>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72"/>
      <c r="CD4" s="373"/>
      <c r="CE4" s="374"/>
      <c r="CF4" s="24" t="s">
        <v>38</v>
      </c>
      <c r="CG4" s="23" t="s">
        <v>39</v>
      </c>
      <c r="CH4" s="95" t="s">
        <v>36</v>
      </c>
      <c r="CI4" s="95" t="s">
        <v>37</v>
      </c>
      <c r="CJ4" s="412"/>
      <c r="CK4" s="413"/>
    </row>
    <row r="5" spans="1:89" ht="15" customHeight="1">
      <c r="A5" s="142">
        <v>1</v>
      </c>
      <c r="B5" s="142" t="s">
        <v>132</v>
      </c>
      <c r="C5" s="506">
        <v>6</v>
      </c>
      <c r="D5" s="84"/>
      <c r="E5" s="80" t="s">
        <v>51</v>
      </c>
      <c r="F5" s="84"/>
      <c r="G5" s="80"/>
      <c r="H5" s="133"/>
      <c r="I5" s="80"/>
      <c r="J5" s="84" t="s">
        <v>57</v>
      </c>
      <c r="K5" s="80"/>
      <c r="L5" s="133"/>
      <c r="M5" s="80"/>
      <c r="N5" s="84"/>
      <c r="O5" s="87"/>
      <c r="P5" s="84"/>
      <c r="Q5" s="80"/>
      <c r="R5" s="133"/>
      <c r="S5" s="80"/>
      <c r="T5" s="133"/>
      <c r="U5" s="80"/>
      <c r="V5" s="225" t="s">
        <v>57</v>
      </c>
      <c r="W5" s="80"/>
      <c r="X5" s="97"/>
      <c r="Y5" s="65"/>
      <c r="Z5" s="84"/>
      <c r="AA5" s="80"/>
      <c r="AB5" s="84"/>
      <c r="AC5" s="80"/>
      <c r="AD5" s="97"/>
      <c r="AE5" s="65"/>
      <c r="AF5" s="84"/>
      <c r="AG5" s="65"/>
      <c r="AH5" s="84"/>
      <c r="AI5" s="230"/>
      <c r="AJ5" s="84"/>
      <c r="AK5" s="80"/>
      <c r="AL5" s="84" t="s">
        <v>42</v>
      </c>
      <c r="AM5" s="80"/>
      <c r="AN5" s="33"/>
      <c r="AO5" s="65" t="s">
        <v>136</v>
      </c>
      <c r="AP5" s="509"/>
      <c r="AQ5" s="510"/>
      <c r="AR5" s="33"/>
      <c r="AS5" s="34"/>
      <c r="AT5" s="191">
        <v>1</v>
      </c>
      <c r="AU5" s="193" t="s">
        <v>132</v>
      </c>
      <c r="AV5" s="506">
        <v>6</v>
      </c>
      <c r="AW5" s="84"/>
      <c r="AX5" s="67" t="s">
        <v>34</v>
      </c>
      <c r="AY5" s="69"/>
      <c r="AZ5" s="67" t="s">
        <v>34</v>
      </c>
      <c r="BA5" s="69"/>
      <c r="BB5" s="69" t="s">
        <v>34</v>
      </c>
      <c r="BC5" s="87"/>
      <c r="BD5" s="67" t="s">
        <v>34</v>
      </c>
      <c r="BE5" s="84"/>
      <c r="BF5" s="71" t="s">
        <v>33</v>
      </c>
      <c r="BG5" s="72"/>
      <c r="BH5" s="71" t="s">
        <v>33</v>
      </c>
      <c r="BI5" s="72"/>
      <c r="BJ5" s="73" t="s">
        <v>33</v>
      </c>
      <c r="BK5" s="58"/>
      <c r="BL5" s="71" t="s">
        <v>41</v>
      </c>
      <c r="BM5" s="37"/>
      <c r="BN5" s="74"/>
      <c r="BO5" s="72"/>
      <c r="BP5" s="74"/>
      <c r="BQ5" s="72"/>
      <c r="BR5" s="72"/>
      <c r="BS5" s="78"/>
      <c r="BT5" s="71" t="s">
        <v>41</v>
      </c>
      <c r="BU5" s="96"/>
      <c r="BV5" s="67"/>
      <c r="BW5" s="69"/>
      <c r="BX5" s="67"/>
      <c r="BY5" s="69"/>
      <c r="BZ5" s="69"/>
      <c r="CA5" s="97"/>
      <c r="CB5" s="67"/>
      <c r="CC5" s="142">
        <v>1</v>
      </c>
      <c r="CD5" s="142" t="s">
        <v>132</v>
      </c>
      <c r="CE5" s="506">
        <v>5</v>
      </c>
      <c r="CF5" s="311">
        <f t="shared" ref="CF5:CF32" si="0">COUNTIF(AX5:CB5,"י")+COUNTIF(AX5:CB5,"Y")+COUNTIF(AX5:CB5,"2")</f>
        <v>3</v>
      </c>
      <c r="CG5" s="76">
        <f t="shared" ref="CG5:CG32" si="1">COUNTIF(AW5:CB5,"ל")+COUNTIF(AW5:CB5,"L")+COUNTIF(AW5:CB5,"ל2")</f>
        <v>4</v>
      </c>
      <c r="CH5" s="93"/>
      <c r="CI5" s="207" t="s">
        <v>306</v>
      </c>
      <c r="CJ5" s="449"/>
      <c r="CK5" s="450"/>
    </row>
    <row r="6" spans="1:89" ht="15" customHeight="1">
      <c r="A6" s="142">
        <v>2</v>
      </c>
      <c r="B6" s="142" t="s">
        <v>133</v>
      </c>
      <c r="C6" s="507"/>
      <c r="D6" s="14"/>
      <c r="E6" s="65"/>
      <c r="F6" s="33" t="s">
        <v>42</v>
      </c>
      <c r="G6" s="65" t="s">
        <v>136</v>
      </c>
      <c r="H6" s="33" t="s">
        <v>42</v>
      </c>
      <c r="I6" s="65"/>
      <c r="J6" s="84" t="s">
        <v>57</v>
      </c>
      <c r="K6" s="65"/>
      <c r="L6" s="14"/>
      <c r="M6" s="65"/>
      <c r="N6" s="14"/>
      <c r="O6" s="58"/>
      <c r="P6" s="14"/>
      <c r="Q6" s="65"/>
      <c r="R6" s="15"/>
      <c r="S6" s="65"/>
      <c r="T6" s="15"/>
      <c r="U6" s="65"/>
      <c r="V6" s="225" t="s">
        <v>57</v>
      </c>
      <c r="W6" s="65"/>
      <c r="X6" s="15"/>
      <c r="Y6" s="65"/>
      <c r="Z6" s="14"/>
      <c r="AA6" s="65"/>
      <c r="AB6" s="14"/>
      <c r="AC6" s="65" t="s">
        <v>51</v>
      </c>
      <c r="AD6" s="15"/>
      <c r="AE6" s="65"/>
      <c r="AF6" s="14"/>
      <c r="AG6" s="65"/>
      <c r="AH6" s="14" t="s">
        <v>42</v>
      </c>
      <c r="AI6" s="65"/>
      <c r="AJ6" s="14"/>
      <c r="AK6" s="65"/>
      <c r="AL6" s="14"/>
      <c r="AM6" s="65"/>
      <c r="AN6" s="33" t="s">
        <v>57</v>
      </c>
      <c r="AO6" s="65"/>
      <c r="AP6" s="509" t="s">
        <v>281</v>
      </c>
      <c r="AQ6" s="510"/>
      <c r="AR6" s="33"/>
      <c r="AS6" s="34"/>
      <c r="AT6" s="191">
        <v>2</v>
      </c>
      <c r="AU6" s="190" t="s">
        <v>133</v>
      </c>
      <c r="AV6" s="507"/>
      <c r="AW6" s="14"/>
      <c r="AX6" s="70"/>
      <c r="AY6" s="72"/>
      <c r="AZ6" s="70"/>
      <c r="BA6" s="72"/>
      <c r="BB6" s="72"/>
      <c r="BC6" s="58"/>
      <c r="BD6" s="70"/>
      <c r="BE6" s="14"/>
      <c r="BF6" s="67" t="s">
        <v>34</v>
      </c>
      <c r="BG6" s="69"/>
      <c r="BH6" s="67" t="s">
        <v>34</v>
      </c>
      <c r="BI6" s="69"/>
      <c r="BJ6" s="69" t="s">
        <v>34</v>
      </c>
      <c r="BK6" s="87"/>
      <c r="BL6" s="67" t="s">
        <v>41</v>
      </c>
      <c r="BM6" s="37"/>
      <c r="BN6" s="71" t="s">
        <v>33</v>
      </c>
      <c r="BO6" s="72"/>
      <c r="BP6" s="71" t="s">
        <v>41</v>
      </c>
      <c r="BQ6" s="72"/>
      <c r="BR6" s="73" t="s">
        <v>33</v>
      </c>
      <c r="BS6" s="58"/>
      <c r="BT6" s="71" t="s">
        <v>41</v>
      </c>
      <c r="BU6" s="96"/>
      <c r="BV6" s="67"/>
      <c r="BW6" s="69"/>
      <c r="BX6" s="67"/>
      <c r="BY6" s="69"/>
      <c r="BZ6" s="69"/>
      <c r="CA6" s="97"/>
      <c r="CB6" s="67"/>
      <c r="CC6" s="142">
        <v>2</v>
      </c>
      <c r="CD6" s="142" t="s">
        <v>133</v>
      </c>
      <c r="CE6" s="507"/>
      <c r="CF6" s="311">
        <f t="shared" si="0"/>
        <v>2</v>
      </c>
      <c r="CG6" s="76">
        <f t="shared" si="1"/>
        <v>3</v>
      </c>
      <c r="CH6" s="27"/>
      <c r="CI6" s="28"/>
      <c r="CJ6" s="449"/>
      <c r="CK6" s="450"/>
    </row>
    <row r="7" spans="1:89" ht="15" customHeight="1">
      <c r="A7" s="142">
        <v>3</v>
      </c>
      <c r="B7" s="142" t="s">
        <v>127</v>
      </c>
      <c r="C7" s="507"/>
      <c r="D7" s="14"/>
      <c r="E7" s="65"/>
      <c r="F7" s="186" t="s">
        <v>147</v>
      </c>
      <c r="G7" s="65"/>
      <c r="H7" s="197" t="s">
        <v>151</v>
      </c>
      <c r="I7" s="65"/>
      <c r="J7" s="84" t="s">
        <v>57</v>
      </c>
      <c r="K7" s="65"/>
      <c r="L7" s="197" t="s">
        <v>151</v>
      </c>
      <c r="M7" s="65"/>
      <c r="N7" s="14"/>
      <c r="O7" s="58"/>
      <c r="P7" s="197" t="s">
        <v>151</v>
      </c>
      <c r="Q7" s="65"/>
      <c r="R7" s="203" t="s">
        <v>147</v>
      </c>
      <c r="S7" s="65"/>
      <c r="T7" s="203" t="s">
        <v>147</v>
      </c>
      <c r="U7" s="65"/>
      <c r="V7" s="225" t="s">
        <v>57</v>
      </c>
      <c r="W7" s="65"/>
      <c r="X7" s="15"/>
      <c r="Y7" s="80" t="s">
        <v>136</v>
      </c>
      <c r="Z7" s="14"/>
      <c r="AA7" s="65"/>
      <c r="AB7" s="14"/>
      <c r="AC7" s="65" t="s">
        <v>51</v>
      </c>
      <c r="AD7" s="228" t="s">
        <v>317</v>
      </c>
      <c r="AE7" s="65"/>
      <c r="AF7" s="14"/>
      <c r="AG7" s="65"/>
      <c r="AH7" s="14"/>
      <c r="AI7" s="65"/>
      <c r="AJ7" s="14"/>
      <c r="AK7" s="65"/>
      <c r="AL7" s="203" t="s">
        <v>147</v>
      </c>
      <c r="AM7" s="65"/>
      <c r="AN7" s="33" t="s">
        <v>57</v>
      </c>
      <c r="AO7" s="230"/>
      <c r="AP7" s="509"/>
      <c r="AQ7" s="510"/>
      <c r="AR7" s="33"/>
      <c r="AS7" s="34"/>
      <c r="AT7" s="191">
        <v>3</v>
      </c>
      <c r="AU7" s="190" t="s">
        <v>127</v>
      </c>
      <c r="AV7" s="507"/>
      <c r="AW7" s="14"/>
      <c r="AX7" s="70"/>
      <c r="AY7" s="72"/>
      <c r="AZ7" s="70"/>
      <c r="BA7" s="72"/>
      <c r="BB7" s="72" t="s">
        <v>41</v>
      </c>
      <c r="BC7" s="58"/>
      <c r="BD7" s="70"/>
      <c r="BE7" s="14"/>
      <c r="BF7" s="70"/>
      <c r="BG7" s="72"/>
      <c r="BH7" s="70"/>
      <c r="BI7" s="72"/>
      <c r="BJ7" s="72"/>
      <c r="BK7" s="58"/>
      <c r="BL7" s="70"/>
      <c r="BM7" s="37"/>
      <c r="BN7" s="67" t="s">
        <v>34</v>
      </c>
      <c r="BO7" s="69"/>
      <c r="BP7" s="67" t="s">
        <v>65</v>
      </c>
      <c r="BQ7" s="69"/>
      <c r="BR7" s="69" t="s">
        <v>34</v>
      </c>
      <c r="BS7" s="87"/>
      <c r="BT7" s="71" t="s">
        <v>41</v>
      </c>
      <c r="BU7" s="96"/>
      <c r="BV7" s="67"/>
      <c r="BW7" s="72"/>
      <c r="BX7" s="71" t="s">
        <v>33</v>
      </c>
      <c r="BY7" s="72"/>
      <c r="BZ7" s="73" t="s">
        <v>33</v>
      </c>
      <c r="CA7" s="58"/>
      <c r="CB7" s="71" t="s">
        <v>33</v>
      </c>
      <c r="CC7" s="142">
        <v>3</v>
      </c>
      <c r="CD7" s="142" t="s">
        <v>127</v>
      </c>
      <c r="CE7" s="507"/>
      <c r="CF7" s="311">
        <f t="shared" si="0"/>
        <v>3</v>
      </c>
      <c r="CG7" s="76">
        <f t="shared" si="1"/>
        <v>2</v>
      </c>
      <c r="CH7" s="197" t="s">
        <v>306</v>
      </c>
      <c r="CI7" s="232" t="s">
        <v>306</v>
      </c>
      <c r="CJ7" s="449"/>
      <c r="CK7" s="450"/>
    </row>
    <row r="8" spans="1:89" ht="15" customHeight="1">
      <c r="A8" s="142">
        <v>4</v>
      </c>
      <c r="B8" s="142" t="s">
        <v>128</v>
      </c>
      <c r="C8" s="507"/>
      <c r="D8" s="231" t="s">
        <v>320</v>
      </c>
      <c r="E8" s="65"/>
      <c r="F8" s="229" t="s">
        <v>150</v>
      </c>
      <c r="G8" s="65" t="s">
        <v>136</v>
      </c>
      <c r="H8" s="197" t="s">
        <v>151</v>
      </c>
      <c r="I8" s="65"/>
      <c r="J8" s="84" t="s">
        <v>57</v>
      </c>
      <c r="K8" s="65"/>
      <c r="L8" s="197" t="s">
        <v>151</v>
      </c>
      <c r="M8" s="65"/>
      <c r="N8" s="14"/>
      <c r="O8" s="65" t="s">
        <v>51</v>
      </c>
      <c r="P8" s="197" t="s">
        <v>151</v>
      </c>
      <c r="Q8" s="65"/>
      <c r="R8" s="231" t="s">
        <v>320</v>
      </c>
      <c r="S8" s="65"/>
      <c r="T8" s="229" t="s">
        <v>150</v>
      </c>
      <c r="U8" s="65"/>
      <c r="V8" s="225" t="s">
        <v>57</v>
      </c>
      <c r="W8" s="65"/>
      <c r="X8" s="226" t="s">
        <v>184</v>
      </c>
      <c r="Y8" s="65"/>
      <c r="Z8" s="14"/>
      <c r="AA8" s="65"/>
      <c r="AB8" s="226" t="s">
        <v>184</v>
      </c>
      <c r="AC8" s="65"/>
      <c r="AD8" s="209"/>
      <c r="AE8" s="65"/>
      <c r="AF8" s="14"/>
      <c r="AG8" s="65"/>
      <c r="AH8" s="14"/>
      <c r="AI8" s="65"/>
      <c r="AJ8" s="14"/>
      <c r="AK8" s="65"/>
      <c r="AL8" s="14"/>
      <c r="AM8" s="65"/>
      <c r="AN8" s="33" t="s">
        <v>57</v>
      </c>
      <c r="AO8" s="65"/>
      <c r="AP8" s="509"/>
      <c r="AQ8" s="510"/>
      <c r="AR8" s="33"/>
      <c r="AS8" s="34"/>
      <c r="AT8" s="191">
        <v>4</v>
      </c>
      <c r="AU8" s="190" t="s">
        <v>128</v>
      </c>
      <c r="AV8" s="507"/>
      <c r="AW8" s="14"/>
      <c r="AX8" s="71" t="s">
        <v>33</v>
      </c>
      <c r="AY8" s="72"/>
      <c r="AZ8" s="71" t="s">
        <v>33</v>
      </c>
      <c r="BA8" s="72"/>
      <c r="BB8" s="72" t="s">
        <v>33</v>
      </c>
      <c r="BC8" s="58"/>
      <c r="BD8" s="71" t="s">
        <v>33</v>
      </c>
      <c r="BE8" s="14"/>
      <c r="BF8" s="70" t="s">
        <v>41</v>
      </c>
      <c r="BG8" s="72"/>
      <c r="BH8" s="70"/>
      <c r="BI8" s="72"/>
      <c r="BJ8" s="72"/>
      <c r="BK8" s="58"/>
      <c r="BL8" s="70"/>
      <c r="BM8" s="37"/>
      <c r="BN8" s="70"/>
      <c r="BO8" s="72"/>
      <c r="BP8" s="70"/>
      <c r="BQ8" s="72"/>
      <c r="BR8" s="72"/>
      <c r="BS8" s="15"/>
      <c r="BT8" s="71" t="s">
        <v>41</v>
      </c>
      <c r="BU8" s="96"/>
      <c r="BV8" s="67"/>
      <c r="BW8" s="69"/>
      <c r="BX8" s="67" t="s">
        <v>34</v>
      </c>
      <c r="BY8" s="69"/>
      <c r="BZ8" s="69" t="s">
        <v>34</v>
      </c>
      <c r="CA8" s="87"/>
      <c r="CB8" s="67" t="s">
        <v>34</v>
      </c>
      <c r="CC8" s="142">
        <v>4</v>
      </c>
      <c r="CD8" s="142" t="s">
        <v>128</v>
      </c>
      <c r="CE8" s="507"/>
      <c r="CF8" s="311">
        <f t="shared" si="0"/>
        <v>4</v>
      </c>
      <c r="CG8" s="76">
        <f t="shared" si="1"/>
        <v>3</v>
      </c>
      <c r="CH8" s="27"/>
      <c r="CI8" s="28"/>
      <c r="CJ8" s="449"/>
      <c r="CK8" s="450"/>
    </row>
    <row r="9" spans="1:89" ht="15" customHeight="1">
      <c r="A9" s="142">
        <v>5</v>
      </c>
      <c r="B9" s="142" t="s">
        <v>129</v>
      </c>
      <c r="C9" s="507"/>
      <c r="D9" s="231" t="s">
        <v>320</v>
      </c>
      <c r="E9" s="65"/>
      <c r="F9" s="229" t="s">
        <v>150</v>
      </c>
      <c r="G9" s="65"/>
      <c r="H9" s="197" t="s">
        <v>151</v>
      </c>
      <c r="I9" s="65"/>
      <c r="J9" s="84" t="s">
        <v>57</v>
      </c>
      <c r="K9" s="65"/>
      <c r="L9" s="197" t="s">
        <v>151</v>
      </c>
      <c r="M9" s="65"/>
      <c r="N9" s="14" t="s">
        <v>41</v>
      </c>
      <c r="O9" s="65"/>
      <c r="P9" s="197" t="s">
        <v>151</v>
      </c>
      <c r="Q9" s="65"/>
      <c r="R9" s="231" t="s">
        <v>320</v>
      </c>
      <c r="S9" s="65"/>
      <c r="T9" s="209"/>
      <c r="U9" s="65" t="s">
        <v>51</v>
      </c>
      <c r="V9" s="225" t="s">
        <v>57</v>
      </c>
      <c r="W9" s="65"/>
      <c r="X9" s="15"/>
      <c r="Y9" s="65"/>
      <c r="Z9" s="14"/>
      <c r="AA9" s="65"/>
      <c r="AB9" s="14"/>
      <c r="AC9" s="65"/>
      <c r="AD9" s="15"/>
      <c r="AE9" s="65" t="s">
        <v>136</v>
      </c>
      <c r="AF9" s="14" t="s">
        <v>313</v>
      </c>
      <c r="AG9" s="65"/>
      <c r="AH9" s="14"/>
      <c r="AI9" s="65"/>
      <c r="AJ9" s="14" t="s">
        <v>41</v>
      </c>
      <c r="AK9" s="65"/>
      <c r="AL9" s="14"/>
      <c r="AM9" s="65"/>
      <c r="AN9" s="33" t="s">
        <v>57</v>
      </c>
      <c r="AO9" s="65"/>
      <c r="AP9" s="509" t="s">
        <v>311</v>
      </c>
      <c r="AQ9" s="510"/>
      <c r="AR9" s="33"/>
      <c r="AS9" s="34" t="s">
        <v>319</v>
      </c>
      <c r="AT9" s="191">
        <v>5</v>
      </c>
      <c r="AU9" s="190" t="s">
        <v>129</v>
      </c>
      <c r="AV9" s="507"/>
      <c r="AW9" s="14"/>
      <c r="AX9" s="67" t="s">
        <v>34</v>
      </c>
      <c r="AY9" s="69"/>
      <c r="AZ9" s="67" t="s">
        <v>34</v>
      </c>
      <c r="BA9" s="69"/>
      <c r="BB9" s="69" t="s">
        <v>34</v>
      </c>
      <c r="BC9" s="87"/>
      <c r="BD9" s="67" t="s">
        <v>34</v>
      </c>
      <c r="BE9" s="14"/>
      <c r="BF9" s="71" t="s">
        <v>33</v>
      </c>
      <c r="BG9" s="72"/>
      <c r="BH9" s="71" t="s">
        <v>33</v>
      </c>
      <c r="BI9" s="72"/>
      <c r="BJ9" s="72" t="s">
        <v>61</v>
      </c>
      <c r="BK9" s="58"/>
      <c r="BL9" s="71" t="s">
        <v>41</v>
      </c>
      <c r="BM9" s="37"/>
      <c r="BN9" s="70"/>
      <c r="BO9" s="72"/>
      <c r="BP9" s="70"/>
      <c r="BQ9" s="72"/>
      <c r="BR9" s="72"/>
      <c r="BS9" s="15"/>
      <c r="BT9" s="71" t="s">
        <v>41</v>
      </c>
      <c r="BU9" s="96"/>
      <c r="BV9" s="70"/>
      <c r="BW9" s="69"/>
      <c r="BX9" s="70"/>
      <c r="BY9" s="69"/>
      <c r="BZ9" s="72"/>
      <c r="CA9" s="97"/>
      <c r="CB9" s="70"/>
      <c r="CC9" s="142">
        <v>5</v>
      </c>
      <c r="CD9" s="142" t="s">
        <v>129</v>
      </c>
      <c r="CE9" s="507"/>
      <c r="CF9" s="311">
        <f t="shared" si="0"/>
        <v>2</v>
      </c>
      <c r="CG9" s="76">
        <f t="shared" si="1"/>
        <v>4</v>
      </c>
      <c r="CH9" s="27"/>
      <c r="CI9" s="28"/>
      <c r="CJ9" s="449"/>
      <c r="CK9" s="450"/>
    </row>
    <row r="10" spans="1:89" ht="15" customHeight="1">
      <c r="A10" s="142">
        <v>6</v>
      </c>
      <c r="B10" s="142" t="s">
        <v>130</v>
      </c>
      <c r="C10" s="507"/>
      <c r="D10" s="18"/>
      <c r="E10" s="17"/>
      <c r="F10" s="16"/>
      <c r="G10" s="17"/>
      <c r="H10" s="16"/>
      <c r="I10" s="17"/>
      <c r="J10" s="84" t="s">
        <v>57</v>
      </c>
      <c r="K10" s="17"/>
      <c r="L10" s="16"/>
      <c r="M10" s="17"/>
      <c r="N10" s="16" t="s">
        <v>61</v>
      </c>
      <c r="O10" s="17"/>
      <c r="P10" s="16"/>
      <c r="Q10" s="17"/>
      <c r="R10" s="18"/>
      <c r="S10" s="17"/>
      <c r="T10" s="18"/>
      <c r="U10" s="17"/>
      <c r="V10" s="225" t="s">
        <v>57</v>
      </c>
      <c r="W10" s="17"/>
      <c r="X10" s="18"/>
      <c r="Y10" s="17" t="s">
        <v>53</v>
      </c>
      <c r="Z10" s="16"/>
      <c r="AA10" s="17"/>
      <c r="AB10" s="16"/>
      <c r="AC10" s="17"/>
      <c r="AD10" s="18"/>
      <c r="AE10" s="17"/>
      <c r="AF10" s="16"/>
      <c r="AG10" s="17" t="s">
        <v>137</v>
      </c>
      <c r="AH10" s="16"/>
      <c r="AI10" s="17"/>
      <c r="AJ10" s="16"/>
      <c r="AK10" s="17"/>
      <c r="AL10" s="16"/>
      <c r="AM10" s="17"/>
      <c r="AN10" s="33" t="s">
        <v>57</v>
      </c>
      <c r="AO10" s="17"/>
      <c r="AP10" s="520"/>
      <c r="AQ10" s="521"/>
      <c r="AR10" s="104"/>
      <c r="AS10" s="105"/>
      <c r="AT10" s="192">
        <v>6</v>
      </c>
      <c r="AU10" s="13" t="s">
        <v>130</v>
      </c>
      <c r="AV10" s="507"/>
      <c r="AW10" s="16"/>
      <c r="AX10" s="71"/>
      <c r="AY10" s="73"/>
      <c r="AZ10" s="71"/>
      <c r="BA10" s="73"/>
      <c r="BB10" s="73"/>
      <c r="BC10" s="59"/>
      <c r="BD10" s="71"/>
      <c r="BE10" s="16"/>
      <c r="BF10" s="66" t="s">
        <v>34</v>
      </c>
      <c r="BG10" s="68"/>
      <c r="BH10" s="66" t="s">
        <v>34</v>
      </c>
      <c r="BI10" s="68"/>
      <c r="BJ10" s="68" t="s">
        <v>34</v>
      </c>
      <c r="BK10" s="110"/>
      <c r="BL10" s="66" t="s">
        <v>34</v>
      </c>
      <c r="BM10" s="38"/>
      <c r="BN10" s="71" t="s">
        <v>33</v>
      </c>
      <c r="BO10" s="73"/>
      <c r="BP10" s="71" t="s">
        <v>41</v>
      </c>
      <c r="BQ10" s="73"/>
      <c r="BR10" s="73" t="s">
        <v>33</v>
      </c>
      <c r="BS10" s="59"/>
      <c r="BT10" s="70" t="s">
        <v>61</v>
      </c>
      <c r="BU10" s="108"/>
      <c r="BV10" s="66"/>
      <c r="BW10" s="68"/>
      <c r="BX10" s="66"/>
      <c r="BY10" s="68"/>
      <c r="BZ10" s="68"/>
      <c r="CA10" s="83"/>
      <c r="CB10" s="66"/>
      <c r="CC10" s="22">
        <v>6</v>
      </c>
      <c r="CD10" s="22" t="s">
        <v>130</v>
      </c>
      <c r="CE10" s="507"/>
      <c r="CF10" s="311">
        <f t="shared" si="0"/>
        <v>2</v>
      </c>
      <c r="CG10" s="76">
        <f t="shared" si="1"/>
        <v>4</v>
      </c>
      <c r="CH10" s="27"/>
      <c r="CI10" s="28"/>
      <c r="CJ10" s="449"/>
      <c r="CK10" s="450"/>
    </row>
    <row r="11" spans="1:89" ht="15" customHeight="1">
      <c r="A11" s="142">
        <v>7</v>
      </c>
      <c r="B11" s="142" t="s">
        <v>131</v>
      </c>
      <c r="C11" s="508"/>
      <c r="D11" s="16"/>
      <c r="E11" s="17"/>
      <c r="F11" s="16"/>
      <c r="G11" s="17"/>
      <c r="H11" s="16"/>
      <c r="I11" s="17"/>
      <c r="J11" s="84" t="s">
        <v>57</v>
      </c>
      <c r="K11" s="17"/>
      <c r="L11" s="16"/>
      <c r="M11" s="17"/>
      <c r="N11" s="16" t="s">
        <v>61</v>
      </c>
      <c r="O11" s="59"/>
      <c r="P11" s="16"/>
      <c r="Q11" s="17"/>
      <c r="R11" s="18"/>
      <c r="S11" s="17"/>
      <c r="T11" s="18"/>
      <c r="U11" s="17"/>
      <c r="V11" s="225" t="s">
        <v>57</v>
      </c>
      <c r="W11" s="17"/>
      <c r="X11" s="18"/>
      <c r="Y11" s="17" t="s">
        <v>53</v>
      </c>
      <c r="Z11" s="16"/>
      <c r="AA11" s="17"/>
      <c r="AB11" s="16"/>
      <c r="AC11" s="17"/>
      <c r="AD11" s="18"/>
      <c r="AE11" s="17"/>
      <c r="AF11" s="16"/>
      <c r="AG11" s="17" t="s">
        <v>137</v>
      </c>
      <c r="AH11" s="16"/>
      <c r="AI11" s="17"/>
      <c r="AJ11" s="16"/>
      <c r="AK11" s="17"/>
      <c r="AL11" s="16"/>
      <c r="AM11" s="17"/>
      <c r="AN11" s="33" t="s">
        <v>57</v>
      </c>
      <c r="AO11" s="17"/>
      <c r="AP11" s="511"/>
      <c r="AQ11" s="512"/>
      <c r="AR11" s="104"/>
      <c r="AS11" s="105"/>
      <c r="AT11" s="192">
        <v>7</v>
      </c>
      <c r="AU11" s="13" t="s">
        <v>131</v>
      </c>
      <c r="AV11" s="508"/>
      <c r="AW11" s="16"/>
      <c r="AX11" s="71"/>
      <c r="AY11" s="73"/>
      <c r="AZ11" s="71"/>
      <c r="BA11" s="73"/>
      <c r="BB11" s="73"/>
      <c r="BC11" s="59"/>
      <c r="BD11" s="71"/>
      <c r="BE11" s="16"/>
      <c r="BF11" s="71"/>
      <c r="BG11" s="73"/>
      <c r="BH11" s="71"/>
      <c r="BI11" s="73"/>
      <c r="BJ11" s="73"/>
      <c r="BK11" s="59"/>
      <c r="BL11" s="71"/>
      <c r="BM11" s="38"/>
      <c r="BN11" s="66" t="s">
        <v>34</v>
      </c>
      <c r="BO11" s="68"/>
      <c r="BP11" s="66" t="s">
        <v>34</v>
      </c>
      <c r="BQ11" s="68"/>
      <c r="BR11" s="68" t="s">
        <v>34</v>
      </c>
      <c r="BS11" s="110"/>
      <c r="BT11" s="67" t="s">
        <v>61</v>
      </c>
      <c r="BU11" s="108"/>
      <c r="BV11" s="66"/>
      <c r="BW11" s="73"/>
      <c r="BX11" s="71" t="s">
        <v>33</v>
      </c>
      <c r="BY11" s="73"/>
      <c r="BZ11" s="73" t="s">
        <v>33</v>
      </c>
      <c r="CA11" s="59"/>
      <c r="CB11" s="71" t="s">
        <v>33</v>
      </c>
      <c r="CC11" s="22">
        <v>7</v>
      </c>
      <c r="CD11" s="22" t="s">
        <v>131</v>
      </c>
      <c r="CE11" s="508"/>
      <c r="CF11" s="311">
        <f t="shared" si="0"/>
        <v>3</v>
      </c>
      <c r="CG11" s="76">
        <f t="shared" si="1"/>
        <v>3</v>
      </c>
      <c r="CH11" s="27"/>
      <c r="CI11" s="28"/>
      <c r="CJ11" s="449"/>
      <c r="CK11" s="450"/>
    </row>
    <row r="12" spans="1:89" ht="15" customHeight="1">
      <c r="A12" s="142">
        <v>8</v>
      </c>
      <c r="B12" s="142" t="s">
        <v>132</v>
      </c>
      <c r="C12" s="506">
        <v>7</v>
      </c>
      <c r="D12" s="231" t="s">
        <v>320</v>
      </c>
      <c r="E12" s="65"/>
      <c r="F12" s="14" t="s">
        <v>224</v>
      </c>
      <c r="G12" s="65"/>
      <c r="H12" s="112"/>
      <c r="I12" s="65"/>
      <c r="J12" s="84" t="s">
        <v>57</v>
      </c>
      <c r="K12" s="65"/>
      <c r="L12" s="229" t="s">
        <v>150</v>
      </c>
      <c r="M12" s="65"/>
      <c r="N12" s="14" t="s">
        <v>41</v>
      </c>
      <c r="O12" s="65"/>
      <c r="P12" s="14"/>
      <c r="Q12" s="65"/>
      <c r="R12" s="231" t="s">
        <v>320</v>
      </c>
      <c r="S12" s="65"/>
      <c r="T12" s="229" t="s">
        <v>150</v>
      </c>
      <c r="U12" s="65"/>
      <c r="V12" s="225" t="s">
        <v>57</v>
      </c>
      <c r="W12" s="65"/>
      <c r="X12" s="15"/>
      <c r="Y12" s="65"/>
      <c r="Z12" s="14"/>
      <c r="AA12" s="65"/>
      <c r="AB12" s="14"/>
      <c r="AC12" s="65" t="s">
        <v>51</v>
      </c>
      <c r="AD12" s="15"/>
      <c r="AE12" s="65"/>
      <c r="AF12" s="14"/>
      <c r="AG12" s="65"/>
      <c r="AH12" s="14"/>
      <c r="AI12" s="65"/>
      <c r="AJ12" s="14"/>
      <c r="AK12" s="65" t="s">
        <v>136</v>
      </c>
      <c r="AL12" s="14" t="s">
        <v>42</v>
      </c>
      <c r="AM12" s="65"/>
      <c r="AN12" s="33" t="s">
        <v>57</v>
      </c>
      <c r="AO12" s="65"/>
      <c r="AP12" s="523"/>
      <c r="AQ12" s="524"/>
      <c r="AR12" s="33"/>
      <c r="AS12" s="34"/>
      <c r="AT12" s="191">
        <v>8</v>
      </c>
      <c r="AU12" s="190" t="s">
        <v>132</v>
      </c>
      <c r="AV12" s="506">
        <v>7</v>
      </c>
      <c r="AW12" s="14"/>
      <c r="AX12" s="71" t="s">
        <v>33</v>
      </c>
      <c r="AY12" s="72"/>
      <c r="AZ12" s="71" t="s">
        <v>41</v>
      </c>
      <c r="BA12" s="72"/>
      <c r="BB12" s="72" t="s">
        <v>41</v>
      </c>
      <c r="BC12" s="58"/>
      <c r="BD12" s="71" t="s">
        <v>33</v>
      </c>
      <c r="BE12" s="14"/>
      <c r="BF12" s="70"/>
      <c r="BG12" s="72"/>
      <c r="BH12" s="70"/>
      <c r="BI12" s="72"/>
      <c r="BJ12" s="72"/>
      <c r="BK12" s="58"/>
      <c r="BL12" s="70"/>
      <c r="BM12" s="37"/>
      <c r="BN12" s="70"/>
      <c r="BO12" s="72"/>
      <c r="BP12" s="70"/>
      <c r="BQ12" s="72"/>
      <c r="BR12" s="72"/>
      <c r="BS12" s="15"/>
      <c r="BT12" s="70" t="s">
        <v>41</v>
      </c>
      <c r="BU12" s="96"/>
      <c r="BV12" s="67"/>
      <c r="BW12" s="69"/>
      <c r="BX12" s="67" t="s">
        <v>34</v>
      </c>
      <c r="BY12" s="69"/>
      <c r="BZ12" s="69" t="s">
        <v>34</v>
      </c>
      <c r="CA12" s="87"/>
      <c r="CB12" s="67" t="s">
        <v>34</v>
      </c>
      <c r="CC12" s="142">
        <v>8</v>
      </c>
      <c r="CD12" s="142" t="s">
        <v>132</v>
      </c>
      <c r="CE12" s="506">
        <v>6</v>
      </c>
      <c r="CF12" s="311">
        <f t="shared" si="0"/>
        <v>2</v>
      </c>
      <c r="CG12" s="76">
        <f t="shared" si="1"/>
        <v>3</v>
      </c>
      <c r="CH12" s="27"/>
      <c r="CI12" s="207" t="s">
        <v>306</v>
      </c>
      <c r="CJ12" s="449"/>
      <c r="CK12" s="450"/>
    </row>
    <row r="13" spans="1:89" ht="15" customHeight="1">
      <c r="A13" s="142">
        <v>9</v>
      </c>
      <c r="B13" s="142" t="s">
        <v>133</v>
      </c>
      <c r="C13" s="507"/>
      <c r="D13" s="231" t="s">
        <v>320</v>
      </c>
      <c r="E13" s="65"/>
      <c r="F13" s="14" t="s">
        <v>224</v>
      </c>
      <c r="G13" s="65"/>
      <c r="H13" s="14" t="s">
        <v>41</v>
      </c>
      <c r="I13" s="65"/>
      <c r="J13" s="84" t="s">
        <v>57</v>
      </c>
      <c r="K13" s="65"/>
      <c r="L13" s="229" t="s">
        <v>150</v>
      </c>
      <c r="M13" s="65"/>
      <c r="N13" s="197" t="s">
        <v>308</v>
      </c>
      <c r="O13" s="65"/>
      <c r="P13" s="14"/>
      <c r="Q13" s="65"/>
      <c r="R13" s="231" t="s">
        <v>320</v>
      </c>
      <c r="S13" s="65"/>
      <c r="T13" s="15"/>
      <c r="U13" s="65"/>
      <c r="V13" s="225" t="s">
        <v>57</v>
      </c>
      <c r="W13" s="65"/>
      <c r="X13" s="197" t="s">
        <v>308</v>
      </c>
      <c r="Y13" s="65"/>
      <c r="Z13" s="14"/>
      <c r="AA13" s="65"/>
      <c r="AB13" s="14"/>
      <c r="AC13" s="65" t="s">
        <v>51</v>
      </c>
      <c r="AD13" s="15"/>
      <c r="AE13" s="65"/>
      <c r="AF13" s="14"/>
      <c r="AG13" s="65"/>
      <c r="AH13" s="14"/>
      <c r="AI13" s="65"/>
      <c r="AJ13" s="14"/>
      <c r="AK13" s="65" t="s">
        <v>136</v>
      </c>
      <c r="AL13" s="14"/>
      <c r="AM13" s="65"/>
      <c r="AN13" s="33" t="s">
        <v>57</v>
      </c>
      <c r="AO13" s="65"/>
      <c r="AP13" s="523"/>
      <c r="AQ13" s="524"/>
      <c r="AR13" s="33"/>
      <c r="AS13" s="34"/>
      <c r="AT13" s="191">
        <v>9</v>
      </c>
      <c r="AU13" s="190" t="s">
        <v>133</v>
      </c>
      <c r="AV13" s="507"/>
      <c r="AW13" s="14"/>
      <c r="AX13" s="67" t="s">
        <v>34</v>
      </c>
      <c r="AY13" s="69"/>
      <c r="AZ13" s="67" t="s">
        <v>34</v>
      </c>
      <c r="BA13" s="69"/>
      <c r="BB13" s="69" t="s">
        <v>34</v>
      </c>
      <c r="BC13" s="87"/>
      <c r="BD13" s="67" t="s">
        <v>34</v>
      </c>
      <c r="BE13" s="14"/>
      <c r="BF13" s="71" t="s">
        <v>41</v>
      </c>
      <c r="BG13" s="72"/>
      <c r="BH13" s="71" t="s">
        <v>33</v>
      </c>
      <c r="BI13" s="72"/>
      <c r="BJ13" s="73" t="s">
        <v>33</v>
      </c>
      <c r="BK13" s="58"/>
      <c r="BL13" s="71" t="s">
        <v>33</v>
      </c>
      <c r="BM13" s="37"/>
      <c r="BN13" s="70"/>
      <c r="BO13" s="72"/>
      <c r="BP13" s="70"/>
      <c r="BQ13" s="72"/>
      <c r="BR13" s="72"/>
      <c r="BS13" s="15"/>
      <c r="BT13" s="70" t="s">
        <v>41</v>
      </c>
      <c r="BU13" s="96"/>
      <c r="BV13" s="70"/>
      <c r="BW13" s="69"/>
      <c r="BX13" s="70"/>
      <c r="BY13" s="69"/>
      <c r="BZ13" s="72"/>
      <c r="CA13" s="97"/>
      <c r="CB13" s="70"/>
      <c r="CC13" s="142">
        <v>9</v>
      </c>
      <c r="CD13" s="142" t="s">
        <v>133</v>
      </c>
      <c r="CE13" s="507"/>
      <c r="CF13" s="311">
        <f t="shared" si="0"/>
        <v>3</v>
      </c>
      <c r="CG13" s="76">
        <f t="shared" si="1"/>
        <v>4</v>
      </c>
      <c r="CH13" s="27"/>
      <c r="CI13" s="207" t="s">
        <v>306</v>
      </c>
      <c r="CJ13" s="449"/>
      <c r="CK13" s="450"/>
    </row>
    <row r="14" spans="1:89" ht="15" customHeight="1">
      <c r="A14" s="142">
        <v>10</v>
      </c>
      <c r="B14" s="142" t="s">
        <v>127</v>
      </c>
      <c r="C14" s="507"/>
      <c r="D14" s="231" t="s">
        <v>320</v>
      </c>
      <c r="E14" s="65"/>
      <c r="F14" s="14" t="s">
        <v>224</v>
      </c>
      <c r="G14" s="65"/>
      <c r="H14" s="14" t="s">
        <v>41</v>
      </c>
      <c r="I14" s="65"/>
      <c r="J14" s="84" t="s">
        <v>57</v>
      </c>
      <c r="K14" s="65"/>
      <c r="L14" s="14"/>
      <c r="M14" s="65"/>
      <c r="N14" s="14"/>
      <c r="O14" s="65"/>
      <c r="P14" s="14"/>
      <c r="Q14" s="65" t="s">
        <v>51</v>
      </c>
      <c r="R14" s="231" t="s">
        <v>320</v>
      </c>
      <c r="S14" s="65"/>
      <c r="T14" s="112"/>
      <c r="U14" s="65"/>
      <c r="V14" s="225" t="s">
        <v>57</v>
      </c>
      <c r="W14" s="65"/>
      <c r="X14" s="226" t="s">
        <v>184</v>
      </c>
      <c r="Y14" s="65"/>
      <c r="Z14" s="226" t="s">
        <v>184</v>
      </c>
      <c r="AA14" s="65"/>
      <c r="AB14" s="14"/>
      <c r="AC14" s="65"/>
      <c r="AD14" s="15"/>
      <c r="AE14" s="65"/>
      <c r="AF14" s="226" t="s">
        <v>184</v>
      </c>
      <c r="AG14" s="65"/>
      <c r="AH14" s="14"/>
      <c r="AI14" s="65"/>
      <c r="AJ14" s="14"/>
      <c r="AK14" s="65"/>
      <c r="AL14" s="14"/>
      <c r="AM14" s="65" t="s">
        <v>136</v>
      </c>
      <c r="AN14" s="33" t="s">
        <v>57</v>
      </c>
      <c r="AO14" s="65"/>
      <c r="AP14" s="523"/>
      <c r="AQ14" s="524"/>
      <c r="AR14" s="33"/>
      <c r="AS14" s="34"/>
      <c r="AT14" s="191">
        <v>10</v>
      </c>
      <c r="AU14" s="190" t="s">
        <v>127</v>
      </c>
      <c r="AV14" s="507"/>
      <c r="AW14" s="14"/>
      <c r="AX14" s="70"/>
      <c r="AY14" s="72"/>
      <c r="AZ14" s="70"/>
      <c r="BA14" s="72"/>
      <c r="BB14" s="72"/>
      <c r="BC14" s="58"/>
      <c r="BD14" s="70"/>
      <c r="BE14" s="14"/>
      <c r="BF14" s="67" t="s">
        <v>34</v>
      </c>
      <c r="BG14" s="69"/>
      <c r="BH14" s="67" t="s">
        <v>34</v>
      </c>
      <c r="BI14" s="69"/>
      <c r="BJ14" s="69" t="s">
        <v>34</v>
      </c>
      <c r="BK14" s="87"/>
      <c r="BL14" s="67" t="s">
        <v>34</v>
      </c>
      <c r="BM14" s="37"/>
      <c r="BN14" s="71" t="s">
        <v>33</v>
      </c>
      <c r="BO14" s="72"/>
      <c r="BP14" s="71" t="s">
        <v>33</v>
      </c>
      <c r="BQ14" s="72"/>
      <c r="BR14" s="73" t="s">
        <v>33</v>
      </c>
      <c r="BS14" s="58"/>
      <c r="BT14" s="70" t="s">
        <v>41</v>
      </c>
      <c r="BU14" s="96"/>
      <c r="BV14" s="67"/>
      <c r="BW14" s="69"/>
      <c r="BX14" s="67"/>
      <c r="BY14" s="69"/>
      <c r="BZ14" s="69"/>
      <c r="CA14" s="97"/>
      <c r="CB14" s="67"/>
      <c r="CC14" s="142">
        <v>10</v>
      </c>
      <c r="CD14" s="142" t="s">
        <v>127</v>
      </c>
      <c r="CE14" s="507"/>
      <c r="CF14" s="311">
        <f t="shared" si="0"/>
        <v>3</v>
      </c>
      <c r="CG14" s="76">
        <f t="shared" si="1"/>
        <v>4</v>
      </c>
      <c r="CH14" s="197" t="s">
        <v>306</v>
      </c>
      <c r="CI14" s="207" t="s">
        <v>306</v>
      </c>
      <c r="CJ14" s="449"/>
      <c r="CK14" s="450"/>
    </row>
    <row r="15" spans="1:89" ht="15" customHeight="1">
      <c r="A15" s="142">
        <v>11</v>
      </c>
      <c r="B15" s="142" t="s">
        <v>128</v>
      </c>
      <c r="C15" s="507"/>
      <c r="D15" s="14"/>
      <c r="E15" s="65"/>
      <c r="F15" s="14" t="s">
        <v>224</v>
      </c>
      <c r="G15" s="65"/>
      <c r="H15" s="14"/>
      <c r="I15" s="65"/>
      <c r="J15" s="84" t="s">
        <v>57</v>
      </c>
      <c r="K15" s="65"/>
      <c r="L15" s="229" t="s">
        <v>150</v>
      </c>
      <c r="M15" s="65"/>
      <c r="N15" s="14"/>
      <c r="O15" s="58"/>
      <c r="P15" s="14"/>
      <c r="Q15" s="65"/>
      <c r="R15" s="112"/>
      <c r="S15" s="65"/>
      <c r="T15" s="15"/>
      <c r="U15" s="65" t="s">
        <v>51</v>
      </c>
      <c r="V15" s="225" t="s">
        <v>57</v>
      </c>
      <c r="W15" s="65"/>
      <c r="X15" s="15"/>
      <c r="Y15" s="65"/>
      <c r="Z15" s="14"/>
      <c r="AA15" s="65"/>
      <c r="AB15" s="14"/>
      <c r="AC15" s="65"/>
      <c r="AD15" s="112"/>
      <c r="AE15" s="65" t="s">
        <v>136</v>
      </c>
      <c r="AF15" s="14"/>
      <c r="AG15" s="65"/>
      <c r="AH15" s="112" t="s">
        <v>317</v>
      </c>
      <c r="AI15" s="65"/>
      <c r="AJ15" s="14"/>
      <c r="AK15" s="65"/>
      <c r="AL15" s="14"/>
      <c r="AM15" s="65"/>
      <c r="AN15" s="33" t="s">
        <v>57</v>
      </c>
      <c r="AO15" s="65"/>
      <c r="AP15" s="155"/>
      <c r="AQ15" s="156"/>
      <c r="AR15" s="33"/>
      <c r="AS15" s="34"/>
      <c r="AT15" s="191">
        <v>11</v>
      </c>
      <c r="AU15" s="190" t="s">
        <v>128</v>
      </c>
      <c r="AV15" s="507"/>
      <c r="AW15" s="14"/>
      <c r="AX15" s="70"/>
      <c r="AY15" s="72"/>
      <c r="AZ15" s="70"/>
      <c r="BA15" s="72"/>
      <c r="BB15" s="72"/>
      <c r="BC15" s="58"/>
      <c r="BD15" s="196" t="s">
        <v>40</v>
      </c>
      <c r="BE15" s="14"/>
      <c r="BF15" s="70"/>
      <c r="BG15" s="72"/>
      <c r="BH15" s="70"/>
      <c r="BI15" s="72"/>
      <c r="BJ15" s="72"/>
      <c r="BK15" s="58"/>
      <c r="BL15" s="70"/>
      <c r="BM15" s="37"/>
      <c r="BN15" s="67" t="s">
        <v>34</v>
      </c>
      <c r="BO15" s="69"/>
      <c r="BP15" s="67" t="s">
        <v>34</v>
      </c>
      <c r="BQ15" s="69"/>
      <c r="BR15" s="69" t="s">
        <v>34</v>
      </c>
      <c r="BS15" s="87"/>
      <c r="BT15" s="70" t="s">
        <v>41</v>
      </c>
      <c r="BU15" s="96"/>
      <c r="BV15" s="67"/>
      <c r="BW15" s="72"/>
      <c r="BX15" s="71" t="s">
        <v>33</v>
      </c>
      <c r="BY15" s="72"/>
      <c r="BZ15" s="73" t="s">
        <v>33</v>
      </c>
      <c r="CA15" s="58"/>
      <c r="CB15" s="71" t="s">
        <v>33</v>
      </c>
      <c r="CC15" s="142">
        <v>11</v>
      </c>
      <c r="CD15" s="142" t="s">
        <v>128</v>
      </c>
      <c r="CE15" s="507"/>
      <c r="CF15" s="311">
        <f t="shared" si="0"/>
        <v>4</v>
      </c>
      <c r="CG15" s="76">
        <f t="shared" si="1"/>
        <v>3</v>
      </c>
      <c r="CH15" s="27"/>
      <c r="CI15" s="207" t="s">
        <v>306</v>
      </c>
      <c r="CJ15" s="449"/>
      <c r="CK15" s="450"/>
    </row>
    <row r="16" spans="1:89" ht="15" customHeight="1">
      <c r="A16" s="142">
        <v>12</v>
      </c>
      <c r="B16" s="142" t="s">
        <v>129</v>
      </c>
      <c r="C16" s="507"/>
      <c r="D16" s="14"/>
      <c r="E16" s="65"/>
      <c r="F16" s="14" t="s">
        <v>224</v>
      </c>
      <c r="G16" s="65"/>
      <c r="H16" s="14"/>
      <c r="I16" s="65" t="s">
        <v>51</v>
      </c>
      <c r="J16" s="84" t="s">
        <v>57</v>
      </c>
      <c r="K16" s="65"/>
      <c r="L16" s="229" t="s">
        <v>150</v>
      </c>
      <c r="M16" s="65"/>
      <c r="N16" s="14"/>
      <c r="O16" s="65"/>
      <c r="P16" s="14"/>
      <c r="Q16" s="65"/>
      <c r="R16" s="15" t="s">
        <v>323</v>
      </c>
      <c r="S16" s="65"/>
      <c r="T16" s="229" t="s">
        <v>150</v>
      </c>
      <c r="U16" s="65"/>
      <c r="V16" s="225" t="s">
        <v>57</v>
      </c>
      <c r="W16" s="65"/>
      <c r="X16" s="15"/>
      <c r="Y16" s="65"/>
      <c r="Z16" s="14"/>
      <c r="AA16" s="65"/>
      <c r="AB16" s="14"/>
      <c r="AC16" s="65"/>
      <c r="AD16" s="15"/>
      <c r="AE16" s="65"/>
      <c r="AF16" s="14"/>
      <c r="AG16" s="65"/>
      <c r="AH16" s="14" t="s">
        <v>41</v>
      </c>
      <c r="AI16" s="65"/>
      <c r="AJ16" s="14"/>
      <c r="AK16" s="65"/>
      <c r="AL16" s="14"/>
      <c r="AM16" s="65" t="s">
        <v>136</v>
      </c>
      <c r="AN16" s="33" t="s">
        <v>57</v>
      </c>
      <c r="AO16" s="65"/>
      <c r="AP16" s="155"/>
      <c r="AQ16" s="156"/>
      <c r="AR16" s="33"/>
      <c r="AS16" s="34"/>
      <c r="AT16" s="191">
        <v>12</v>
      </c>
      <c r="AU16" s="190" t="s">
        <v>129</v>
      </c>
      <c r="AV16" s="507"/>
      <c r="AW16" s="14"/>
      <c r="AX16" s="71" t="s">
        <v>33</v>
      </c>
      <c r="AY16" s="72"/>
      <c r="AZ16" s="71" t="s">
        <v>33</v>
      </c>
      <c r="BA16" s="72"/>
      <c r="BB16" s="72" t="s">
        <v>33</v>
      </c>
      <c r="BC16" s="58"/>
      <c r="BD16" s="71" t="s">
        <v>33</v>
      </c>
      <c r="BE16" s="14"/>
      <c r="BF16" s="70"/>
      <c r="BG16" s="72"/>
      <c r="BH16" s="70"/>
      <c r="BI16" s="72"/>
      <c r="BJ16" s="72"/>
      <c r="BK16" s="58"/>
      <c r="BL16" s="70"/>
      <c r="BM16" s="37"/>
      <c r="BN16" s="188" t="s">
        <v>47</v>
      </c>
      <c r="BO16" s="72"/>
      <c r="BP16" s="70"/>
      <c r="BQ16" s="72"/>
      <c r="BR16" s="72"/>
      <c r="BS16" s="15"/>
      <c r="BT16" s="70" t="s">
        <v>41</v>
      </c>
      <c r="BU16" s="37"/>
      <c r="BV16" s="67"/>
      <c r="BW16" s="69"/>
      <c r="BX16" s="67" t="s">
        <v>34</v>
      </c>
      <c r="BY16" s="69"/>
      <c r="BZ16" s="69" t="s">
        <v>41</v>
      </c>
      <c r="CA16" s="87"/>
      <c r="CB16" s="67" t="s">
        <v>34</v>
      </c>
      <c r="CC16" s="142">
        <v>12</v>
      </c>
      <c r="CD16" s="142" t="s">
        <v>129</v>
      </c>
      <c r="CE16" s="507"/>
      <c r="CF16" s="311">
        <f t="shared" si="0"/>
        <v>4</v>
      </c>
      <c r="CG16" s="76">
        <f t="shared" si="1"/>
        <v>3</v>
      </c>
      <c r="CH16" s="27"/>
      <c r="CI16" s="28"/>
      <c r="CJ16" s="449"/>
      <c r="CK16" s="450"/>
    </row>
    <row r="17" spans="1:89" ht="15" customHeight="1">
      <c r="A17" s="142">
        <v>13</v>
      </c>
      <c r="B17" s="142" t="s">
        <v>130</v>
      </c>
      <c r="C17" s="507"/>
      <c r="D17" s="16"/>
      <c r="E17" s="17"/>
      <c r="F17" s="16"/>
      <c r="G17" s="17"/>
      <c r="H17" s="16"/>
      <c r="I17" s="17"/>
      <c r="J17" s="84" t="s">
        <v>57</v>
      </c>
      <c r="K17" s="17"/>
      <c r="L17" s="16"/>
      <c r="M17" s="17"/>
      <c r="N17" s="16"/>
      <c r="O17" s="17" t="s">
        <v>53</v>
      </c>
      <c r="P17" s="16"/>
      <c r="Q17" s="17"/>
      <c r="R17" s="18"/>
      <c r="S17" s="17"/>
      <c r="T17" s="18"/>
      <c r="U17" s="17"/>
      <c r="V17" s="225" t="s">
        <v>57</v>
      </c>
      <c r="W17" s="17"/>
      <c r="X17" s="18"/>
      <c r="Y17" s="17"/>
      <c r="Z17" s="16"/>
      <c r="AA17" s="17"/>
      <c r="AB17" s="16"/>
      <c r="AC17" s="17"/>
      <c r="AD17" s="18"/>
      <c r="AE17" s="17"/>
      <c r="AF17" s="16"/>
      <c r="AG17" s="17" t="s">
        <v>137</v>
      </c>
      <c r="AH17" s="16"/>
      <c r="AI17" s="17"/>
      <c r="AJ17" s="16"/>
      <c r="AK17" s="17"/>
      <c r="AL17" s="16"/>
      <c r="AM17" s="17"/>
      <c r="AN17" s="33" t="s">
        <v>57</v>
      </c>
      <c r="AO17" s="17"/>
      <c r="AP17" s="525"/>
      <c r="AQ17" s="526"/>
      <c r="AR17" s="104"/>
      <c r="AS17" s="105"/>
      <c r="AT17" s="192">
        <v>13</v>
      </c>
      <c r="AU17" s="13" t="s">
        <v>130</v>
      </c>
      <c r="AV17" s="507"/>
      <c r="AW17" s="38"/>
      <c r="AX17" s="66" t="s">
        <v>34</v>
      </c>
      <c r="AY17" s="68"/>
      <c r="AZ17" s="66" t="s">
        <v>34</v>
      </c>
      <c r="BA17" s="68"/>
      <c r="BB17" s="69" t="s">
        <v>34</v>
      </c>
      <c r="BC17" s="110"/>
      <c r="BD17" s="66" t="s">
        <v>34</v>
      </c>
      <c r="BE17" s="16"/>
      <c r="BF17" s="71" t="s">
        <v>33</v>
      </c>
      <c r="BG17" s="73"/>
      <c r="BH17" s="71" t="s">
        <v>33</v>
      </c>
      <c r="BI17" s="73"/>
      <c r="BJ17" s="73" t="s">
        <v>33</v>
      </c>
      <c r="BK17" s="59"/>
      <c r="BL17" s="71" t="s">
        <v>33</v>
      </c>
      <c r="BM17" s="38"/>
      <c r="BN17" s="71"/>
      <c r="BO17" s="73"/>
      <c r="BP17" s="71"/>
      <c r="BQ17" s="73"/>
      <c r="BR17" s="73"/>
      <c r="BS17" s="18"/>
      <c r="BT17" s="71"/>
      <c r="BU17" s="38"/>
      <c r="BV17" s="71"/>
      <c r="BW17" s="73"/>
      <c r="BX17" s="71"/>
      <c r="BY17" s="73"/>
      <c r="BZ17" s="73"/>
      <c r="CA17" s="18"/>
      <c r="CB17" s="71"/>
      <c r="CC17" s="22">
        <v>13</v>
      </c>
      <c r="CD17" s="22" t="s">
        <v>130</v>
      </c>
      <c r="CE17" s="507"/>
      <c r="CF17" s="311">
        <f t="shared" si="0"/>
        <v>4</v>
      </c>
      <c r="CG17" s="76">
        <f t="shared" si="1"/>
        <v>4</v>
      </c>
      <c r="CH17" s="27"/>
      <c r="CI17" s="28"/>
      <c r="CJ17" s="449"/>
      <c r="CK17" s="450"/>
    </row>
    <row r="18" spans="1:89" ht="15" customHeight="1">
      <c r="A18" s="142">
        <v>14</v>
      </c>
      <c r="B18" s="142" t="s">
        <v>131</v>
      </c>
      <c r="C18" s="508"/>
      <c r="D18" s="16"/>
      <c r="E18" s="17"/>
      <c r="F18" s="16"/>
      <c r="G18" s="17"/>
      <c r="H18" s="16"/>
      <c r="I18" s="17"/>
      <c r="J18" s="84" t="s">
        <v>57</v>
      </c>
      <c r="K18" s="17"/>
      <c r="L18" s="16"/>
      <c r="M18" s="17"/>
      <c r="N18" s="16"/>
      <c r="O18" s="59" t="s">
        <v>53</v>
      </c>
      <c r="P18" s="16"/>
      <c r="Q18" s="17"/>
      <c r="R18" s="18"/>
      <c r="S18" s="17"/>
      <c r="T18" s="18"/>
      <c r="U18" s="17"/>
      <c r="V18" s="225" t="s">
        <v>57</v>
      </c>
      <c r="W18" s="17"/>
      <c r="X18" s="18"/>
      <c r="Y18" s="17"/>
      <c r="Z18" s="16"/>
      <c r="AA18" s="17"/>
      <c r="AB18" s="16"/>
      <c r="AC18" s="17"/>
      <c r="AD18" s="18"/>
      <c r="AE18" s="17"/>
      <c r="AF18" s="16"/>
      <c r="AG18" s="17" t="s">
        <v>137</v>
      </c>
      <c r="AH18" s="16"/>
      <c r="AI18" s="17"/>
      <c r="AJ18" s="16"/>
      <c r="AK18" s="17"/>
      <c r="AL18" s="16"/>
      <c r="AM18" s="17"/>
      <c r="AN18" s="33" t="s">
        <v>57</v>
      </c>
      <c r="AO18" s="17"/>
      <c r="AP18" s="511"/>
      <c r="AQ18" s="512"/>
      <c r="AR18" s="104"/>
      <c r="AS18" s="105"/>
      <c r="AT18" s="192">
        <v>14</v>
      </c>
      <c r="AU18" s="13" t="s">
        <v>131</v>
      </c>
      <c r="AV18" s="508"/>
      <c r="AW18" s="38"/>
      <c r="AX18" s="71"/>
      <c r="AY18" s="73"/>
      <c r="AZ18" s="71"/>
      <c r="BA18" s="73"/>
      <c r="BB18" s="73"/>
      <c r="BC18" s="18"/>
      <c r="BD18" s="71"/>
      <c r="BE18" s="38"/>
      <c r="BF18" s="66" t="s">
        <v>34</v>
      </c>
      <c r="BG18" s="68"/>
      <c r="BH18" s="66" t="s">
        <v>34</v>
      </c>
      <c r="BI18" s="68"/>
      <c r="BJ18" s="68" t="s">
        <v>34</v>
      </c>
      <c r="BK18" s="110"/>
      <c r="BL18" s="66" t="s">
        <v>34</v>
      </c>
      <c r="BM18" s="38"/>
      <c r="BN18" s="70" t="s">
        <v>61</v>
      </c>
      <c r="BO18" s="73"/>
      <c r="BP18" s="71" t="s">
        <v>33</v>
      </c>
      <c r="BQ18" s="73"/>
      <c r="BR18" s="73" t="s">
        <v>33</v>
      </c>
      <c r="BS18" s="59"/>
      <c r="BT18" s="70" t="s">
        <v>61</v>
      </c>
      <c r="BU18" s="108"/>
      <c r="BV18" s="66"/>
      <c r="BW18" s="68"/>
      <c r="BX18" s="66"/>
      <c r="BY18" s="68"/>
      <c r="BZ18" s="68"/>
      <c r="CA18" s="83"/>
      <c r="CB18" s="66"/>
      <c r="CC18" s="22">
        <v>14</v>
      </c>
      <c r="CD18" s="22" t="s">
        <v>131</v>
      </c>
      <c r="CE18" s="508"/>
      <c r="CF18" s="311">
        <f t="shared" si="0"/>
        <v>2</v>
      </c>
      <c r="CG18" s="76">
        <f t="shared" si="1"/>
        <v>4</v>
      </c>
      <c r="CH18" s="197" t="s">
        <v>306</v>
      </c>
      <c r="CI18" s="28"/>
      <c r="CJ18" s="449"/>
      <c r="CK18" s="450"/>
    </row>
    <row r="19" spans="1:89" ht="15" customHeight="1">
      <c r="A19" s="142">
        <v>15</v>
      </c>
      <c r="B19" s="142" t="s">
        <v>132</v>
      </c>
      <c r="C19" s="506">
        <v>8</v>
      </c>
      <c r="D19" s="15"/>
      <c r="E19" s="65" t="s">
        <v>51</v>
      </c>
      <c r="F19" s="14" t="s">
        <v>224</v>
      </c>
      <c r="G19" s="65"/>
      <c r="H19" s="14" t="s">
        <v>65</v>
      </c>
      <c r="I19" s="65"/>
      <c r="J19" s="84" t="s">
        <v>57</v>
      </c>
      <c r="K19" s="65"/>
      <c r="L19" s="238" t="s">
        <v>318</v>
      </c>
      <c r="M19" s="65"/>
      <c r="N19" s="14"/>
      <c r="O19" s="65"/>
      <c r="P19" s="14"/>
      <c r="Q19" s="65"/>
      <c r="R19" s="15" t="s">
        <v>184</v>
      </c>
      <c r="S19" s="65"/>
      <c r="T19" s="15" t="s">
        <v>41</v>
      </c>
      <c r="U19" s="65"/>
      <c r="V19" s="225" t="s">
        <v>57</v>
      </c>
      <c r="W19" s="65"/>
      <c r="X19" s="14"/>
      <c r="Y19" s="65"/>
      <c r="Z19" s="14"/>
      <c r="AA19" s="65"/>
      <c r="AB19" s="189" t="s">
        <v>184</v>
      </c>
      <c r="AC19" s="65"/>
      <c r="AD19" s="15" t="s">
        <v>65</v>
      </c>
      <c r="AE19" s="65"/>
      <c r="AF19" s="14"/>
      <c r="AG19" s="65"/>
      <c r="AH19" s="14" t="s">
        <v>41</v>
      </c>
      <c r="AI19" s="65"/>
      <c r="AJ19" s="14"/>
      <c r="AK19" s="65" t="s">
        <v>136</v>
      </c>
      <c r="AL19" s="14" t="s">
        <v>42</v>
      </c>
      <c r="AM19" s="65"/>
      <c r="AN19" s="33" t="s">
        <v>57</v>
      </c>
      <c r="AO19" s="65"/>
      <c r="AP19" s="509" t="s">
        <v>191</v>
      </c>
      <c r="AQ19" s="510"/>
      <c r="AR19" s="33"/>
      <c r="AS19" s="34"/>
      <c r="AT19" s="191">
        <v>15</v>
      </c>
      <c r="AU19" s="190" t="s">
        <v>132</v>
      </c>
      <c r="AV19" s="506">
        <v>8</v>
      </c>
      <c r="AW19" s="14"/>
      <c r="AX19" s="70"/>
      <c r="AY19" s="72"/>
      <c r="AZ19" s="70"/>
      <c r="BA19" s="72"/>
      <c r="BB19" s="72"/>
      <c r="BC19" s="58"/>
      <c r="BD19" s="196" t="s">
        <v>40</v>
      </c>
      <c r="BE19" s="37"/>
      <c r="BF19" s="70"/>
      <c r="BG19" s="72"/>
      <c r="BH19" s="70"/>
      <c r="BI19" s="72"/>
      <c r="BJ19" s="72"/>
      <c r="BK19" s="15"/>
      <c r="BL19" s="70"/>
      <c r="BM19" s="37"/>
      <c r="BN19" s="67" t="s">
        <v>34</v>
      </c>
      <c r="BO19" s="69"/>
      <c r="BP19" s="67" t="s">
        <v>34</v>
      </c>
      <c r="BQ19" s="69"/>
      <c r="BR19" s="69" t="s">
        <v>34</v>
      </c>
      <c r="BS19" s="87"/>
      <c r="BT19" s="67" t="s">
        <v>34</v>
      </c>
      <c r="BU19" s="96"/>
      <c r="BV19" s="67"/>
      <c r="BW19" s="72"/>
      <c r="BX19" s="71" t="s">
        <v>33</v>
      </c>
      <c r="BY19" s="72"/>
      <c r="BZ19" s="73" t="s">
        <v>33</v>
      </c>
      <c r="CA19" s="58"/>
      <c r="CB19" s="71" t="s">
        <v>33</v>
      </c>
      <c r="CC19" s="142">
        <v>15</v>
      </c>
      <c r="CD19" s="142" t="s">
        <v>132</v>
      </c>
      <c r="CE19" s="506">
        <v>7</v>
      </c>
      <c r="CF19" s="311">
        <f t="shared" si="0"/>
        <v>4</v>
      </c>
      <c r="CG19" s="76">
        <f t="shared" si="1"/>
        <v>4</v>
      </c>
      <c r="CH19" s="27"/>
      <c r="CI19" s="207" t="s">
        <v>306</v>
      </c>
      <c r="CJ19" s="523" t="s">
        <v>191</v>
      </c>
      <c r="CK19" s="524"/>
    </row>
    <row r="20" spans="1:89" ht="15" customHeight="1">
      <c r="A20" s="142">
        <v>16</v>
      </c>
      <c r="B20" s="142" t="s">
        <v>133</v>
      </c>
      <c r="C20" s="507"/>
      <c r="D20" s="231" t="s">
        <v>320</v>
      </c>
      <c r="E20" s="65"/>
      <c r="F20" s="14" t="s">
        <v>224</v>
      </c>
      <c r="G20" s="65"/>
      <c r="H20" s="14" t="s">
        <v>65</v>
      </c>
      <c r="I20" s="65"/>
      <c r="J20" s="84" t="s">
        <v>57</v>
      </c>
      <c r="K20" s="65"/>
      <c r="L20" s="14" t="s">
        <v>326</v>
      </c>
      <c r="M20" s="65"/>
      <c r="N20" s="14" t="s">
        <v>224</v>
      </c>
      <c r="O20" s="65"/>
      <c r="P20" s="14" t="s">
        <v>325</v>
      </c>
      <c r="Q20" s="65"/>
      <c r="R20" s="15"/>
      <c r="S20" s="65"/>
      <c r="T20" s="15" t="s">
        <v>326</v>
      </c>
      <c r="U20" s="65"/>
      <c r="V20" s="225" t="s">
        <v>57</v>
      </c>
      <c r="W20" s="65"/>
      <c r="X20" s="237" t="s">
        <v>324</v>
      </c>
      <c r="Y20" s="65"/>
      <c r="Z20" s="14"/>
      <c r="AA20" s="65"/>
      <c r="AB20" s="14"/>
      <c r="AC20" s="65" t="s">
        <v>51</v>
      </c>
      <c r="AD20" s="15" t="s">
        <v>65</v>
      </c>
      <c r="AE20" s="65"/>
      <c r="AF20" s="14"/>
      <c r="AG20" s="65"/>
      <c r="AH20" s="14"/>
      <c r="AI20" s="65"/>
      <c r="AJ20" s="14"/>
      <c r="AK20" s="65"/>
      <c r="AL20" s="14" t="s">
        <v>325</v>
      </c>
      <c r="AM20" s="65"/>
      <c r="AN20" s="33" t="s">
        <v>57</v>
      </c>
      <c r="AO20" s="65"/>
      <c r="AP20" s="509"/>
      <c r="AQ20" s="510"/>
      <c r="AR20" s="33"/>
      <c r="AS20" s="34"/>
      <c r="AT20" s="191">
        <v>16</v>
      </c>
      <c r="AU20" s="190" t="s">
        <v>133</v>
      </c>
      <c r="AV20" s="507"/>
      <c r="AW20" s="14"/>
      <c r="AX20" s="71" t="s">
        <v>33</v>
      </c>
      <c r="AY20" s="72"/>
      <c r="AZ20" s="71" t="s">
        <v>41</v>
      </c>
      <c r="BA20" s="72"/>
      <c r="BB20" s="72" t="s">
        <v>33</v>
      </c>
      <c r="BC20" s="58"/>
      <c r="BD20" s="71" t="s">
        <v>33</v>
      </c>
      <c r="BE20" s="14"/>
      <c r="BF20" s="70"/>
      <c r="BG20" s="72"/>
      <c r="BH20" s="70"/>
      <c r="BI20" s="72"/>
      <c r="BJ20" s="72"/>
      <c r="BK20" s="58"/>
      <c r="BL20" s="70"/>
      <c r="BM20" s="37"/>
      <c r="BN20" s="70"/>
      <c r="BO20" s="72"/>
      <c r="BP20" s="70"/>
      <c r="BQ20" s="72"/>
      <c r="BR20" s="72"/>
      <c r="BS20" s="15"/>
      <c r="BT20" s="70"/>
      <c r="BU20" s="37"/>
      <c r="BV20" s="67"/>
      <c r="BW20" s="69"/>
      <c r="BX20" s="67" t="s">
        <v>34</v>
      </c>
      <c r="BY20" s="69"/>
      <c r="BZ20" s="69" t="s">
        <v>34</v>
      </c>
      <c r="CA20" s="87"/>
      <c r="CB20" s="67" t="s">
        <v>34</v>
      </c>
      <c r="CC20" s="142">
        <v>16</v>
      </c>
      <c r="CD20" s="142" t="s">
        <v>133</v>
      </c>
      <c r="CE20" s="507"/>
      <c r="CF20" s="311">
        <f t="shared" si="0"/>
        <v>3</v>
      </c>
      <c r="CG20" s="76">
        <f t="shared" si="1"/>
        <v>3</v>
      </c>
      <c r="CH20" s="27"/>
      <c r="CI20" s="28"/>
      <c r="CJ20" s="449"/>
      <c r="CK20" s="450"/>
    </row>
    <row r="21" spans="1:89" ht="15" customHeight="1">
      <c r="A21" s="142">
        <v>17</v>
      </c>
      <c r="B21" s="142" t="s">
        <v>127</v>
      </c>
      <c r="C21" s="507"/>
      <c r="D21" s="231" t="s">
        <v>320</v>
      </c>
      <c r="E21" s="65"/>
      <c r="F21" s="14" t="s">
        <v>224</v>
      </c>
      <c r="G21" s="65"/>
      <c r="H21" s="14"/>
      <c r="I21" s="65"/>
      <c r="J21" s="84"/>
      <c r="K21" s="65"/>
      <c r="L21" s="14"/>
      <c r="M21" s="65"/>
      <c r="N21" s="237" t="s">
        <v>324</v>
      </c>
      <c r="O21" s="65"/>
      <c r="P21" s="14"/>
      <c r="Q21" s="65" t="s">
        <v>136</v>
      </c>
      <c r="R21" s="231" t="s">
        <v>320</v>
      </c>
      <c r="S21" s="65" t="s">
        <v>51</v>
      </c>
      <c r="T21" s="15"/>
      <c r="U21" s="65"/>
      <c r="V21" s="257"/>
      <c r="W21" s="65" t="s">
        <v>136</v>
      </c>
      <c r="X21" s="14"/>
      <c r="Y21" s="65"/>
      <c r="Z21" s="14" t="s">
        <v>41</v>
      </c>
      <c r="AA21" s="65"/>
      <c r="AB21" s="14"/>
      <c r="AC21" s="65"/>
      <c r="AD21" s="15"/>
      <c r="AE21" s="65"/>
      <c r="AF21" s="14"/>
      <c r="AG21" s="65"/>
      <c r="AH21" s="14"/>
      <c r="AI21" s="65"/>
      <c r="AJ21" s="14"/>
      <c r="AK21" s="65"/>
      <c r="AL21" s="14"/>
      <c r="AM21" s="65"/>
      <c r="AN21" s="33" t="s">
        <v>57</v>
      </c>
      <c r="AO21" s="65"/>
      <c r="AP21" s="523" t="s">
        <v>321</v>
      </c>
      <c r="AQ21" s="524"/>
      <c r="AR21" s="33"/>
      <c r="AS21" s="34"/>
      <c r="AT21" s="191">
        <v>17</v>
      </c>
      <c r="AU21" s="190" t="s">
        <v>127</v>
      </c>
      <c r="AV21" s="507"/>
      <c r="AW21" s="37"/>
      <c r="AX21" s="67" t="s">
        <v>34</v>
      </c>
      <c r="AY21" s="69"/>
      <c r="AZ21" s="67" t="s">
        <v>34</v>
      </c>
      <c r="BA21" s="69"/>
      <c r="BB21" s="69" t="s">
        <v>34</v>
      </c>
      <c r="BC21" s="87"/>
      <c r="BD21" s="67" t="s">
        <v>41</v>
      </c>
      <c r="BE21" s="14"/>
      <c r="BF21" s="71" t="s">
        <v>33</v>
      </c>
      <c r="BG21" s="72"/>
      <c r="BH21" s="71" t="s">
        <v>33</v>
      </c>
      <c r="BI21" s="72"/>
      <c r="BJ21" s="73" t="s">
        <v>33</v>
      </c>
      <c r="BK21" s="58"/>
      <c r="BL21" s="71" t="s">
        <v>33</v>
      </c>
      <c r="BM21" s="37"/>
      <c r="BN21" s="70"/>
      <c r="BO21" s="72"/>
      <c r="BP21" s="70"/>
      <c r="BQ21" s="72"/>
      <c r="BR21" s="72"/>
      <c r="BS21" s="15"/>
      <c r="BT21" s="70"/>
      <c r="BU21" s="37"/>
      <c r="BV21" s="70"/>
      <c r="BW21" s="72"/>
      <c r="BX21" s="70"/>
      <c r="BY21" s="72"/>
      <c r="BZ21" s="72"/>
      <c r="CA21" s="15"/>
      <c r="CB21" s="70"/>
      <c r="CC21" s="142">
        <v>17</v>
      </c>
      <c r="CD21" s="142" t="s">
        <v>127</v>
      </c>
      <c r="CE21" s="507"/>
      <c r="CF21" s="311">
        <f t="shared" si="0"/>
        <v>4</v>
      </c>
      <c r="CG21" s="76">
        <f t="shared" si="1"/>
        <v>3</v>
      </c>
      <c r="CH21" s="27"/>
      <c r="CI21" s="28"/>
      <c r="CJ21" s="449"/>
      <c r="CK21" s="450"/>
    </row>
    <row r="22" spans="1:89" ht="15" customHeight="1">
      <c r="A22" s="142">
        <v>18</v>
      </c>
      <c r="B22" s="142" t="s">
        <v>128</v>
      </c>
      <c r="C22" s="507"/>
      <c r="D22" s="231" t="s">
        <v>320</v>
      </c>
      <c r="E22" s="65" t="s">
        <v>51</v>
      </c>
      <c r="F22" s="14" t="s">
        <v>224</v>
      </c>
      <c r="G22" s="65" t="s">
        <v>136</v>
      </c>
      <c r="H22" s="14" t="s">
        <v>220</v>
      </c>
      <c r="I22" s="65"/>
      <c r="J22" s="84" t="s">
        <v>57</v>
      </c>
      <c r="K22" s="65"/>
      <c r="L22" s="14"/>
      <c r="M22" s="65"/>
      <c r="N22" s="237" t="s">
        <v>324</v>
      </c>
      <c r="O22" s="58"/>
      <c r="P22" s="212" t="s">
        <v>184</v>
      </c>
      <c r="Q22" s="65"/>
      <c r="R22" s="14" t="s">
        <v>224</v>
      </c>
      <c r="S22" s="65"/>
      <c r="T22" s="212" t="s">
        <v>184</v>
      </c>
      <c r="U22" s="65"/>
      <c r="V22" s="14" t="s">
        <v>224</v>
      </c>
      <c r="W22" s="65"/>
      <c r="X22" s="14"/>
      <c r="Y22" s="65"/>
      <c r="Z22" s="14" t="s">
        <v>41</v>
      </c>
      <c r="AA22" s="65"/>
      <c r="AB22" s="212" t="s">
        <v>184</v>
      </c>
      <c r="AC22" s="65"/>
      <c r="AD22" s="15"/>
      <c r="AE22" s="65"/>
      <c r="AF22" s="14"/>
      <c r="AG22" s="65"/>
      <c r="AH22" s="112" t="s">
        <v>317</v>
      </c>
      <c r="AI22" s="65"/>
      <c r="AJ22" s="212" t="s">
        <v>184</v>
      </c>
      <c r="AK22" s="65"/>
      <c r="AL22" s="14" t="s">
        <v>220</v>
      </c>
      <c r="AM22" s="65"/>
      <c r="AN22" s="33" t="s">
        <v>57</v>
      </c>
      <c r="AO22" s="65"/>
      <c r="AP22" s="523" t="s">
        <v>187</v>
      </c>
      <c r="AQ22" s="524"/>
      <c r="AR22" s="33"/>
      <c r="AS22" s="34"/>
      <c r="AT22" s="191">
        <v>18</v>
      </c>
      <c r="AU22" s="190" t="s">
        <v>128</v>
      </c>
      <c r="AV22" s="507"/>
      <c r="AW22" s="37"/>
      <c r="AX22" s="70"/>
      <c r="AY22" s="72"/>
      <c r="AZ22" s="70"/>
      <c r="BA22" s="72"/>
      <c r="BB22" s="72"/>
      <c r="BC22" s="15"/>
      <c r="BD22" s="67" t="s">
        <v>41</v>
      </c>
      <c r="BE22" s="37"/>
      <c r="BF22" s="67" t="s">
        <v>34</v>
      </c>
      <c r="BG22" s="69"/>
      <c r="BH22" s="67" t="s">
        <v>34</v>
      </c>
      <c r="BI22" s="69"/>
      <c r="BJ22" s="69" t="s">
        <v>34</v>
      </c>
      <c r="BK22" s="87"/>
      <c r="BL22" s="67" t="s">
        <v>61</v>
      </c>
      <c r="BM22" s="37"/>
      <c r="BN22" s="71" t="s">
        <v>33</v>
      </c>
      <c r="BO22" s="72"/>
      <c r="BP22" s="71" t="s">
        <v>33</v>
      </c>
      <c r="BQ22" s="72"/>
      <c r="BR22" s="73" t="s">
        <v>41</v>
      </c>
      <c r="BS22" s="58"/>
      <c r="BT22" s="71" t="s">
        <v>33</v>
      </c>
      <c r="BU22" s="96"/>
      <c r="BV22" s="70"/>
      <c r="BW22" s="69"/>
      <c r="BX22" s="67"/>
      <c r="BY22" s="69"/>
      <c r="BZ22" s="69"/>
      <c r="CA22" s="97"/>
      <c r="CB22" s="67"/>
      <c r="CC22" s="142">
        <v>18</v>
      </c>
      <c r="CD22" s="142" t="s">
        <v>128</v>
      </c>
      <c r="CE22" s="507"/>
      <c r="CF22" s="311">
        <f t="shared" si="0"/>
        <v>3</v>
      </c>
      <c r="CG22" s="76">
        <f t="shared" si="1"/>
        <v>3</v>
      </c>
      <c r="CH22" s="27"/>
      <c r="CI22" s="28"/>
      <c r="CJ22" s="509" t="s">
        <v>187</v>
      </c>
      <c r="CK22" s="510"/>
    </row>
    <row r="23" spans="1:89" ht="15" customHeight="1">
      <c r="A23" s="142">
        <v>19</v>
      </c>
      <c r="B23" s="142" t="s">
        <v>129</v>
      </c>
      <c r="C23" s="507"/>
      <c r="D23" s="14" t="s">
        <v>147</v>
      </c>
      <c r="E23" s="65"/>
      <c r="F23" s="14" t="s">
        <v>224</v>
      </c>
      <c r="G23" s="65"/>
      <c r="H23" s="14"/>
      <c r="I23" s="65"/>
      <c r="J23" s="84" t="s">
        <v>57</v>
      </c>
      <c r="K23" s="65"/>
      <c r="L23" s="14"/>
      <c r="M23" s="65"/>
      <c r="N23" s="14"/>
      <c r="O23" s="58"/>
      <c r="P23" s="14"/>
      <c r="Q23" s="65" t="s">
        <v>136</v>
      </c>
      <c r="R23" s="231" t="s">
        <v>320</v>
      </c>
      <c r="S23" s="65"/>
      <c r="T23" s="14"/>
      <c r="U23" s="65"/>
      <c r="V23" s="225" t="s">
        <v>57</v>
      </c>
      <c r="W23" s="65"/>
      <c r="X23" s="14"/>
      <c r="Y23" s="65"/>
      <c r="Z23" s="14" t="s">
        <v>41</v>
      </c>
      <c r="AA23" s="65"/>
      <c r="AB23" s="14"/>
      <c r="AC23" s="65"/>
      <c r="AD23" s="15"/>
      <c r="AE23" s="65" t="s">
        <v>51</v>
      </c>
      <c r="AF23" s="14"/>
      <c r="AG23" s="65"/>
      <c r="AH23" s="14"/>
      <c r="AI23" s="65"/>
      <c r="AJ23" s="14"/>
      <c r="AK23" s="65"/>
      <c r="AL23" s="14" t="s">
        <v>147</v>
      </c>
      <c r="AM23" s="65"/>
      <c r="AN23" s="33" t="s">
        <v>57</v>
      </c>
      <c r="AO23" s="65"/>
      <c r="AP23" s="527" t="s">
        <v>328</v>
      </c>
      <c r="AQ23" s="528"/>
      <c r="AR23" s="33"/>
      <c r="AS23" s="34"/>
      <c r="AT23" s="191">
        <v>19</v>
      </c>
      <c r="AU23" s="190" t="s">
        <v>129</v>
      </c>
      <c r="AV23" s="507"/>
      <c r="AW23" s="14"/>
      <c r="AX23" s="70"/>
      <c r="AY23" s="72"/>
      <c r="AZ23" s="70"/>
      <c r="BA23" s="72"/>
      <c r="BB23" s="72" t="s">
        <v>65</v>
      </c>
      <c r="BC23" s="58"/>
      <c r="BD23" s="67" t="s">
        <v>41</v>
      </c>
      <c r="BE23" s="37"/>
      <c r="BF23" s="70"/>
      <c r="BG23" s="72"/>
      <c r="BH23" s="70"/>
      <c r="BI23" s="72"/>
      <c r="BJ23" s="72"/>
      <c r="BK23" s="15"/>
      <c r="BL23" s="70"/>
      <c r="BM23" s="37"/>
      <c r="BN23" s="67" t="s">
        <v>34</v>
      </c>
      <c r="BO23" s="69"/>
      <c r="BP23" s="67" t="s">
        <v>34</v>
      </c>
      <c r="BQ23" s="69"/>
      <c r="BR23" s="69" t="s">
        <v>41</v>
      </c>
      <c r="BS23" s="87"/>
      <c r="BT23" s="67" t="s">
        <v>34</v>
      </c>
      <c r="BU23" s="96"/>
      <c r="BV23" s="70"/>
      <c r="BW23" s="72"/>
      <c r="BX23" s="71" t="s">
        <v>65</v>
      </c>
      <c r="BY23" s="72"/>
      <c r="BZ23" s="73" t="s">
        <v>33</v>
      </c>
      <c r="CA23" s="58"/>
      <c r="CB23" s="71" t="s">
        <v>33</v>
      </c>
      <c r="CC23" s="142">
        <v>19</v>
      </c>
      <c r="CD23" s="142" t="s">
        <v>129</v>
      </c>
      <c r="CE23" s="507"/>
      <c r="CF23" s="311">
        <f t="shared" si="0"/>
        <v>2</v>
      </c>
      <c r="CG23" s="76">
        <f t="shared" si="1"/>
        <v>3</v>
      </c>
      <c r="CH23" s="27"/>
      <c r="CI23" s="28"/>
      <c r="CJ23" s="527" t="s">
        <v>328</v>
      </c>
      <c r="CK23" s="528"/>
    </row>
    <row r="24" spans="1:89" ht="15" customHeight="1">
      <c r="A24" s="142">
        <v>20</v>
      </c>
      <c r="B24" s="142" t="s">
        <v>130</v>
      </c>
      <c r="C24" s="507"/>
      <c r="D24" s="16"/>
      <c r="E24" s="17"/>
      <c r="F24" s="16"/>
      <c r="G24" s="17"/>
      <c r="H24" s="16"/>
      <c r="I24" s="17"/>
      <c r="J24" s="84" t="s">
        <v>57</v>
      </c>
      <c r="K24" s="17"/>
      <c r="L24" s="16"/>
      <c r="M24" s="17"/>
      <c r="N24" s="16"/>
      <c r="O24" s="59"/>
      <c r="P24" s="16"/>
      <c r="Q24" s="17"/>
      <c r="R24" s="18"/>
      <c r="S24" s="17"/>
      <c r="T24" s="18"/>
      <c r="U24" s="17"/>
      <c r="V24" s="225" t="s">
        <v>57</v>
      </c>
      <c r="W24" s="17"/>
      <c r="X24" s="18"/>
      <c r="Y24" s="17" t="s">
        <v>53</v>
      </c>
      <c r="Z24" s="14" t="s">
        <v>41</v>
      </c>
      <c r="AA24" s="17"/>
      <c r="AB24" s="16"/>
      <c r="AC24" s="17"/>
      <c r="AD24" s="18"/>
      <c r="AE24" s="17" t="s">
        <v>137</v>
      </c>
      <c r="AF24" s="16"/>
      <c r="AG24" s="17"/>
      <c r="AH24" s="258" t="s">
        <v>314</v>
      </c>
      <c r="AI24" s="17"/>
      <c r="AJ24" s="16"/>
      <c r="AK24" s="17"/>
      <c r="AL24" s="258" t="s">
        <v>314</v>
      </c>
      <c r="AM24" s="17"/>
      <c r="AN24" s="33" t="s">
        <v>57</v>
      </c>
      <c r="AO24" s="17"/>
      <c r="AP24" s="511" t="s">
        <v>304</v>
      </c>
      <c r="AQ24" s="512"/>
      <c r="AR24" s="104"/>
      <c r="AS24" s="105"/>
      <c r="AT24" s="192">
        <v>20</v>
      </c>
      <c r="AU24" s="13" t="s">
        <v>130</v>
      </c>
      <c r="AV24" s="507"/>
      <c r="AW24" s="16"/>
      <c r="AX24" s="71" t="s">
        <v>33</v>
      </c>
      <c r="AY24" s="73"/>
      <c r="AZ24" s="70" t="s">
        <v>33</v>
      </c>
      <c r="BA24" s="73"/>
      <c r="BB24" s="72" t="s">
        <v>61</v>
      </c>
      <c r="BC24" s="59"/>
      <c r="BD24" s="67" t="s">
        <v>61</v>
      </c>
      <c r="BE24" s="16"/>
      <c r="BF24" s="71"/>
      <c r="BG24" s="73"/>
      <c r="BH24" s="71"/>
      <c r="BI24" s="73"/>
      <c r="BJ24" s="221" t="s">
        <v>47</v>
      </c>
      <c r="BK24" s="59"/>
      <c r="BL24" s="71"/>
      <c r="BM24" s="38"/>
      <c r="BN24" s="188" t="s">
        <v>47</v>
      </c>
      <c r="BO24" s="73"/>
      <c r="BP24" s="71"/>
      <c r="BQ24" s="73"/>
      <c r="BR24" s="73"/>
      <c r="BS24" s="18"/>
      <c r="BT24" s="71"/>
      <c r="BU24" s="38"/>
      <c r="BV24" s="68"/>
      <c r="BW24" s="68"/>
      <c r="BX24" s="66" t="s">
        <v>34</v>
      </c>
      <c r="BY24" s="68"/>
      <c r="BZ24" s="68" t="s">
        <v>34</v>
      </c>
      <c r="CA24" s="110"/>
      <c r="CB24" s="66" t="s">
        <v>34</v>
      </c>
      <c r="CC24" s="22">
        <v>20</v>
      </c>
      <c r="CD24" s="22" t="s">
        <v>130</v>
      </c>
      <c r="CE24" s="507"/>
      <c r="CF24" s="311">
        <f t="shared" si="0"/>
        <v>2</v>
      </c>
      <c r="CG24" s="76">
        <f t="shared" si="1"/>
        <v>5</v>
      </c>
      <c r="CH24" s="27"/>
      <c r="CI24" s="28"/>
      <c r="CJ24" s="511" t="s">
        <v>304</v>
      </c>
      <c r="CK24" s="512"/>
    </row>
    <row r="25" spans="1:89" ht="15" customHeight="1">
      <c r="A25" s="142">
        <v>21</v>
      </c>
      <c r="B25" s="142" t="s">
        <v>131</v>
      </c>
      <c r="C25" s="508"/>
      <c r="D25" s="16"/>
      <c r="E25" s="17"/>
      <c r="F25" s="16"/>
      <c r="G25" s="17"/>
      <c r="H25" s="16"/>
      <c r="I25" s="17"/>
      <c r="J25" s="84" t="s">
        <v>57</v>
      </c>
      <c r="K25" s="17"/>
      <c r="L25" s="16"/>
      <c r="M25" s="17"/>
      <c r="N25" s="16"/>
      <c r="O25" s="59"/>
      <c r="P25" s="16"/>
      <c r="Q25" s="17"/>
      <c r="R25" s="18"/>
      <c r="S25" s="17"/>
      <c r="T25" s="18"/>
      <c r="U25" s="17"/>
      <c r="V25" s="225" t="s">
        <v>57</v>
      </c>
      <c r="W25" s="17"/>
      <c r="X25" s="18"/>
      <c r="Y25" s="17" t="s">
        <v>53</v>
      </c>
      <c r="Z25" s="14" t="s">
        <v>41</v>
      </c>
      <c r="AA25" s="17"/>
      <c r="AB25" s="16"/>
      <c r="AC25" s="17"/>
      <c r="AD25" s="18"/>
      <c r="AE25" s="211"/>
      <c r="AF25" s="16"/>
      <c r="AG25" s="17"/>
      <c r="AH25" s="16"/>
      <c r="AI25" s="17" t="s">
        <v>137</v>
      </c>
      <c r="AJ25" s="16"/>
      <c r="AK25" s="17"/>
      <c r="AL25" s="16"/>
      <c r="AM25" s="17"/>
      <c r="AN25" s="33" t="s">
        <v>57</v>
      </c>
      <c r="AO25" s="17"/>
      <c r="AP25" s="529"/>
      <c r="AQ25" s="530"/>
      <c r="AR25" s="104"/>
      <c r="AS25" s="105"/>
      <c r="AT25" s="192">
        <v>21</v>
      </c>
      <c r="AU25" s="13" t="s">
        <v>131</v>
      </c>
      <c r="AV25" s="508"/>
      <c r="AW25" s="38"/>
      <c r="AX25" s="66" t="s">
        <v>34</v>
      </c>
      <c r="AY25" s="68"/>
      <c r="AZ25" s="66" t="s">
        <v>34</v>
      </c>
      <c r="BA25" s="68"/>
      <c r="BB25" s="72" t="s">
        <v>61</v>
      </c>
      <c r="BC25" s="110"/>
      <c r="BD25" s="67" t="s">
        <v>61</v>
      </c>
      <c r="BE25" s="16"/>
      <c r="BF25" s="71" t="s">
        <v>33</v>
      </c>
      <c r="BG25" s="73"/>
      <c r="BH25" s="71" t="s">
        <v>33</v>
      </c>
      <c r="BI25" s="73"/>
      <c r="BJ25" s="72" t="s">
        <v>61</v>
      </c>
      <c r="BK25" s="59"/>
      <c r="BL25" s="71" t="s">
        <v>33</v>
      </c>
      <c r="BM25" s="38"/>
      <c r="BN25" s="71"/>
      <c r="BO25" s="73"/>
      <c r="BP25" s="71"/>
      <c r="BQ25" s="73"/>
      <c r="BR25" s="73"/>
      <c r="BS25" s="18"/>
      <c r="BT25" s="188" t="s">
        <v>47</v>
      </c>
      <c r="BU25" s="38"/>
      <c r="BV25" s="73"/>
      <c r="BW25" s="73"/>
      <c r="BX25" s="71"/>
      <c r="BY25" s="73"/>
      <c r="BZ25" s="73"/>
      <c r="CA25" s="18"/>
      <c r="CB25" s="71"/>
      <c r="CC25" s="22">
        <v>21</v>
      </c>
      <c r="CD25" s="22" t="s">
        <v>131</v>
      </c>
      <c r="CE25" s="508"/>
      <c r="CF25" s="311">
        <f t="shared" si="0"/>
        <v>3</v>
      </c>
      <c r="CG25" s="76">
        <f t="shared" si="1"/>
        <v>3</v>
      </c>
      <c r="CH25" s="27"/>
      <c r="CI25" s="28"/>
      <c r="CJ25" s="449"/>
      <c r="CK25" s="450"/>
    </row>
    <row r="26" spans="1:89" ht="15" customHeight="1">
      <c r="A26" s="142">
        <v>22</v>
      </c>
      <c r="B26" s="142" t="s">
        <v>132</v>
      </c>
      <c r="C26" s="506">
        <v>9</v>
      </c>
      <c r="D26" s="212" t="s">
        <v>151</v>
      </c>
      <c r="E26" s="65"/>
      <c r="F26" s="212" t="s">
        <v>151</v>
      </c>
      <c r="G26" s="65"/>
      <c r="H26" s="112"/>
      <c r="I26" s="65"/>
      <c r="J26" s="84" t="s">
        <v>57</v>
      </c>
      <c r="K26" s="65"/>
      <c r="L26" s="256" t="s">
        <v>41</v>
      </c>
      <c r="M26" s="65"/>
      <c r="N26" s="212" t="s">
        <v>151</v>
      </c>
      <c r="O26" s="58"/>
      <c r="P26" s="14" t="s">
        <v>224</v>
      </c>
      <c r="Q26" s="65"/>
      <c r="R26" s="112"/>
      <c r="S26" s="65" t="s">
        <v>136</v>
      </c>
      <c r="T26" s="228" t="s">
        <v>331</v>
      </c>
      <c r="U26" s="65" t="s">
        <v>51</v>
      </c>
      <c r="V26" s="225" t="s">
        <v>57</v>
      </c>
      <c r="W26" s="65"/>
      <c r="X26" s="212" t="s">
        <v>151</v>
      </c>
      <c r="Y26" s="65"/>
      <c r="Z26" s="14" t="s">
        <v>41</v>
      </c>
      <c r="AA26" s="65"/>
      <c r="AB26" s="14"/>
      <c r="AC26" s="65"/>
      <c r="AD26" s="15"/>
      <c r="AE26" s="65"/>
      <c r="AF26" s="14"/>
      <c r="AG26" s="65"/>
      <c r="AH26" s="14"/>
      <c r="AI26" s="65"/>
      <c r="AJ26" s="70" t="s">
        <v>325</v>
      </c>
      <c r="AK26" s="65"/>
      <c r="AL26" s="14" t="s">
        <v>41</v>
      </c>
      <c r="AM26" s="65"/>
      <c r="AN26" s="33" t="s">
        <v>57</v>
      </c>
      <c r="AO26" s="65"/>
      <c r="AP26" s="523"/>
      <c r="AQ26" s="524"/>
      <c r="AR26" s="33"/>
      <c r="AS26" s="34"/>
      <c r="AT26" s="191">
        <v>22</v>
      </c>
      <c r="AU26" s="190" t="s">
        <v>132</v>
      </c>
      <c r="AV26" s="506">
        <v>9</v>
      </c>
      <c r="AW26" s="37"/>
      <c r="AX26" s="70"/>
      <c r="AY26" s="72"/>
      <c r="AZ26" s="70"/>
      <c r="BA26" s="72"/>
      <c r="BB26" s="72" t="s">
        <v>41</v>
      </c>
      <c r="BC26" s="15"/>
      <c r="BD26" s="67" t="s">
        <v>41</v>
      </c>
      <c r="BE26" s="37"/>
      <c r="BF26" s="67" t="s">
        <v>34</v>
      </c>
      <c r="BG26" s="69"/>
      <c r="BH26" s="67" t="s">
        <v>34</v>
      </c>
      <c r="BI26" s="69"/>
      <c r="BJ26" s="69" t="s">
        <v>34</v>
      </c>
      <c r="BK26" s="87"/>
      <c r="BL26" s="67" t="s">
        <v>34</v>
      </c>
      <c r="BM26" s="37"/>
      <c r="BN26" s="70" t="s">
        <v>61</v>
      </c>
      <c r="BO26" s="72"/>
      <c r="BP26" s="71" t="s">
        <v>33</v>
      </c>
      <c r="BQ26" s="72"/>
      <c r="BR26" s="73" t="s">
        <v>33</v>
      </c>
      <c r="BS26" s="58"/>
      <c r="BT26" s="70" t="s">
        <v>61</v>
      </c>
      <c r="BU26" s="96"/>
      <c r="BV26" s="70"/>
      <c r="BW26" s="69"/>
      <c r="BX26" s="67"/>
      <c r="BY26" s="69"/>
      <c r="BZ26" s="69"/>
      <c r="CA26" s="97"/>
      <c r="CB26" s="67"/>
      <c r="CC26" s="142">
        <v>22</v>
      </c>
      <c r="CD26" s="142" t="s">
        <v>132</v>
      </c>
      <c r="CE26" s="506">
        <v>8</v>
      </c>
      <c r="CF26" s="311">
        <f t="shared" si="0"/>
        <v>2</v>
      </c>
      <c r="CG26" s="76">
        <f t="shared" si="1"/>
        <v>4</v>
      </c>
      <c r="CH26" s="27"/>
      <c r="CI26" s="207" t="s">
        <v>306</v>
      </c>
      <c r="CJ26" s="449"/>
      <c r="CK26" s="450"/>
    </row>
    <row r="27" spans="1:89" ht="15" customHeight="1">
      <c r="A27" s="142">
        <v>23</v>
      </c>
      <c r="B27" s="142" t="s">
        <v>133</v>
      </c>
      <c r="C27" s="507"/>
      <c r="D27" s="212" t="s">
        <v>151</v>
      </c>
      <c r="E27" s="65"/>
      <c r="F27" s="212" t="s">
        <v>151</v>
      </c>
      <c r="G27" s="65"/>
      <c r="H27" s="14" t="s">
        <v>41</v>
      </c>
      <c r="I27" s="65"/>
      <c r="J27" s="84" t="s">
        <v>57</v>
      </c>
      <c r="K27" s="65"/>
      <c r="L27" s="14"/>
      <c r="M27" s="65" t="s">
        <v>136</v>
      </c>
      <c r="N27" s="212" t="s">
        <v>151</v>
      </c>
      <c r="O27" s="58"/>
      <c r="P27" s="14"/>
      <c r="Q27" s="65"/>
      <c r="R27" s="112"/>
      <c r="S27" s="65"/>
      <c r="T27" s="15"/>
      <c r="U27" s="65"/>
      <c r="V27" s="15"/>
      <c r="W27" s="65" t="s">
        <v>51</v>
      </c>
      <c r="X27" s="212" t="s">
        <v>151</v>
      </c>
      <c r="Y27" s="65"/>
      <c r="Z27" s="14" t="s">
        <v>41</v>
      </c>
      <c r="AA27" s="65"/>
      <c r="AB27" s="14"/>
      <c r="AC27" s="65"/>
      <c r="AD27" s="15" t="s">
        <v>65</v>
      </c>
      <c r="AE27" s="65"/>
      <c r="AF27" s="14"/>
      <c r="AG27" s="65"/>
      <c r="AH27" s="14"/>
      <c r="AI27" s="65"/>
      <c r="AJ27" s="70" t="s">
        <v>325</v>
      </c>
      <c r="AK27" s="65"/>
      <c r="AL27" s="14" t="s">
        <v>41</v>
      </c>
      <c r="AM27" s="65"/>
      <c r="AN27" s="33" t="s">
        <v>57</v>
      </c>
      <c r="AO27" s="65"/>
      <c r="AP27" s="155"/>
      <c r="AQ27" s="156"/>
      <c r="AR27" s="33"/>
      <c r="AS27" s="34"/>
      <c r="AT27" s="191">
        <v>23</v>
      </c>
      <c r="AU27" s="190" t="s">
        <v>133</v>
      </c>
      <c r="AV27" s="507"/>
      <c r="AW27" s="14"/>
      <c r="AX27" s="70"/>
      <c r="AY27" s="72"/>
      <c r="AZ27" s="70"/>
      <c r="BA27" s="72"/>
      <c r="BB27" s="72" t="s">
        <v>65</v>
      </c>
      <c r="BC27" s="58"/>
      <c r="BD27" s="67" t="s">
        <v>41</v>
      </c>
      <c r="BE27" s="37"/>
      <c r="BF27" s="70"/>
      <c r="BG27" s="72"/>
      <c r="BH27" s="70"/>
      <c r="BI27" s="72"/>
      <c r="BJ27" s="72"/>
      <c r="BK27" s="15"/>
      <c r="BL27" s="70"/>
      <c r="BM27" s="37"/>
      <c r="BN27" s="67" t="s">
        <v>34</v>
      </c>
      <c r="BO27" s="69"/>
      <c r="BP27" s="67" t="s">
        <v>34</v>
      </c>
      <c r="BQ27" s="69"/>
      <c r="BR27" s="69" t="s">
        <v>34</v>
      </c>
      <c r="BS27" s="87"/>
      <c r="BT27" s="67" t="s">
        <v>34</v>
      </c>
      <c r="BU27" s="96"/>
      <c r="BV27" s="70"/>
      <c r="BW27" s="72"/>
      <c r="BX27" s="71" t="s">
        <v>33</v>
      </c>
      <c r="BY27" s="72"/>
      <c r="BZ27" s="73" t="s">
        <v>33</v>
      </c>
      <c r="CA27" s="58"/>
      <c r="CB27" s="71" t="s">
        <v>33</v>
      </c>
      <c r="CC27" s="142">
        <v>23</v>
      </c>
      <c r="CD27" s="142" t="s">
        <v>133</v>
      </c>
      <c r="CE27" s="507"/>
      <c r="CF27" s="311">
        <f t="shared" si="0"/>
        <v>3</v>
      </c>
      <c r="CG27" s="76">
        <f t="shared" si="1"/>
        <v>4</v>
      </c>
      <c r="CH27" s="197" t="s">
        <v>306</v>
      </c>
      <c r="CI27" s="207" t="s">
        <v>306</v>
      </c>
      <c r="CJ27" s="449"/>
      <c r="CK27" s="450"/>
    </row>
    <row r="28" spans="1:89" ht="15" customHeight="1">
      <c r="A28" s="142">
        <v>24</v>
      </c>
      <c r="B28" s="142" t="s">
        <v>127</v>
      </c>
      <c r="C28" s="507"/>
      <c r="D28" s="212" t="s">
        <v>151</v>
      </c>
      <c r="E28" s="65"/>
      <c r="F28" s="212" t="s">
        <v>151</v>
      </c>
      <c r="G28" s="65"/>
      <c r="H28" s="14" t="s">
        <v>41</v>
      </c>
      <c r="I28" s="65"/>
      <c r="J28" s="84" t="s">
        <v>57</v>
      </c>
      <c r="K28" s="65"/>
      <c r="L28" s="14"/>
      <c r="M28" s="65" t="s">
        <v>136</v>
      </c>
      <c r="N28" s="212" t="s">
        <v>151</v>
      </c>
      <c r="O28" s="58"/>
      <c r="P28" s="14"/>
      <c r="Q28" s="65"/>
      <c r="R28" s="231" t="s">
        <v>320</v>
      </c>
      <c r="S28" s="65"/>
      <c r="T28" s="15"/>
      <c r="U28" s="65"/>
      <c r="V28" s="15"/>
      <c r="W28" s="65" t="s">
        <v>51</v>
      </c>
      <c r="X28" s="212" t="s">
        <v>151</v>
      </c>
      <c r="Y28" s="65"/>
      <c r="Z28" s="14" t="s">
        <v>41</v>
      </c>
      <c r="AA28" s="65"/>
      <c r="AB28" s="14"/>
      <c r="AC28" s="65"/>
      <c r="AD28" s="15" t="s">
        <v>65</v>
      </c>
      <c r="AE28" s="65"/>
      <c r="AF28" s="14"/>
      <c r="AG28" s="65"/>
      <c r="AH28" s="14"/>
      <c r="AI28" s="65"/>
      <c r="AJ28" s="14"/>
      <c r="AK28" s="65"/>
      <c r="AL28" s="14"/>
      <c r="AM28" s="65"/>
      <c r="AN28" s="33" t="s">
        <v>57</v>
      </c>
      <c r="AO28" s="65"/>
      <c r="AP28" s="523" t="s">
        <v>187</v>
      </c>
      <c r="AQ28" s="524"/>
      <c r="AR28" s="236"/>
      <c r="AS28" s="34"/>
      <c r="AT28" s="191">
        <v>24</v>
      </c>
      <c r="AU28" s="190" t="s">
        <v>127</v>
      </c>
      <c r="AV28" s="507"/>
      <c r="AW28" s="14"/>
      <c r="AX28" s="71" t="s">
        <v>33</v>
      </c>
      <c r="AY28" s="72"/>
      <c r="AZ28" s="71" t="s">
        <v>33</v>
      </c>
      <c r="BA28" s="72"/>
      <c r="BB28" s="69" t="s">
        <v>65</v>
      </c>
      <c r="BC28" s="58"/>
      <c r="BD28" s="67" t="s">
        <v>41</v>
      </c>
      <c r="BE28" s="14"/>
      <c r="BF28" s="70"/>
      <c r="BG28" s="72"/>
      <c r="BH28" s="70"/>
      <c r="BI28" s="72"/>
      <c r="BJ28" s="72"/>
      <c r="BK28" s="58"/>
      <c r="BL28" s="70"/>
      <c r="BM28" s="37"/>
      <c r="BN28" s="188" t="s">
        <v>47</v>
      </c>
      <c r="BO28" s="72"/>
      <c r="BP28" s="70"/>
      <c r="BQ28" s="72"/>
      <c r="BR28" s="72"/>
      <c r="BS28" s="15"/>
      <c r="BT28" s="70"/>
      <c r="BU28" s="37"/>
      <c r="BV28" s="70"/>
      <c r="BW28" s="69"/>
      <c r="BX28" s="67" t="s">
        <v>34</v>
      </c>
      <c r="BY28" s="69"/>
      <c r="BZ28" s="69" t="s">
        <v>34</v>
      </c>
      <c r="CA28" s="87"/>
      <c r="CB28" s="67" t="s">
        <v>34</v>
      </c>
      <c r="CC28" s="142">
        <v>24</v>
      </c>
      <c r="CD28" s="142" t="s">
        <v>127</v>
      </c>
      <c r="CE28" s="507"/>
      <c r="CF28" s="311">
        <f t="shared" si="0"/>
        <v>2</v>
      </c>
      <c r="CG28" s="76">
        <f t="shared" si="1"/>
        <v>4</v>
      </c>
      <c r="CH28" s="197" t="s">
        <v>306</v>
      </c>
      <c r="CI28" s="28"/>
      <c r="CJ28" s="523" t="s">
        <v>187</v>
      </c>
      <c r="CK28" s="524"/>
    </row>
    <row r="29" spans="1:89" ht="15" customHeight="1">
      <c r="A29" s="142">
        <v>25</v>
      </c>
      <c r="B29" s="142" t="s">
        <v>128</v>
      </c>
      <c r="C29" s="507"/>
      <c r="D29" s="212" t="s">
        <v>151</v>
      </c>
      <c r="E29" s="65"/>
      <c r="F29" s="212" t="s">
        <v>151</v>
      </c>
      <c r="G29" s="65"/>
      <c r="H29" s="14" t="s">
        <v>330</v>
      </c>
      <c r="I29" s="65" t="s">
        <v>136</v>
      </c>
      <c r="J29" s="84" t="s">
        <v>57</v>
      </c>
      <c r="K29" s="65"/>
      <c r="L29" s="259" t="s">
        <v>332</v>
      </c>
      <c r="M29" s="65"/>
      <c r="N29" s="212" t="s">
        <v>151</v>
      </c>
      <c r="O29" s="58"/>
      <c r="P29" s="14" t="s">
        <v>333</v>
      </c>
      <c r="Q29" s="65"/>
      <c r="R29" s="14" t="s">
        <v>330</v>
      </c>
      <c r="S29" s="65" t="s">
        <v>51</v>
      </c>
      <c r="T29" s="228" t="s">
        <v>332</v>
      </c>
      <c r="U29" s="65"/>
      <c r="V29" s="15" t="s">
        <v>57</v>
      </c>
      <c r="W29" s="65"/>
      <c r="X29" s="212" t="s">
        <v>151</v>
      </c>
      <c r="Y29" s="65"/>
      <c r="Z29" s="14" t="s">
        <v>41</v>
      </c>
      <c r="AA29" s="65"/>
      <c r="AB29" s="14"/>
      <c r="AC29" s="65"/>
      <c r="AD29" s="15"/>
      <c r="AE29" s="65"/>
      <c r="AF29" s="14"/>
      <c r="AG29" s="65"/>
      <c r="AH29" s="14"/>
      <c r="AI29" s="65"/>
      <c r="AJ29" s="70" t="s">
        <v>325</v>
      </c>
      <c r="AK29" s="65"/>
      <c r="AL29" s="14"/>
      <c r="AM29" s="65"/>
      <c r="AN29" s="33" t="s">
        <v>57</v>
      </c>
      <c r="AO29" s="65"/>
      <c r="AP29" s="155"/>
      <c r="AQ29" s="156"/>
      <c r="AR29" s="33"/>
      <c r="AS29" s="34"/>
      <c r="AT29" s="191">
        <v>25</v>
      </c>
      <c r="AU29" s="190" t="s">
        <v>128</v>
      </c>
      <c r="AV29" s="507"/>
      <c r="AW29" s="37"/>
      <c r="AX29" s="67" t="s">
        <v>41</v>
      </c>
      <c r="AY29" s="69"/>
      <c r="AZ29" s="67" t="s">
        <v>34</v>
      </c>
      <c r="BA29" s="69"/>
      <c r="BB29" s="69" t="s">
        <v>41</v>
      </c>
      <c r="BC29" s="87"/>
      <c r="BD29" s="67" t="s">
        <v>41</v>
      </c>
      <c r="BE29" s="14"/>
      <c r="BF29" s="71" t="s">
        <v>33</v>
      </c>
      <c r="BG29" s="72"/>
      <c r="BH29" s="71" t="s">
        <v>33</v>
      </c>
      <c r="BI29" s="72"/>
      <c r="BJ29" s="73" t="s">
        <v>33</v>
      </c>
      <c r="BK29" s="58"/>
      <c r="BL29" s="71" t="s">
        <v>33</v>
      </c>
      <c r="BM29" s="37"/>
      <c r="BN29" s="70"/>
      <c r="BO29" s="72"/>
      <c r="BP29" s="70"/>
      <c r="BQ29" s="72"/>
      <c r="BR29" s="72"/>
      <c r="BS29" s="15"/>
      <c r="BT29" s="70"/>
      <c r="BU29" s="37"/>
      <c r="BV29" s="70"/>
      <c r="BW29" s="72"/>
      <c r="BX29" s="194" t="s">
        <v>47</v>
      </c>
      <c r="BY29" s="72"/>
      <c r="BZ29" s="72"/>
      <c r="CA29" s="15"/>
      <c r="CB29" s="70"/>
      <c r="CC29" s="142">
        <v>25</v>
      </c>
      <c r="CD29" s="142" t="s">
        <v>128</v>
      </c>
      <c r="CE29" s="507"/>
      <c r="CF29" s="311">
        <f t="shared" si="0"/>
        <v>4</v>
      </c>
      <c r="CG29" s="76">
        <f t="shared" si="1"/>
        <v>2</v>
      </c>
      <c r="CH29" s="27"/>
      <c r="CI29" s="28"/>
      <c r="CJ29" s="449"/>
      <c r="CK29" s="450"/>
    </row>
    <row r="30" spans="1:89" ht="15" customHeight="1">
      <c r="A30" s="142">
        <v>26</v>
      </c>
      <c r="B30" s="142" t="s">
        <v>129</v>
      </c>
      <c r="C30" s="507"/>
      <c r="D30" s="212" t="s">
        <v>151</v>
      </c>
      <c r="E30" s="65"/>
      <c r="F30" s="212" t="s">
        <v>151</v>
      </c>
      <c r="G30" s="65"/>
      <c r="H30" s="14" t="s">
        <v>330</v>
      </c>
      <c r="I30" s="65" t="s">
        <v>136</v>
      </c>
      <c r="J30" s="198" t="s">
        <v>57</v>
      </c>
      <c r="K30" s="65"/>
      <c r="L30" s="14" t="s">
        <v>330</v>
      </c>
      <c r="M30" s="65" t="s">
        <v>51</v>
      </c>
      <c r="N30" s="212" t="s">
        <v>151</v>
      </c>
      <c r="O30" s="58"/>
      <c r="P30" s="14" t="s">
        <v>224</v>
      </c>
      <c r="Q30" s="65"/>
      <c r="R30" s="113"/>
      <c r="S30" s="65"/>
      <c r="T30" s="113"/>
      <c r="U30" s="65"/>
      <c r="V30" s="15" t="s">
        <v>57</v>
      </c>
      <c r="W30" s="65"/>
      <c r="X30" s="212" t="s">
        <v>151</v>
      </c>
      <c r="Y30" s="65"/>
      <c r="Z30" s="239" t="s">
        <v>41</v>
      </c>
      <c r="AA30" s="65"/>
      <c r="AB30" s="113"/>
      <c r="AC30" s="65"/>
      <c r="AD30" s="113"/>
      <c r="AE30" s="65"/>
      <c r="AF30" s="113"/>
      <c r="AG30" s="65"/>
      <c r="AH30" s="113"/>
      <c r="AI30" s="65"/>
      <c r="AJ30" s="70" t="s">
        <v>325</v>
      </c>
      <c r="AK30" s="65"/>
      <c r="AL30" s="113"/>
      <c r="AM30" s="65"/>
      <c r="AN30" s="33" t="s">
        <v>57</v>
      </c>
      <c r="AO30" s="65"/>
      <c r="AP30" s="153"/>
      <c r="AQ30" s="156"/>
      <c r="AR30" s="33"/>
      <c r="AS30" s="34"/>
      <c r="AT30" s="191">
        <v>26</v>
      </c>
      <c r="AU30" s="190" t="s">
        <v>129</v>
      </c>
      <c r="AV30" s="507"/>
      <c r="AW30" s="37"/>
      <c r="AX30" s="70"/>
      <c r="AY30" s="72"/>
      <c r="AZ30" s="70"/>
      <c r="BA30" s="72"/>
      <c r="BB30" s="72" t="s">
        <v>41</v>
      </c>
      <c r="BC30" s="15"/>
      <c r="BD30" s="67" t="s">
        <v>41</v>
      </c>
      <c r="BE30" s="37"/>
      <c r="BF30" s="67" t="s">
        <v>34</v>
      </c>
      <c r="BG30" s="69"/>
      <c r="BH30" s="67" t="s">
        <v>34</v>
      </c>
      <c r="BI30" s="69"/>
      <c r="BJ30" s="73" t="s">
        <v>41</v>
      </c>
      <c r="BK30" s="87"/>
      <c r="BL30" s="67" t="s">
        <v>34</v>
      </c>
      <c r="BM30" s="37"/>
      <c r="BN30" s="71" t="s">
        <v>33</v>
      </c>
      <c r="BO30" s="72"/>
      <c r="BP30" s="71" t="s">
        <v>41</v>
      </c>
      <c r="BQ30" s="72"/>
      <c r="BR30" s="221" t="s">
        <v>47</v>
      </c>
      <c r="BS30" s="58"/>
      <c r="BT30" s="70" t="s">
        <v>41</v>
      </c>
      <c r="BU30" s="96"/>
      <c r="BV30" s="70"/>
      <c r="BW30" s="69"/>
      <c r="BX30" s="67"/>
      <c r="BY30" s="69"/>
      <c r="BZ30" s="69"/>
      <c r="CA30" s="97"/>
      <c r="CB30" s="67"/>
      <c r="CC30" s="142">
        <v>26</v>
      </c>
      <c r="CD30" s="142" t="s">
        <v>129</v>
      </c>
      <c r="CE30" s="507"/>
      <c r="CF30" s="311">
        <f t="shared" si="0"/>
        <v>1</v>
      </c>
      <c r="CG30" s="76">
        <f t="shared" si="1"/>
        <v>4</v>
      </c>
      <c r="CH30" s="27"/>
      <c r="CI30" s="28"/>
      <c r="CJ30" s="449"/>
      <c r="CK30" s="450"/>
    </row>
    <row r="31" spans="1:89" ht="15" customHeight="1">
      <c r="A31" s="142">
        <v>27</v>
      </c>
      <c r="B31" s="142" t="s">
        <v>130</v>
      </c>
      <c r="C31" s="507"/>
      <c r="D31" s="16"/>
      <c r="E31" s="17"/>
      <c r="F31" s="16"/>
      <c r="G31" s="17"/>
      <c r="H31" s="16"/>
      <c r="I31" s="17"/>
      <c r="J31" s="84" t="s">
        <v>57</v>
      </c>
      <c r="K31" s="17"/>
      <c r="L31" s="16"/>
      <c r="M31" s="17"/>
      <c r="N31" s="16"/>
      <c r="O31" s="59" t="s">
        <v>53</v>
      </c>
      <c r="P31" s="16"/>
      <c r="Q31" s="17"/>
      <c r="R31" s="18"/>
      <c r="S31" s="17"/>
      <c r="T31" s="18"/>
      <c r="U31" s="17"/>
      <c r="V31" s="18"/>
      <c r="W31" s="17"/>
      <c r="X31" s="18"/>
      <c r="Y31" s="17"/>
      <c r="Z31" s="14" t="s">
        <v>41</v>
      </c>
      <c r="AA31" s="17"/>
      <c r="AB31" s="16"/>
      <c r="AC31" s="17"/>
      <c r="AD31" s="18"/>
      <c r="AE31" s="17"/>
      <c r="AF31" s="16"/>
      <c r="AG31" s="17"/>
      <c r="AH31" s="16"/>
      <c r="AI31" s="17" t="s">
        <v>137</v>
      </c>
      <c r="AJ31" s="16"/>
      <c r="AK31" s="17"/>
      <c r="AL31" s="16"/>
      <c r="AM31" s="17"/>
      <c r="AN31" s="33" t="s">
        <v>57</v>
      </c>
      <c r="AO31" s="17"/>
      <c r="AP31" s="511"/>
      <c r="AQ31" s="512"/>
      <c r="AR31" s="104"/>
      <c r="AS31" s="105"/>
      <c r="AT31" s="192">
        <v>27</v>
      </c>
      <c r="AU31" s="13" t="s">
        <v>130</v>
      </c>
      <c r="AV31" s="507"/>
      <c r="AW31" s="16"/>
      <c r="AX31" s="71"/>
      <c r="AY31" s="73"/>
      <c r="AZ31" s="71"/>
      <c r="BA31" s="73"/>
      <c r="BB31" s="73"/>
      <c r="BC31" s="59"/>
      <c r="BD31" s="73"/>
      <c r="BE31" s="38"/>
      <c r="BF31" s="71"/>
      <c r="BG31" s="73"/>
      <c r="BH31" s="71"/>
      <c r="BI31" s="73"/>
      <c r="BJ31" s="73"/>
      <c r="BK31" s="18"/>
      <c r="BL31" s="71"/>
      <c r="BM31" s="38"/>
      <c r="BN31" s="66" t="s">
        <v>34</v>
      </c>
      <c r="BO31" s="68"/>
      <c r="BP31" s="66" t="s">
        <v>34</v>
      </c>
      <c r="BQ31" s="68"/>
      <c r="BR31" s="68" t="s">
        <v>34</v>
      </c>
      <c r="BS31" s="110"/>
      <c r="BT31" s="67" t="s">
        <v>61</v>
      </c>
      <c r="BU31" s="108"/>
      <c r="BV31" s="73"/>
      <c r="BW31" s="73"/>
      <c r="BX31" s="70" t="s">
        <v>61</v>
      </c>
      <c r="BY31" s="73"/>
      <c r="BZ31" s="73" t="s">
        <v>33</v>
      </c>
      <c r="CA31" s="59"/>
      <c r="CB31" s="71" t="s">
        <v>33</v>
      </c>
      <c r="CC31" s="22">
        <v>27</v>
      </c>
      <c r="CD31" s="22" t="s">
        <v>130</v>
      </c>
      <c r="CE31" s="507"/>
      <c r="CF31" s="311">
        <f t="shared" si="0"/>
        <v>2</v>
      </c>
      <c r="CG31" s="76">
        <f t="shared" si="1"/>
        <v>3</v>
      </c>
      <c r="CH31" s="27"/>
      <c r="CI31" s="28"/>
      <c r="CJ31" s="449"/>
      <c r="CK31" s="450"/>
    </row>
    <row r="32" spans="1:89" ht="15" customHeight="1" thickBot="1">
      <c r="A32" s="142">
        <v>28</v>
      </c>
      <c r="B32" s="142" t="s">
        <v>131</v>
      </c>
      <c r="C32" s="508"/>
      <c r="D32" s="16"/>
      <c r="E32" s="17"/>
      <c r="F32" s="16"/>
      <c r="G32" s="17"/>
      <c r="H32" s="16"/>
      <c r="I32" s="17"/>
      <c r="J32" s="84" t="s">
        <v>57</v>
      </c>
      <c r="K32" s="17"/>
      <c r="L32" s="16"/>
      <c r="M32" s="17"/>
      <c r="N32" s="16"/>
      <c r="O32" s="59"/>
      <c r="P32" s="16"/>
      <c r="Q32" s="17"/>
      <c r="R32" s="18"/>
      <c r="S32" s="17"/>
      <c r="T32" s="18"/>
      <c r="U32" s="17"/>
      <c r="V32" s="18"/>
      <c r="W32" s="17"/>
      <c r="X32" s="18"/>
      <c r="Y32" s="17"/>
      <c r="Z32" s="14" t="s">
        <v>41</v>
      </c>
      <c r="AA32" s="17"/>
      <c r="AB32" s="16"/>
      <c r="AC32" s="17"/>
      <c r="AD32" s="18"/>
      <c r="AE32" s="17" t="s">
        <v>53</v>
      </c>
      <c r="AF32" s="16"/>
      <c r="AG32" s="17"/>
      <c r="AH32" s="16"/>
      <c r="AI32" s="17" t="s">
        <v>137</v>
      </c>
      <c r="AJ32" s="16"/>
      <c r="AK32" s="17"/>
      <c r="AL32" s="16"/>
      <c r="AM32" s="17"/>
      <c r="AN32" s="33" t="s">
        <v>57</v>
      </c>
      <c r="AO32" s="17"/>
      <c r="AP32" s="525"/>
      <c r="AQ32" s="526"/>
      <c r="AR32" s="104"/>
      <c r="AS32" s="105"/>
      <c r="AT32" s="192">
        <v>28</v>
      </c>
      <c r="AU32" s="137" t="s">
        <v>131</v>
      </c>
      <c r="AV32" s="508"/>
      <c r="AW32" s="16"/>
      <c r="AX32" s="188" t="s">
        <v>47</v>
      </c>
      <c r="AY32" s="73"/>
      <c r="AZ32" s="71" t="s">
        <v>33</v>
      </c>
      <c r="BA32" s="73"/>
      <c r="BB32" s="72" t="s">
        <v>61</v>
      </c>
      <c r="BC32" s="59"/>
      <c r="BD32" s="67" t="s">
        <v>61</v>
      </c>
      <c r="BE32" s="16"/>
      <c r="BF32" s="71"/>
      <c r="BG32" s="73"/>
      <c r="BH32" s="71"/>
      <c r="BI32" s="73"/>
      <c r="BJ32" s="73"/>
      <c r="BK32" s="59"/>
      <c r="BL32" s="71"/>
      <c r="BM32" s="38"/>
      <c r="BN32" s="188" t="s">
        <v>47</v>
      </c>
      <c r="BO32" s="73"/>
      <c r="BP32" s="71"/>
      <c r="BQ32" s="73"/>
      <c r="BR32" s="73"/>
      <c r="BS32" s="18"/>
      <c r="BT32" s="188" t="s">
        <v>55</v>
      </c>
      <c r="BU32" s="108"/>
      <c r="BV32" s="68"/>
      <c r="BW32" s="68"/>
      <c r="BX32" s="66" t="s">
        <v>34</v>
      </c>
      <c r="BY32" s="68"/>
      <c r="BZ32" s="69" t="s">
        <v>61</v>
      </c>
      <c r="CA32" s="110"/>
      <c r="CB32" s="195" t="s">
        <v>40</v>
      </c>
      <c r="CC32" s="22">
        <v>28</v>
      </c>
      <c r="CD32" s="22" t="s">
        <v>131</v>
      </c>
      <c r="CE32" s="508"/>
      <c r="CF32" s="311">
        <f t="shared" si="0"/>
        <v>2</v>
      </c>
      <c r="CG32" s="76">
        <f t="shared" si="1"/>
        <v>4</v>
      </c>
      <c r="CH32" s="27"/>
      <c r="CI32" s="28"/>
      <c r="CJ32" s="449"/>
      <c r="CK32" s="450"/>
    </row>
    <row r="33" spans="3:83" ht="15" customHeight="1" thickBot="1">
      <c r="D33" s="8">
        <f t="shared" ref="D33:AN33" si="2">(COUNTIF(D5:D32,"הרצליה")+COUNTIF(D5:D32,"חיפה")+COUNTIF(D5:D32,"רמון")+COUNTIF(D5:D32,"ראש פינה")+COUNTIF(D5:D32,"ה.ב"))</f>
        <v>6</v>
      </c>
      <c r="E33" s="9">
        <f t="shared" ref="E33:AO33" si="3">(COUNTIF(E5:E32,"כ")+COUNTIF(E5:E32,"כמ"))*6+(COUNTIF(E5:E32,"כש")+COUNTIF(E5:E32,"כמש"))*10</f>
        <v>18</v>
      </c>
      <c r="F33" s="8">
        <f t="shared" si="2"/>
        <v>6</v>
      </c>
      <c r="G33" s="9">
        <f t="shared" si="3"/>
        <v>18</v>
      </c>
      <c r="H33" s="8">
        <f t="shared" si="2"/>
        <v>3</v>
      </c>
      <c r="I33" s="9">
        <f t="shared" si="3"/>
        <v>18</v>
      </c>
      <c r="J33" s="8">
        <f t="shared" si="2"/>
        <v>0</v>
      </c>
      <c r="K33" s="9">
        <f t="shared" si="3"/>
        <v>0</v>
      </c>
      <c r="L33" s="8">
        <f t="shared" si="2"/>
        <v>3</v>
      </c>
      <c r="M33" s="9">
        <f t="shared" si="3"/>
        <v>18</v>
      </c>
      <c r="N33" s="8">
        <f t="shared" si="2"/>
        <v>6</v>
      </c>
      <c r="O33" s="9">
        <f t="shared" si="3"/>
        <v>36</v>
      </c>
      <c r="P33" s="8">
        <f t="shared" si="2"/>
        <v>4</v>
      </c>
      <c r="Q33" s="9">
        <f t="shared" si="3"/>
        <v>18</v>
      </c>
      <c r="R33" s="8">
        <f t="shared" si="2"/>
        <v>2</v>
      </c>
      <c r="S33" s="9">
        <f t="shared" si="3"/>
        <v>18</v>
      </c>
      <c r="T33" s="8">
        <f t="shared" si="2"/>
        <v>2</v>
      </c>
      <c r="U33" s="9">
        <f t="shared" si="3"/>
        <v>18</v>
      </c>
      <c r="V33" s="8">
        <f t="shared" si="2"/>
        <v>0</v>
      </c>
      <c r="W33" s="9">
        <f t="shared" si="3"/>
        <v>18</v>
      </c>
      <c r="X33" s="8">
        <f t="shared" si="2"/>
        <v>8</v>
      </c>
      <c r="Y33" s="9">
        <f t="shared" si="3"/>
        <v>46</v>
      </c>
      <c r="Z33" s="8">
        <f t="shared" si="2"/>
        <v>1</v>
      </c>
      <c r="AA33" s="9">
        <f t="shared" si="3"/>
        <v>0</v>
      </c>
      <c r="AB33" s="8">
        <f t="shared" si="2"/>
        <v>3</v>
      </c>
      <c r="AC33" s="9">
        <f t="shared" si="3"/>
        <v>30</v>
      </c>
      <c r="AD33" s="8">
        <f t="shared" si="2"/>
        <v>0</v>
      </c>
      <c r="AE33" s="9">
        <f t="shared" si="3"/>
        <v>38</v>
      </c>
      <c r="AF33" s="8">
        <f t="shared" si="2"/>
        <v>1</v>
      </c>
      <c r="AG33" s="9">
        <f t="shared" si="3"/>
        <v>40</v>
      </c>
      <c r="AH33" s="8">
        <f t="shared" si="2"/>
        <v>0</v>
      </c>
      <c r="AI33" s="9">
        <f t="shared" si="3"/>
        <v>30</v>
      </c>
      <c r="AJ33" s="8">
        <f t="shared" si="2"/>
        <v>1</v>
      </c>
      <c r="AK33" s="9">
        <f t="shared" si="3"/>
        <v>18</v>
      </c>
      <c r="AL33" s="8">
        <f t="shared" si="2"/>
        <v>2</v>
      </c>
      <c r="AM33" s="9">
        <f t="shared" si="3"/>
        <v>12</v>
      </c>
      <c r="AN33" s="8">
        <f t="shared" si="2"/>
        <v>0</v>
      </c>
      <c r="AO33" s="9">
        <f t="shared" si="3"/>
        <v>6</v>
      </c>
      <c r="AT33" s="482" t="s">
        <v>38</v>
      </c>
      <c r="AU33" s="483"/>
      <c r="AV33" s="484"/>
      <c r="AW33" s="485">
        <f>COUNTIF(AX4:AX32,"י")+COUNTIF(AX4:AX32,"Y")+COUNTIF(AX4:AX32,"2")</f>
        <v>6</v>
      </c>
      <c r="AX33" s="465"/>
      <c r="AY33" s="464">
        <f>COUNTIF(AZ4:AZ32,"י")+COUNTIF(AZ4:AZ32,"Y")+COUNTIF(AZ4:AZ32,"2")</f>
        <v>5</v>
      </c>
      <c r="AZ33" s="465"/>
      <c r="BA33" s="464">
        <f>COUNTIF(BB4:BB32,"י")+COUNTIF(BB4:BB32,"Y")+COUNTIF(BB4:BB32,"2")</f>
        <v>3</v>
      </c>
      <c r="BB33" s="465"/>
      <c r="BC33" s="464">
        <f>COUNTIF(BD4:BD32,"י")+COUNTIF(BD4:BD32,"Y")+COUNTIF(BD4:BD32,"2")</f>
        <v>6</v>
      </c>
      <c r="BD33" s="465"/>
      <c r="BE33" s="464">
        <f>COUNTIF(BF4:BF32,"י")+COUNTIF(BF4:BF32,"Y")+COUNTIF(BF4:BF32,"2")</f>
        <v>6</v>
      </c>
      <c r="BF33" s="465"/>
      <c r="BG33" s="464">
        <f>COUNTIF(BH4:BH32,"י")+COUNTIF(BH4:BH32,"Y")+COUNTIF(BH4:BH32,"2")</f>
        <v>7</v>
      </c>
      <c r="BH33" s="465"/>
      <c r="BI33" s="464">
        <f>COUNTIF(BJ4:BJ32,"י")+COUNTIF(BJ4:BJ32,"Y")+COUNTIF(BJ4:BJ32,"2")</f>
        <v>5</v>
      </c>
      <c r="BJ33" s="465"/>
      <c r="BK33" s="464">
        <f>COUNTIF(BL4:BL32,"י")+COUNTIF(BL4:BL32,"Y")+COUNTIF(BL4:BL32,"2")</f>
        <v>5</v>
      </c>
      <c r="BL33" s="465"/>
      <c r="BM33" s="464">
        <f>COUNTIF(BN4:BN32,"י")+COUNTIF(BN4:BN32,"Y")+COUNTIF(BN4:BN32,"2")</f>
        <v>5</v>
      </c>
      <c r="BN33" s="465"/>
      <c r="BO33" s="464">
        <f>COUNTIF(BP4:BP32,"י")+COUNTIF(BP4:BP32,"Y")+COUNTIF(BP4:BP32,"2")</f>
        <v>4</v>
      </c>
      <c r="BP33" s="465"/>
      <c r="BQ33" s="464">
        <f>COUNTIF(BR4:BR32,"י")+COUNTIF(BR4:BR32,"Y")+COUNTIF(BR4:BR32,"2")</f>
        <v>5</v>
      </c>
      <c r="BR33" s="465"/>
      <c r="BS33" s="464">
        <f>COUNTIF(BT4:BT32,"י")+COUNTIF(BT4:BT32,"Y")+COUNTIF(BT4:BT32,"2")</f>
        <v>1</v>
      </c>
      <c r="BT33" s="465"/>
      <c r="BU33" s="464">
        <f>COUNTIF(BV4:BV32,"י")+COUNTIF(BV4:BV32,"Y")+COUNTIF(BV4:BV32,"2")</f>
        <v>0</v>
      </c>
      <c r="BV33" s="465"/>
      <c r="BW33" s="464">
        <f>COUNTIF(BX4:BX32,"י")+COUNTIF(BX4:BX32,"Y")+COUNTIF(BX4:BX32,"2")</f>
        <v>5</v>
      </c>
      <c r="BX33" s="465"/>
      <c r="BY33" s="464">
        <f>COUNTIF(BZ4:BZ32,"י")+COUNTIF(BZ4:BZ32,"Y")+COUNTIF(BZ4:BZ32,"2")</f>
        <v>7</v>
      </c>
      <c r="BZ33" s="465"/>
      <c r="CA33" s="466">
        <f>COUNTIF(CB4:CB32,"י")+COUNTIF(CB4:CB32,"Y")+COUNTIF(CB4:CB32,"2")</f>
        <v>8</v>
      </c>
      <c r="CB33" s="467"/>
      <c r="CC33" s="468" t="s">
        <v>140</v>
      </c>
      <c r="CD33" s="469"/>
      <c r="CE33" s="470"/>
    </row>
    <row r="34" spans="3:83" ht="15" customHeight="1" thickBot="1">
      <c r="C34" s="1" t="s">
        <v>322</v>
      </c>
      <c r="D34" s="234">
        <f>D33+ינואר!D36</f>
        <v>7</v>
      </c>
      <c r="E34" s="234">
        <f>E33+ינואר!E36</f>
        <v>36</v>
      </c>
      <c r="F34" s="234">
        <f>F33+ינואר!F36</f>
        <v>8</v>
      </c>
      <c r="G34" s="234">
        <f>G33+ינואר!G36</f>
        <v>40</v>
      </c>
      <c r="H34" s="234">
        <f>H33+ינואר!H36</f>
        <v>3</v>
      </c>
      <c r="I34" s="234">
        <f>I33+ינואר!I36</f>
        <v>36</v>
      </c>
      <c r="J34" s="234">
        <f>J33+ינואר!J36</f>
        <v>1</v>
      </c>
      <c r="K34" s="234">
        <f>K33+ינואר!K36</f>
        <v>18</v>
      </c>
      <c r="L34" s="234">
        <f>L33+ינואר!L36</f>
        <v>4</v>
      </c>
      <c r="M34" s="234">
        <f>M33+ינואר!M36</f>
        <v>40</v>
      </c>
      <c r="N34" s="234">
        <f>N33+ינואר!N36</f>
        <v>11</v>
      </c>
      <c r="O34" s="234">
        <f>O33+ינואר!O36</f>
        <v>72</v>
      </c>
      <c r="P34" s="234">
        <f>P33+ינואר!P36</f>
        <v>4</v>
      </c>
      <c r="Q34" s="234">
        <f>Q33+ינואר!Q36</f>
        <v>36</v>
      </c>
      <c r="R34" s="234">
        <f>R33+ינואר!R36</f>
        <v>4</v>
      </c>
      <c r="S34" s="234">
        <f>S33+ינואר!S36</f>
        <v>36</v>
      </c>
      <c r="T34" s="234">
        <f>T33+ינואר!T36</f>
        <v>4</v>
      </c>
      <c r="U34" s="234">
        <f>U33+ינואר!U36</f>
        <v>36</v>
      </c>
      <c r="V34" s="234">
        <f>V33+ינואר!V36</f>
        <v>1</v>
      </c>
      <c r="W34" s="234">
        <f>W33+ינואר!W36</f>
        <v>36</v>
      </c>
      <c r="X34" s="234">
        <f>X33+ינואר!X36</f>
        <v>11</v>
      </c>
      <c r="Y34" s="234">
        <f>Y33+ינואר!Y36</f>
        <v>96</v>
      </c>
      <c r="Z34" s="234">
        <f>Z33+ינואר!Z36</f>
        <v>1</v>
      </c>
      <c r="AA34" s="234">
        <f>AA33+ינואר!AA36</f>
        <v>0</v>
      </c>
      <c r="AB34" s="234">
        <f>AB33+ינואר!AB36</f>
        <v>4</v>
      </c>
      <c r="AC34" s="234">
        <f>AC33+ינואר!AC36</f>
        <v>60</v>
      </c>
      <c r="AD34" s="234">
        <f>AD33+ינואר!AD36</f>
        <v>0</v>
      </c>
      <c r="AE34" s="234">
        <f>AE33+ינואר!AE36</f>
        <v>74</v>
      </c>
      <c r="AF34" s="234">
        <f>AF33+ינואר!AF36</f>
        <v>1</v>
      </c>
      <c r="AG34" s="234">
        <f>AG33+ינואר!AG36</f>
        <v>80</v>
      </c>
      <c r="AH34" s="234">
        <f>AH33+ינואר!AH36</f>
        <v>2</v>
      </c>
      <c r="AI34" s="234">
        <f>AI33+ינואר!AI36</f>
        <v>60</v>
      </c>
      <c r="AJ34" s="234">
        <f>AJ33+ינואר!AJ36</f>
        <v>3</v>
      </c>
      <c r="AK34" s="234">
        <f>AK33+ינואר!AK36</f>
        <v>36</v>
      </c>
      <c r="AL34" s="234">
        <f>AL33+ינואר!AL36</f>
        <v>2</v>
      </c>
      <c r="AM34" s="234">
        <f>AM33+ינואר!AM36</f>
        <v>36</v>
      </c>
      <c r="AN34" s="234">
        <f>AN33+ינואר!AN36</f>
        <v>1</v>
      </c>
      <c r="AO34" s="234">
        <f>AO33+ינואר!AO36</f>
        <v>24</v>
      </c>
      <c r="AT34" s="478" t="s">
        <v>39</v>
      </c>
      <c r="AU34" s="479"/>
      <c r="AV34" s="480"/>
      <c r="AW34" s="481">
        <f>COUNTIF(AX4:AX32,"ל")+COUNTIF(AX4:AX32,"L")+COUNTIF(AX4:AX32,"ל2")</f>
        <v>7</v>
      </c>
      <c r="AX34" s="475"/>
      <c r="AY34" s="474">
        <f>COUNTIF(AZ4:AZ32,"ל")+COUNTIF(AZ4:AZ32,"L")+COUNTIF(AZ4:AZ32,"ל2")</f>
        <v>7</v>
      </c>
      <c r="AZ34" s="475"/>
      <c r="BA34" s="474">
        <f>COUNTIF(BB4:BB32,"ל")+COUNTIF(BB4:BB32,"L")+COUNTIF(BB4:BB32,"ל2")</f>
        <v>5</v>
      </c>
      <c r="BB34" s="475"/>
      <c r="BC34" s="474">
        <f>COUNTIF(BD4:BD32,"ל")+COUNTIF(BD4:BD32,"L")+COUNTIF(BD4:BD32,"ל2")</f>
        <v>4</v>
      </c>
      <c r="BD34" s="475"/>
      <c r="BE34" s="474">
        <f>COUNTIF(BF4:BF32,"ל")+COUNTIF(BF4:BF32,"L")+COUNTIF(BF4:BF32,"ל2")</f>
        <v>7</v>
      </c>
      <c r="BF34" s="475"/>
      <c r="BG34" s="474">
        <f>COUNTIF(BH4:BH32,"ל")+COUNTIF(BH4:BH32,"L")+COUNTIF(BH4:BH32,"ל2")</f>
        <v>7</v>
      </c>
      <c r="BH34" s="475"/>
      <c r="BI34" s="474">
        <f>COUNTIF(BJ4:BJ32,"ל")+COUNTIF(BJ4:BJ32,"L")+COUNTIF(BJ4:BJ32,"ל2")</f>
        <v>7</v>
      </c>
      <c r="BJ34" s="475"/>
      <c r="BK34" s="474">
        <f>COUNTIF(BL4:BL32,"ל")+COUNTIF(BL4:BL32,"L")+COUNTIF(BL4:BL32,"ל2")</f>
        <v>5</v>
      </c>
      <c r="BL34" s="475"/>
      <c r="BM34" s="474">
        <f>COUNTIF(BN4:BN32,"ל")+COUNTIF(BN4:BN32,"L")+COUNTIF(BN4:BN32,"ל2")</f>
        <v>11</v>
      </c>
      <c r="BN34" s="475"/>
      <c r="BO34" s="474">
        <f>COUNTIF(BP4:BP32,"ל")+COUNTIF(BP4:BP32,"L")+COUNTIF(BP4:BP32,"ל2")</f>
        <v>6</v>
      </c>
      <c r="BP34" s="475"/>
      <c r="BQ34" s="474">
        <f>COUNTIF(BR4:BR32,"ל")+COUNTIF(BR4:BR32,"L")+COUNTIF(BR4:BR32,"ל2")</f>
        <v>7</v>
      </c>
      <c r="BR34" s="475"/>
      <c r="BS34" s="474">
        <f>COUNTIF(BT4:BT32,"ל")+COUNTIF(BT4:BT32,"L")+COUNTIF(BT4:BT32,"ל2")</f>
        <v>5</v>
      </c>
      <c r="BT34" s="475"/>
      <c r="BU34" s="474">
        <f>COUNTIF(BV4:BV32,"ל")+COUNTIF(BV4:BV32,"L")+COUNTIF(BV4:BV32,"ל2")</f>
        <v>0</v>
      </c>
      <c r="BV34" s="475"/>
      <c r="BW34" s="474">
        <f>COUNTIF(BX4:BX32,"ל")+COUNTIF(BX4:BX32,"L")+COUNTIF(BX4:BX32,"ל2")</f>
        <v>8</v>
      </c>
      <c r="BX34" s="475"/>
      <c r="BY34" s="474">
        <f>COUNTIF(BZ4:BZ32,"ל")+COUNTIF(BZ4:BZ32,"L")+COUNTIF(BZ4:BZ32,"ל2")</f>
        <v>5</v>
      </c>
      <c r="BZ34" s="475"/>
      <c r="CA34" s="476">
        <f>COUNTIF(CB4:CB32,"ל")+COUNTIF(CB4:CB32,"L")+COUNTIF(CB4:CB32,"ל2")</f>
        <v>6</v>
      </c>
      <c r="CB34" s="477"/>
      <c r="CC34" s="471"/>
      <c r="CD34" s="472"/>
      <c r="CE34" s="473"/>
    </row>
    <row r="35" spans="3:83" s="63" customFormat="1" ht="15" customHeight="1" thickBot="1">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W35" s="488">
        <f>(AW33*12)+(AW34*12)+(COUNTIF(AX4:AX32,"ק")*8)+(COUNTIF(AX4:AX32,"ח")*8)+(COUNTIF(AX4:AX32,"מ")*8)+(COUNTIF(AX4:AX32,"מיל")*8)</f>
        <v>164</v>
      </c>
      <c r="AX35" s="487"/>
      <c r="AY35" s="486">
        <f>(AY33*12)+(AY34*12)+(COUNTIF(AZ4:AZ32,"ק")*8)+(COUNTIF(AZ4:AZ32,"ח")*8)+(COUNTIF(AZ4:AZ32,"מ")*8)+(COUNTIF(AZ4:AZ32,"מיל")*8)</f>
        <v>160</v>
      </c>
      <c r="AZ35" s="487"/>
      <c r="BA35" s="486">
        <f>(BA33*12)+(BA34*12)+(COUNTIF(BB4:BB32,"ק")*8)+(COUNTIF(BB4:BB32,"ח")*8)+(COUNTIF(BB4:BB32,"מ")*8)+(COUNTIF(BB4:BB32,"מיל")*8)</f>
        <v>160</v>
      </c>
      <c r="BB35" s="487"/>
      <c r="BC35" s="486">
        <f>(BC33*12)+(BC34*12)+(COUNTIF(BD4:BD32,"ק")*8)+(COUNTIF(BD4:BD32,"ח")*8)+(COUNTIF(BD4:BD32,"מ")*8)+(COUNTIF(BD4:BD32,"מיל")*8)</f>
        <v>184</v>
      </c>
      <c r="BD35" s="487"/>
      <c r="BE35" s="486">
        <f>(BE33*12)+(BE34*12)+(COUNTIF(BF4:BF32,"ק")*8)+(COUNTIF(BF4:BF32,"ח")*8)+(COUNTIF(BF4:BF32,"מ")*8)+(COUNTIF(BF4:BF32,"מיל")*8)</f>
        <v>172</v>
      </c>
      <c r="BF35" s="487"/>
      <c r="BG35" s="486">
        <f>(BG33*12)+(BG34*12)+(COUNTIF(BH4:BH32,"ק")*8)+(COUNTIF(BH4:BH32,"ח")*8)+(COUNTIF(BH4:BH32,"מ")*8)+(COUNTIF(BH4:BH32,"מיל")*8)</f>
        <v>168</v>
      </c>
      <c r="BH35" s="487"/>
      <c r="BI35" s="486">
        <f>(BI33*12)+(BI34*12)+(COUNTIF(BJ4:BJ32,"ק")*8)+(COUNTIF(BJ4:BJ32,"ח")*8)+(COUNTIF(BJ4:BJ32,"מ")*8)+(COUNTIF(BJ4:BJ32,"מיל")*8)</f>
        <v>152</v>
      </c>
      <c r="BJ35" s="487"/>
      <c r="BK35" s="486">
        <f>(BK33*12)+(BK34*12)+(COUNTIF(BL4:BL32,"ק")*8)+(COUNTIF(BL4:BL32,"ח")*8)+(COUNTIF(BL4:BL32,"מ")*8)+(COUNTIF(BL4:BL32,"מיל")*8)</f>
        <v>144</v>
      </c>
      <c r="BL35" s="487"/>
      <c r="BM35" s="486">
        <f>(BM33*12)+(BM34*12)+(COUNTIF(BN4:BN32,"ק")*8)+(COUNTIF(BN4:BN32,"ח")*8)+(COUNTIF(BN4:BN32,"מ")*8)+(COUNTIF(BN4:BN32,"מיל")*8)</f>
        <v>192</v>
      </c>
      <c r="BN35" s="487"/>
      <c r="BO35" s="486">
        <f>(BO33*12)+(BO34*12)+(COUNTIF(BP4:BP32,"ק")*8)+(COUNTIF(BP4:BP32,"ח")*8)+(COUNTIF(BP4:BP32,"מ")*8)+(COUNTIF(BP4:BP32,"מיל")*8)</f>
        <v>152</v>
      </c>
      <c r="BP35" s="487"/>
      <c r="BQ35" s="486">
        <f>(BQ33*12)+(BQ34*12)+(COUNTIF(BR4:BR32,"ק")*8)+(COUNTIF(BR4:BR32,"ח")*8)+(COUNTIF(BR4:BR32,"מ")*8)+(COUNTIF(BR4:BR32,"מיל")*8)</f>
        <v>160</v>
      </c>
      <c r="BR35" s="487"/>
      <c r="BS35" s="486">
        <f>(BS33*12)+(BS34*12)+(COUNTIF(BT4:BT32,"ק")*8)+(COUNTIF(BT4:BT32,"ח")*8)+(COUNTIF(BT4:BT32,"מ")*8)+(COUNTIF(BT4:BT32,"מיל")*8)</f>
        <v>160</v>
      </c>
      <c r="BT35" s="487"/>
      <c r="BU35" s="486">
        <f>(BU33*12)+(BU34*12)+(COUNTIF(BV4:BV32,"ק")*8)+(COUNTIF(BV4:BV32,"ח")*8)+(COUNTIF(BV4:BV32,"מ")*8)+(COUNTIF(BV4:BV32,"מיל")*8)</f>
        <v>0</v>
      </c>
      <c r="BV35" s="487"/>
      <c r="BW35" s="486">
        <f>(BW33*12)+(BW34*12)+(COUNTIF(BX4:BX32,"ק")*8)+(COUNTIF(BX4:BX32,"ח")*8)+(COUNTIF(BX4:BX32,"מ")*8)+(COUNTIF(BX4:BX32,"מיל")*8)</f>
        <v>164</v>
      </c>
      <c r="BX35" s="487"/>
      <c r="BY35" s="486">
        <f>(BY33*12)+(BY34*12)+(COUNTIF(BZ4:BZ32,"ק")*8)+(COUNTIF(BZ4:BZ32,"ח")*8)+(COUNTIF(BZ4:BZ32,"מ")*8)+(COUNTIF(BZ4:BZ32,"מיל")*8)</f>
        <v>152</v>
      </c>
      <c r="BZ35" s="487"/>
      <c r="CA35" s="486">
        <f>(CA33*12)+(CA34*12)+(COUNTIF(CB4:CB32,"ק")*8)+(COUNTIF(CB4:CB32,"ח")*8)+(COUNTIF(CB4:CB32,"מ")*8)+(COUNTIF(CB4:CB32,"מיל")*8)</f>
        <v>168</v>
      </c>
      <c r="CB35" s="496"/>
      <c r="CC35" s="497">
        <v>160</v>
      </c>
      <c r="CD35" s="498"/>
      <c r="CE35" s="499"/>
    </row>
    <row r="36" spans="3:83" ht="15" customHeight="1" thickBot="1">
      <c r="AW36" s="500">
        <f>AW35-CC35</f>
        <v>4</v>
      </c>
      <c r="AX36" s="491"/>
      <c r="AY36" s="490">
        <f>AY35-CC35</f>
        <v>0</v>
      </c>
      <c r="AZ36" s="491"/>
      <c r="BA36" s="490">
        <f>BA35-CC35</f>
        <v>0</v>
      </c>
      <c r="BB36" s="491"/>
      <c r="BC36" s="490">
        <f>BC35-CC35</f>
        <v>24</v>
      </c>
      <c r="BD36" s="491"/>
      <c r="BE36" s="490">
        <f>BE35-CC35</f>
        <v>12</v>
      </c>
      <c r="BF36" s="491"/>
      <c r="BG36" s="490">
        <f>BG35-CC35</f>
        <v>8</v>
      </c>
      <c r="BH36" s="491"/>
      <c r="BI36" s="490">
        <f>BI35-CC35</f>
        <v>-8</v>
      </c>
      <c r="BJ36" s="491"/>
      <c r="BK36" s="490">
        <f>BK35-CC35</f>
        <v>-16</v>
      </c>
      <c r="BL36" s="491"/>
      <c r="BM36" s="490">
        <f>BM35-CC35</f>
        <v>32</v>
      </c>
      <c r="BN36" s="491"/>
      <c r="BO36" s="490">
        <f>BO35-CC35</f>
        <v>-8</v>
      </c>
      <c r="BP36" s="491"/>
      <c r="BQ36" s="490">
        <f>BQ35-CC35</f>
        <v>0</v>
      </c>
      <c r="BR36" s="491"/>
      <c r="BS36" s="490">
        <f>BS35-CC35</f>
        <v>0</v>
      </c>
      <c r="BT36" s="491"/>
      <c r="BU36" s="490">
        <f>BU35-CC35</f>
        <v>-160</v>
      </c>
      <c r="BV36" s="491"/>
      <c r="BW36" s="490">
        <f>BW35-CC35</f>
        <v>4</v>
      </c>
      <c r="BX36" s="491"/>
      <c r="BY36" s="490">
        <f>BY35-CC35</f>
        <v>-8</v>
      </c>
      <c r="BZ36" s="491"/>
      <c r="CA36" s="492">
        <f>CA35-CC35</f>
        <v>8</v>
      </c>
      <c r="CB36" s="493"/>
      <c r="CC36" s="494" t="s">
        <v>222</v>
      </c>
      <c r="CD36" s="494"/>
      <c r="CE36" s="495"/>
    </row>
  </sheetData>
  <customSheetViews>
    <customSheetView guid="{C6961C98-214A-4770-9A2D-B399A95C6C8B}" scale="85">
      <pane ySplit="4" topLeftCell="A5" activePane="bottomLeft" state="frozen"/>
      <selection pane="bottomLeft" activeCell="E13" sqref="E13"/>
      <pageMargins left="0.7" right="0.7" top="0.75" bottom="0.75" header="0.3" footer="0.3"/>
      <pageSetup paperSize="9" orientation="portrait" r:id="rId1"/>
    </customSheetView>
    <customSheetView guid="{A704065A-5B6F-476C-AE5F-F67C013164B0}" scale="80">
      <pane xSplit="3" ySplit="4" topLeftCell="D5" activePane="bottomRight" state="frozen"/>
      <selection pane="bottomRight" activeCell="J26" sqref="J12:Y26"/>
      <pageMargins left="0.7" right="0.7" top="0.75" bottom="0.75" header="0.3" footer="0.3"/>
      <pageSetup paperSize="9" orientation="portrait" r:id="rId2"/>
    </customSheetView>
    <customSheetView guid="{319CE2B6-D20C-48B8-B7D9-15D19162A7CD}" scale="85">
      <pane ySplit="4" topLeftCell="A5" activePane="bottomLeft" state="frozen"/>
      <selection pane="bottomLeft" activeCell="E13" sqref="E13"/>
      <pageMargins left="0.7" right="0.7" top="0.75" bottom="0.75" header="0.3" footer="0.3"/>
      <pageSetup paperSize="9" orientation="portrait" r:id="rId3"/>
    </customSheetView>
    <customSheetView guid="{C5360886-767B-4F33-B24F-A6512AA390CC}" scale="90" topLeftCell="AT1">
      <pane ySplit="4" topLeftCell="A5" activePane="bottomLeft" state="frozen"/>
      <selection pane="bottomLeft" activeCell="BF8" sqref="BF8"/>
      <pageMargins left="0.7" right="0.7" top="0.75" bottom="0.75" header="0.3" footer="0.3"/>
      <pageSetup paperSize="9" orientation="portrait" r:id="rId4"/>
    </customSheetView>
    <customSheetView guid="{9C777CA9-4E1C-4A90-9032-5D0586052FC8}" scale="90">
      <pane ySplit="4" topLeftCell="A5" activePane="bottomLeft" state="frozen"/>
      <selection pane="bottomLeft" activeCell="D36" sqref="D36"/>
      <pageMargins left="0.7" right="0.7" top="0.75" bottom="0.75" header="0.3" footer="0.3"/>
      <pageSetup paperSize="9" orientation="portrait" r:id="rId5"/>
    </customSheetView>
    <customSheetView guid="{FEBD343F-EB1E-4B3A-B093-25A74DB60DAB}" scale="80">
      <pane xSplit="4" topLeftCell="M1" activePane="topRight" state="frozen"/>
      <selection pane="topRight" activeCell="AK21" sqref="AK21"/>
      <pageMargins left="0.7" right="0.7" top="0.75" bottom="0.75" header="0.3" footer="0.3"/>
      <pageSetup paperSize="9" orientation="portrait" r:id="rId6"/>
    </customSheetView>
    <customSheetView guid="{1D39CB39-D8E6-4DA4-ABBA-40E2E6F11928}" scale="80">
      <pane ySplit="4" topLeftCell="A5" activePane="bottomLeft" state="frozen"/>
      <selection pane="bottomLeft" activeCell="AD42" sqref="AD42"/>
      <pageMargins left="0.7" right="0.7" top="0.75" bottom="0.75" header="0.3" footer="0.3"/>
      <pageSetup paperSize="9" orientation="portrait" r:id="rId7"/>
    </customSheetView>
    <customSheetView guid="{CC86EB9B-590B-4DCB-8154-1EBCE97DCC27}" scale="80" topLeftCell="C1">
      <pane ySplit="4" topLeftCell="A5" activePane="bottomLeft" state="frozen"/>
      <selection pane="bottomLeft" activeCell="AK41" sqref="AK41"/>
      <pageMargins left="0.7" right="0.7" top="0.75" bottom="0.75" header="0.3" footer="0.3"/>
      <pageSetup paperSize="9" orientation="portrait" r:id="rId8"/>
    </customSheetView>
    <customSheetView guid="{03543009-41DE-4C7D-B8BE-69526021AF29}" scale="90" topLeftCell="AS1">
      <pane ySplit="4" topLeftCell="A5" activePane="bottomLeft" state="frozen"/>
      <selection pane="bottomLeft" activeCell="BP6" sqref="BP6"/>
      <pageMargins left="0.7" right="0.7" top="0.75" bottom="0.75" header="0.3" footer="0.3"/>
      <pageSetup paperSize="9" orientation="portrait" r:id="rId9"/>
    </customSheetView>
    <customSheetView guid="{03CD1AFD-FDA7-4904-966E-FB90CD2C490F}" scale="80" topLeftCell="B1">
      <pane ySplit="3" topLeftCell="A5" activePane="bottomLeft" state="frozen"/>
      <selection pane="bottomLeft" activeCell="AB4" sqref="AB4:AC4"/>
      <pageMargins left="0.7" right="0.7" top="0.75" bottom="0.75" header="0.3" footer="0.3"/>
      <pageSetup paperSize="9" orientation="portrait" r:id="rId10"/>
    </customSheetView>
  </customSheetViews>
  <mergeCells count="223">
    <mergeCell ref="AW36:AX36"/>
    <mergeCell ref="AY36:AZ36"/>
    <mergeCell ref="BA36:BB36"/>
    <mergeCell ref="BC36:BD36"/>
    <mergeCell ref="BE36:BF36"/>
    <mergeCell ref="AW35:AX35"/>
    <mergeCell ref="AY35:AZ35"/>
    <mergeCell ref="BA35:BB35"/>
    <mergeCell ref="BC35:BD35"/>
    <mergeCell ref="BE35:BF35"/>
    <mergeCell ref="BG36:BH36"/>
    <mergeCell ref="BI36:BJ36"/>
    <mergeCell ref="BK36:BL36"/>
    <mergeCell ref="CC36:CE36"/>
    <mergeCell ref="BM36:BN36"/>
    <mergeCell ref="BO36:BP36"/>
    <mergeCell ref="BQ36:BR36"/>
    <mergeCell ref="BS36:BT36"/>
    <mergeCell ref="BU36:BV36"/>
    <mergeCell ref="BW36:BX36"/>
    <mergeCell ref="BY36:BZ36"/>
    <mergeCell ref="CA36:CB36"/>
    <mergeCell ref="CA35:CB35"/>
    <mergeCell ref="CC35:CE35"/>
    <mergeCell ref="BO35:BP35"/>
    <mergeCell ref="BQ35:BR35"/>
    <mergeCell ref="BS35:BT35"/>
    <mergeCell ref="BU35:BV35"/>
    <mergeCell ref="BW35:BX35"/>
    <mergeCell ref="BY35:BZ35"/>
    <mergeCell ref="CA34:CB34"/>
    <mergeCell ref="BG35:BH35"/>
    <mergeCell ref="BI35:BJ35"/>
    <mergeCell ref="BK35:BL35"/>
    <mergeCell ref="BM35:BN35"/>
    <mergeCell ref="AT33:AV33"/>
    <mergeCell ref="AW33:AX33"/>
    <mergeCell ref="AY33:AZ33"/>
    <mergeCell ref="BA33:BB33"/>
    <mergeCell ref="BC33:BD33"/>
    <mergeCell ref="BE33:BF33"/>
    <mergeCell ref="BG34:BH34"/>
    <mergeCell ref="BI34:BJ34"/>
    <mergeCell ref="BK34:BL34"/>
    <mergeCell ref="AT34:AV34"/>
    <mergeCell ref="AW34:AX34"/>
    <mergeCell ref="AY34:AZ34"/>
    <mergeCell ref="BA34:BB34"/>
    <mergeCell ref="BC34:BD34"/>
    <mergeCell ref="BE34:BF34"/>
    <mergeCell ref="BY33:BZ33"/>
    <mergeCell ref="CA33:CB33"/>
    <mergeCell ref="CC33:CE34"/>
    <mergeCell ref="BS34:BT34"/>
    <mergeCell ref="BU34:BV34"/>
    <mergeCell ref="BW34:BX34"/>
    <mergeCell ref="BY34:BZ34"/>
    <mergeCell ref="BG33:BH33"/>
    <mergeCell ref="BI33:BJ33"/>
    <mergeCell ref="BK33:BL33"/>
    <mergeCell ref="BM33:BN33"/>
    <mergeCell ref="BO33:BP33"/>
    <mergeCell ref="BQ33:BR33"/>
    <mergeCell ref="BS33:BT33"/>
    <mergeCell ref="BU33:BV33"/>
    <mergeCell ref="BW33:BX33"/>
    <mergeCell ref="BM34:BN34"/>
    <mergeCell ref="BO34:BP34"/>
    <mergeCell ref="BQ34:BR34"/>
    <mergeCell ref="CJ31:CK31"/>
    <mergeCell ref="AP32:AQ32"/>
    <mergeCell ref="CJ32:CK32"/>
    <mergeCell ref="AP26:AQ26"/>
    <mergeCell ref="CJ26:CK26"/>
    <mergeCell ref="CJ27:CK27"/>
    <mergeCell ref="CJ29:CK29"/>
    <mergeCell ref="CJ30:CK30"/>
    <mergeCell ref="AP31:AQ31"/>
    <mergeCell ref="CE26:CE32"/>
    <mergeCell ref="AP28:AQ28"/>
    <mergeCell ref="CJ28:CK28"/>
    <mergeCell ref="CJ20:CK20"/>
    <mergeCell ref="AP21:AQ21"/>
    <mergeCell ref="AP14:AQ14"/>
    <mergeCell ref="CJ14:CK14"/>
    <mergeCell ref="CJ15:CK15"/>
    <mergeCell ref="CJ16:CK16"/>
    <mergeCell ref="AP17:AQ17"/>
    <mergeCell ref="CJ17:CK17"/>
    <mergeCell ref="CE19:CE25"/>
    <mergeCell ref="CJ21:CK21"/>
    <mergeCell ref="CJ22:CK22"/>
    <mergeCell ref="AP23:AQ23"/>
    <mergeCell ref="AP25:AQ25"/>
    <mergeCell ref="CJ25:CK25"/>
    <mergeCell ref="CJ19:CK19"/>
    <mergeCell ref="AP22:AQ22"/>
    <mergeCell ref="CJ23:CK23"/>
    <mergeCell ref="CJ24:CK24"/>
    <mergeCell ref="CJ10:CK10"/>
    <mergeCell ref="AP11:AQ11"/>
    <mergeCell ref="CJ11:CK11"/>
    <mergeCell ref="AP12:AQ12"/>
    <mergeCell ref="CJ12:CK12"/>
    <mergeCell ref="AP13:AQ13"/>
    <mergeCell ref="CJ13:CK13"/>
    <mergeCell ref="CJ5:CK5"/>
    <mergeCell ref="AP6:AQ6"/>
    <mergeCell ref="CJ6:CK6"/>
    <mergeCell ref="AP7:AQ7"/>
    <mergeCell ref="CJ7:CK7"/>
    <mergeCell ref="AP8:AQ8"/>
    <mergeCell ref="CJ8:CK8"/>
    <mergeCell ref="AP9:AQ9"/>
    <mergeCell ref="CJ9:CK9"/>
    <mergeCell ref="CE5:CE11"/>
    <mergeCell ref="CE12:CE18"/>
    <mergeCell ref="AP18:AQ18"/>
    <mergeCell ref="CJ18:CK18"/>
    <mergeCell ref="BS4:BT4"/>
    <mergeCell ref="BW4:BX4"/>
    <mergeCell ref="BY4:BZ4"/>
    <mergeCell ref="CA4:CB4"/>
    <mergeCell ref="AP5:AQ5"/>
    <mergeCell ref="AP10:AQ10"/>
    <mergeCell ref="BG4:BH4"/>
    <mergeCell ref="BI4:BJ4"/>
    <mergeCell ref="BK4:BL4"/>
    <mergeCell ref="BM4:BN4"/>
    <mergeCell ref="BO4:BP4"/>
    <mergeCell ref="BQ4:BR4"/>
    <mergeCell ref="BU4:BV4"/>
    <mergeCell ref="BM3:BN3"/>
    <mergeCell ref="BO3:BP3"/>
    <mergeCell ref="R4:S4"/>
    <mergeCell ref="T4:U4"/>
    <mergeCell ref="V4:W4"/>
    <mergeCell ref="X4:Y4"/>
    <mergeCell ref="Z4:AA4"/>
    <mergeCell ref="BA4:BB4"/>
    <mergeCell ref="BC4:BD4"/>
    <mergeCell ref="BE4:BF4"/>
    <mergeCell ref="AN4:AO4"/>
    <mergeCell ref="AW4:AX4"/>
    <mergeCell ref="AY4:AZ4"/>
    <mergeCell ref="AB4:AC4"/>
    <mergeCell ref="AD4:AE4"/>
    <mergeCell ref="AF4:AG4"/>
    <mergeCell ref="AH4:AI4"/>
    <mergeCell ref="AJ4:AK4"/>
    <mergeCell ref="AL4:AM4"/>
    <mergeCell ref="CF2:CG3"/>
    <mergeCell ref="CH2:CI3"/>
    <mergeCell ref="CJ2:CK4"/>
    <mergeCell ref="N3:O3"/>
    <mergeCell ref="D3:E3"/>
    <mergeCell ref="F3:G3"/>
    <mergeCell ref="H3:I3"/>
    <mergeCell ref="J3:K3"/>
    <mergeCell ref="L3:M3"/>
    <mergeCell ref="P3:Q3"/>
    <mergeCell ref="AP2:AQ4"/>
    <mergeCell ref="AR2:AS3"/>
    <mergeCell ref="AW2:BD2"/>
    <mergeCell ref="BE2:BL2"/>
    <mergeCell ref="BM2:BT2"/>
    <mergeCell ref="BU2:CB2"/>
    <mergeCell ref="AW3:AX3"/>
    <mergeCell ref="AY3:AZ3"/>
    <mergeCell ref="BA3:BB3"/>
    <mergeCell ref="BC3:BD3"/>
    <mergeCell ref="AD3:AE3"/>
    <mergeCell ref="AF3:AG3"/>
    <mergeCell ref="AH3:AI3"/>
    <mergeCell ref="AJ3:AK3"/>
    <mergeCell ref="AW1:CB1"/>
    <mergeCell ref="CC1:CE4"/>
    <mergeCell ref="Z2:AA2"/>
    <mergeCell ref="AB2:AC2"/>
    <mergeCell ref="AF2:AG2"/>
    <mergeCell ref="AH2:AO2"/>
    <mergeCell ref="AL3:AM3"/>
    <mergeCell ref="AN3:AO3"/>
    <mergeCell ref="R3:S3"/>
    <mergeCell ref="T3:U3"/>
    <mergeCell ref="V3:W3"/>
    <mergeCell ref="X3:Y3"/>
    <mergeCell ref="Z3:AA3"/>
    <mergeCell ref="AB3:AC3"/>
    <mergeCell ref="BQ3:BR3"/>
    <mergeCell ref="BS3:BT3"/>
    <mergeCell ref="BU3:BV3"/>
    <mergeCell ref="BW3:BX3"/>
    <mergeCell ref="BY3:BZ3"/>
    <mergeCell ref="CA3:CB3"/>
    <mergeCell ref="BE3:BF3"/>
    <mergeCell ref="BG3:BH3"/>
    <mergeCell ref="BI3:BJ3"/>
    <mergeCell ref="BK3:BL3"/>
    <mergeCell ref="C5:C11"/>
    <mergeCell ref="C12:C18"/>
    <mergeCell ref="C19:C25"/>
    <mergeCell ref="C26:C32"/>
    <mergeCell ref="AV5:AV11"/>
    <mergeCell ref="AV12:AV18"/>
    <mergeCell ref="AV19:AV25"/>
    <mergeCell ref="AV26:AV32"/>
    <mergeCell ref="A1:C4"/>
    <mergeCell ref="D1:AS1"/>
    <mergeCell ref="AT1:AV4"/>
    <mergeCell ref="N4:O4"/>
    <mergeCell ref="D4:E4"/>
    <mergeCell ref="F4:G4"/>
    <mergeCell ref="H4:I4"/>
    <mergeCell ref="J4:K4"/>
    <mergeCell ref="L4:M4"/>
    <mergeCell ref="AP19:AQ19"/>
    <mergeCell ref="AP24:AQ24"/>
    <mergeCell ref="AP20:AQ20"/>
    <mergeCell ref="X2:Y2"/>
    <mergeCell ref="AD2:AE2"/>
    <mergeCell ref="D2:W2"/>
    <mergeCell ref="P4:Q4"/>
  </mergeCells>
  <phoneticPr fontId="27" type="noConversion"/>
  <conditionalFormatting sqref="A1:C4 X2:Z2 AF2:AH2 AP2 AR2 N3 AR4:AS4 C5 AH5 AJ5:AS5 A5:B32 AH6:AS6 AH7 AJ7:AM7 AP7:AS7 AH8:AS11 AH12:AP12 AH13:AK13 AM13:AP13 AH14 AJ14:AP14 AH15:AP16 AH17:AO17 AI18:AO18 AJ19:AQ19 AH19:AH20 AJ20:AL20 AN20:AQ20 Q21 AH21:AP21 AH22:AO23 AE24 AJ24:AP24 AI25:AP25 AH26:AP27 AH28:AO28 AH29:AP31 AH32:AQ32">
    <cfRule type="cellIs" dxfId="8719" priority="3992" operator="equal">
      <formula>"כ"</formula>
    </cfRule>
    <cfRule type="cellIs" dxfId="8718" priority="3991" operator="equal">
      <formula>"כש"</formula>
    </cfRule>
  </conditionalFormatting>
  <conditionalFormatting sqref="A1:C4 X2:Z2 AF2:AH2 AP2 AR2 N3 AR4:AS4 BS4:BT4 C5 AH5 AJ5:AS5 A5:B32 AH6:AS6 AH7 AJ7:AM7 AP7:AS7 AH8:AS11 AH12:AP12 AH13:AK13 AM13:AP13 AH14 AJ14:AP14 AH15:AP16 AH17:AO17 AI18:AO18 AJ19:AQ19 AH19:AH20 AJ20:AL20 AN20:AQ20 Q21 AH21:AP21 AH22:AO23 AE24 AJ24:AP24 AI25:AP25 AH26:AP27 AH28:AO28 AH29:AP31 AH32:AQ32">
    <cfRule type="cellIs" dxfId="8717" priority="3988" operator="equal">
      <formula>"מנוחה"</formula>
    </cfRule>
    <cfRule type="cellIs" dxfId="8716" priority="3989" operator="equal">
      <formula>"מיל"</formula>
    </cfRule>
    <cfRule type="cellIs" dxfId="8715" priority="3987" operator="equal">
      <formula>"מ"</formula>
    </cfRule>
    <cfRule type="cellIs" dxfId="8714" priority="3986" operator="equal">
      <formula>"ק"</formula>
    </cfRule>
    <cfRule type="cellIs" dxfId="8713" priority="3985" operator="equal">
      <formula>"כמ"</formula>
    </cfRule>
    <cfRule type="cellIs" dxfId="8712" priority="3984" operator="equal">
      <formula>"כמש"</formula>
    </cfRule>
    <cfRule type="cellIs" dxfId="8711" priority="3982" operator="equal">
      <formula>"י"</formula>
    </cfRule>
    <cfRule type="cellIs" dxfId="8710" priority="3981" operator="equal">
      <formula>"ל"</formula>
    </cfRule>
  </conditionalFormatting>
  <conditionalFormatting sqref="D2">
    <cfRule type="cellIs" dxfId="8709" priority="105" operator="equal">
      <formula>"מיל"</formula>
    </cfRule>
    <cfRule type="cellIs" dxfId="8708" priority="107" operator="equal">
      <formula>"כש"</formula>
    </cfRule>
    <cfRule type="cellIs" dxfId="8707" priority="100" operator="equal">
      <formula>"כמש"</formula>
    </cfRule>
    <cfRule type="cellIs" dxfId="8706" priority="104" operator="equal">
      <formula>"מנוחה"</formula>
    </cfRule>
    <cfRule type="cellIs" dxfId="8705" priority="103" operator="equal">
      <formula>"מ"</formula>
    </cfRule>
    <cfRule type="cellIs" dxfId="8704" priority="102" operator="equal">
      <formula>"ק"</formula>
    </cfRule>
    <cfRule type="cellIs" dxfId="8703" priority="101" operator="equal">
      <formula>"כמ"</formula>
    </cfRule>
    <cfRule type="cellIs" dxfId="8702" priority="99" operator="equal">
      <formula>"י"</formula>
    </cfRule>
    <cfRule type="cellIs" dxfId="8701" priority="98" operator="equal">
      <formula>"ל"</formula>
    </cfRule>
    <cfRule type="cellIs" dxfId="8700" priority="106" operator="equal">
      <formula>"ח"</formula>
    </cfRule>
    <cfRule type="cellIs" dxfId="8699" priority="108" operator="equal">
      <formula>"כ"</formula>
    </cfRule>
  </conditionalFormatting>
  <conditionalFormatting sqref="D3:P4">
    <cfRule type="cellIs" dxfId="8698" priority="3718" operator="equal">
      <formula>"ק"</formula>
    </cfRule>
    <cfRule type="cellIs" dxfId="8697" priority="3724" operator="equal">
      <formula>"כ"</formula>
    </cfRule>
    <cfRule type="cellIs" dxfId="8696" priority="3723" operator="equal">
      <formula>"כש"</formula>
    </cfRule>
    <cfRule type="cellIs" dxfId="8695" priority="3721" operator="equal">
      <formula>"מיל"</formula>
    </cfRule>
    <cfRule type="cellIs" dxfId="8694" priority="3720" operator="equal">
      <formula>"מנוחה"</formula>
    </cfRule>
    <cfRule type="cellIs" dxfId="8693" priority="3719" operator="equal">
      <formula>"מ"</formula>
    </cfRule>
    <cfRule type="cellIs" dxfId="8692" priority="3717" operator="equal">
      <formula>"כמ"</formula>
    </cfRule>
    <cfRule type="cellIs" dxfId="8691" priority="3716" operator="equal">
      <formula>"כמש"</formula>
    </cfRule>
    <cfRule type="cellIs" dxfId="8690" priority="3714" operator="equal">
      <formula>"ל"</formula>
    </cfRule>
    <cfRule type="cellIs" dxfId="8689" priority="3715" operator="equal">
      <formula>"י"</formula>
    </cfRule>
  </conditionalFormatting>
  <conditionalFormatting sqref="D5:AC15 D16:P16 R16:AC16 AM16 D17:AC32 AD26:AE30 AD31 AI31 AD32:AE32">
    <cfRule type="cellIs" dxfId="8688" priority="175" operator="equal">
      <formula>"ח"</formula>
    </cfRule>
    <cfRule type="cellIs" dxfId="8687" priority="177" operator="equal">
      <formula>"כ"</formula>
    </cfRule>
    <cfRule type="cellIs" dxfId="8686" priority="173" operator="equal">
      <formula>"מנוחה"</formula>
    </cfRule>
    <cfRule type="cellIs" dxfId="8685" priority="172" operator="equal">
      <formula>"מ"</formula>
    </cfRule>
    <cfRule type="cellIs" dxfId="8684" priority="167" operator="equal">
      <formula>"ל"</formula>
    </cfRule>
    <cfRule type="cellIs" dxfId="8683" priority="171" operator="equal">
      <formula>"ק"</formula>
    </cfRule>
    <cfRule type="cellIs" dxfId="8682" priority="170" operator="equal">
      <formula>"כמ"</formula>
    </cfRule>
    <cfRule type="cellIs" dxfId="8681" priority="169" operator="equal">
      <formula>"כמש"</formula>
    </cfRule>
    <cfRule type="cellIs" dxfId="8680" priority="174" operator="equal">
      <formula>"מיל"</formula>
    </cfRule>
    <cfRule type="cellIs" dxfId="8679" priority="168" operator="equal">
      <formula>"י"</formula>
    </cfRule>
    <cfRule type="cellIs" dxfId="8678" priority="176" operator="equal">
      <formula>"כש"</formula>
    </cfRule>
  </conditionalFormatting>
  <conditionalFormatting sqref="N3">
    <cfRule type="cellIs" dxfId="8677" priority="3722" operator="equal">
      <formula>"ח"</formula>
    </cfRule>
  </conditionalFormatting>
  <conditionalFormatting sqref="T3:T4 R3:R4">
    <cfRule type="cellIs" dxfId="8676" priority="3667" operator="equal">
      <formula>"ח"</formula>
    </cfRule>
  </conditionalFormatting>
  <conditionalFormatting sqref="T4 V4:W4 AB4 BS4:BT4">
    <cfRule type="cellIs" dxfId="8675" priority="3601" operator="equal">
      <formula>"ח"</formula>
    </cfRule>
  </conditionalFormatting>
  <conditionalFormatting sqref="V3:W3 D3:P4">
    <cfRule type="cellIs" dxfId="8674" priority="3689" operator="equal">
      <formula>"ח"</formula>
    </cfRule>
  </conditionalFormatting>
  <conditionalFormatting sqref="V3:Z4">
    <cfRule type="cellIs" dxfId="8673" priority="149" operator="equal">
      <formula>"ק"</formula>
    </cfRule>
    <cfRule type="cellIs" dxfId="8672" priority="148" operator="equal">
      <formula>"כמ"</formula>
    </cfRule>
    <cfRule type="cellIs" dxfId="8671" priority="146" operator="equal">
      <formula>"י"</formula>
    </cfRule>
    <cfRule type="cellIs" dxfId="8670" priority="145" operator="equal">
      <formula>"ל"</formula>
    </cfRule>
    <cfRule type="cellIs" dxfId="8669" priority="147" operator="equal">
      <formula>"כמש"</formula>
    </cfRule>
    <cfRule type="cellIs" dxfId="8668" priority="152" operator="equal">
      <formula>"מיל"</formula>
    </cfRule>
    <cfRule type="cellIs" dxfId="8667" priority="154" operator="equal">
      <formula>"כש"</formula>
    </cfRule>
    <cfRule type="cellIs" dxfId="8666" priority="151" operator="equal">
      <formula>"מנוחה"</formula>
    </cfRule>
    <cfRule type="cellIs" dxfId="8665" priority="155" operator="equal">
      <formula>"כ"</formula>
    </cfRule>
    <cfRule type="cellIs" dxfId="8664" priority="150" operator="equal">
      <formula>"מ"</formula>
    </cfRule>
  </conditionalFormatting>
  <conditionalFormatting sqref="X4:Y4">
    <cfRule type="cellIs" dxfId="8663" priority="3733" operator="equal">
      <formula>"ח"</formula>
    </cfRule>
  </conditionalFormatting>
  <conditionalFormatting sqref="Z3:Z4">
    <cfRule type="cellIs" dxfId="8662" priority="144" operator="equal">
      <formula>"ח"</formula>
    </cfRule>
  </conditionalFormatting>
  <conditionalFormatting sqref="Z4">
    <cfRule type="cellIs" dxfId="8661" priority="143" operator="equal">
      <formula>"ח"</formula>
    </cfRule>
  </conditionalFormatting>
  <conditionalFormatting sqref="Z5:AA24 Z25 Z26:AA32">
    <cfRule type="cellIs" dxfId="8660" priority="157" operator="equal">
      <formula>"י"</formula>
    </cfRule>
    <cfRule type="cellIs" dxfId="8659" priority="158" operator="equal">
      <formula>"כמש"</formula>
    </cfRule>
    <cfRule type="cellIs" dxfId="8658" priority="159" operator="equal">
      <formula>"כמ"</formula>
    </cfRule>
    <cfRule type="cellIs" dxfId="8657" priority="160" operator="equal">
      <formula>"ק"</formula>
    </cfRule>
    <cfRule type="cellIs" dxfId="8656" priority="161" operator="equal">
      <formula>"מ"</formula>
    </cfRule>
    <cfRule type="cellIs" dxfId="8655" priority="162" operator="equal">
      <formula>"מנוחה"</formula>
    </cfRule>
    <cfRule type="cellIs" dxfId="8654" priority="163" operator="equal">
      <formula>"מיל"</formula>
    </cfRule>
    <cfRule type="cellIs" dxfId="8653" priority="164" operator="equal">
      <formula>"ח"</formula>
    </cfRule>
    <cfRule type="cellIs" dxfId="8652" priority="165" operator="equal">
      <formula>"כש"</formula>
    </cfRule>
    <cfRule type="cellIs" dxfId="8651" priority="166" operator="equal">
      <formula>"כ"</formula>
    </cfRule>
    <cfRule type="cellIs" dxfId="8650" priority="156" operator="equal">
      <formula>"ל"</formula>
    </cfRule>
  </conditionalFormatting>
  <conditionalFormatting sqref="AB2:AB4 R3:R4 T3:T4 AH3:AO4">
    <cfRule type="cellIs" dxfId="8649" priority="3571" operator="equal">
      <formula>"ל"</formula>
    </cfRule>
    <cfRule type="cellIs" dxfId="8648" priority="3572" operator="equal">
      <formula>"י"</formula>
    </cfRule>
    <cfRule type="cellIs" dxfId="8647" priority="3573" operator="equal">
      <formula>"כמש"</formula>
    </cfRule>
    <cfRule type="cellIs" dxfId="8646" priority="3574" operator="equal">
      <formula>"כמ"</formula>
    </cfRule>
    <cfRule type="cellIs" dxfId="8645" priority="3575" operator="equal">
      <formula>"ק"</formula>
    </cfRule>
    <cfRule type="cellIs" dxfId="8644" priority="3576" operator="equal">
      <formula>"מ"</formula>
    </cfRule>
    <cfRule type="cellIs" dxfId="8643" priority="3577" operator="equal">
      <formula>"מנוחה"</formula>
    </cfRule>
    <cfRule type="cellIs" dxfId="8642" priority="3578" operator="equal">
      <formula>"מיל"</formula>
    </cfRule>
    <cfRule type="cellIs" dxfId="8641" priority="3580" operator="equal">
      <formula>"כש"</formula>
    </cfRule>
    <cfRule type="cellIs" dxfId="8640" priority="3581" operator="equal">
      <formula>"כ"</formula>
    </cfRule>
  </conditionalFormatting>
  <conditionalFormatting sqref="AB2:AB4 X2:Z3 Z4 A1:C4 AH2 AP2 AR2 AH4:AK4 AR4:AS4 C5 AH5 AJ5:AS5 BO5 BU5:BW6 BM5:BM8 A5:B32 AH6:AS6 AH7 AJ7:AM7 AP7:AS7 BU7:BU9 BO8 AH8:AS11 BM9:BO9 BW9 BU10:BW10 BM10:BM12 BU11:BU13 AH12:AO12 BO12 AP12:AP13 AR12:AS13 AH13:AK13 AM13:AO13 BM13:BO13 BW13 AH14 AJ14:AO14 BU14:BW14 BM14:BM16 AH15:AO17 BO16 BM17:BO17 AI18:AO18 BU18:BW18 AR18:AS32 AJ19:AQ19 AH19:AH20 AJ20:AL20 AN20:AQ20 Q21 AH21:AP21 BM21:BO21 BU22:BW22 AH22:AO23 AE24 AJ24:AP24 AI25:AP25 BM25:BO25 BU26:BW26 AH26:AP27 AH28:AO28 BM29:BO29 AH29:AP31 BU30:BW30 BU31:BU32 AH32:AQ32">
    <cfRule type="cellIs" dxfId="8639" priority="3990" operator="equal">
      <formula>"ח"</formula>
    </cfRule>
  </conditionalFormatting>
  <conditionalFormatting sqref="AD25">
    <cfRule type="cellIs" dxfId="8638" priority="12" operator="equal">
      <formula>"ל"</formula>
    </cfRule>
    <cfRule type="cellIs" dxfId="8637" priority="22" operator="equal">
      <formula>"כ"</formula>
    </cfRule>
    <cfRule type="cellIs" dxfId="8636" priority="21" operator="equal">
      <formula>"כש"</formula>
    </cfRule>
    <cfRule type="cellIs" dxfId="8635" priority="20" operator="equal">
      <formula>"ח"</formula>
    </cfRule>
    <cfRule type="cellIs" dxfId="8634" priority="19" operator="equal">
      <formula>"מיל"</formula>
    </cfRule>
    <cfRule type="cellIs" dxfId="8633" priority="18" operator="equal">
      <formula>"מנוחה"</formula>
    </cfRule>
    <cfRule type="cellIs" dxfId="8632" priority="17" operator="equal">
      <formula>"מ"</formula>
    </cfRule>
    <cfRule type="cellIs" dxfId="8631" priority="13" operator="equal">
      <formula>"י"</formula>
    </cfRule>
    <cfRule type="cellIs" dxfId="8630" priority="16" operator="equal">
      <formula>"ק"</formula>
    </cfRule>
    <cfRule type="cellIs" dxfId="8629" priority="14" operator="equal">
      <formula>"כמש"</formula>
    </cfRule>
    <cfRule type="cellIs" dxfId="8628" priority="15" operator="equal">
      <formula>"כמ"</formula>
    </cfRule>
  </conditionalFormatting>
  <conditionalFormatting sqref="AD2:AE24">
    <cfRule type="cellIs" dxfId="8627" priority="2" operator="equal">
      <formula>"י"</formula>
    </cfRule>
    <cfRule type="cellIs" dxfId="8626" priority="3" operator="equal">
      <formula>"כמש"</formula>
    </cfRule>
    <cfRule type="cellIs" dxfId="8625" priority="4" operator="equal">
      <formula>"כמ"</formula>
    </cfRule>
    <cfRule type="cellIs" dxfId="8624" priority="5" operator="equal">
      <formula>"ק"</formula>
    </cfRule>
    <cfRule type="cellIs" dxfId="8623" priority="6" operator="equal">
      <formula>"מ"</formula>
    </cfRule>
    <cfRule type="cellIs" dxfId="8622" priority="7" operator="equal">
      <formula>"מנוחה"</formula>
    </cfRule>
    <cfRule type="cellIs" dxfId="8621" priority="8" operator="equal">
      <formula>"מיל"</formula>
    </cfRule>
    <cfRule type="cellIs" dxfId="8620" priority="9" operator="equal">
      <formula>"כש"</formula>
    </cfRule>
    <cfRule type="cellIs" dxfId="8619" priority="10" operator="equal">
      <formula>"כ"</formula>
    </cfRule>
    <cfRule type="cellIs" dxfId="8618" priority="11" operator="equal">
      <formula>"ח"</formula>
    </cfRule>
    <cfRule type="cellIs" dxfId="8617" priority="1" operator="equal">
      <formula>"ל"</formula>
    </cfRule>
  </conditionalFormatting>
  <conditionalFormatting sqref="AF2:AG32">
    <cfRule type="cellIs" dxfId="8616" priority="42" operator="equal">
      <formula>"ח"</formula>
    </cfRule>
  </conditionalFormatting>
  <conditionalFormatting sqref="AF3:AG32">
    <cfRule type="cellIs" dxfId="8615" priority="35" operator="equal">
      <formula>"י"</formula>
    </cfRule>
    <cfRule type="cellIs" dxfId="8614" priority="36" operator="equal">
      <formula>"כמש"</formula>
    </cfRule>
    <cfRule type="cellIs" dxfId="8613" priority="37" operator="equal">
      <formula>"כמ"</formula>
    </cfRule>
    <cfRule type="cellIs" dxfId="8612" priority="38" operator="equal">
      <formula>"ק"</formula>
    </cfRule>
    <cfRule type="cellIs" dxfId="8611" priority="39" operator="equal">
      <formula>"מ"</formula>
    </cfRule>
    <cfRule type="cellIs" dxfId="8610" priority="40" operator="equal">
      <formula>"מנוחה"</formula>
    </cfRule>
    <cfRule type="cellIs" dxfId="8609" priority="41" operator="equal">
      <formula>"מיל"</formula>
    </cfRule>
    <cfRule type="cellIs" dxfId="8608" priority="34" operator="equal">
      <formula>"ל"</formula>
    </cfRule>
    <cfRule type="cellIs" dxfId="8607" priority="43" operator="equal">
      <formula>"כש"</formula>
    </cfRule>
    <cfRule type="cellIs" dxfId="8606" priority="44" operator="equal">
      <formula>"כ"</formula>
    </cfRule>
  </conditionalFormatting>
  <conditionalFormatting sqref="AH3:AO3">
    <cfRule type="cellIs" dxfId="8605" priority="117" operator="equal">
      <formula>"ח"</formula>
    </cfRule>
  </conditionalFormatting>
  <conditionalFormatting sqref="AL4:AO4">
    <cfRule type="cellIs" dxfId="8604" priority="3579" operator="equal">
      <formula>"ח"</formula>
    </cfRule>
  </conditionalFormatting>
  <conditionalFormatting sqref="AP17:AQ18">
    <cfRule type="cellIs" dxfId="8603" priority="3965" operator="equal">
      <formula>"מיל"</formula>
    </cfRule>
    <cfRule type="cellIs" dxfId="8602" priority="3968" operator="equal">
      <formula>"כ"</formula>
    </cfRule>
    <cfRule type="cellIs" dxfId="8601" priority="3967" operator="equal">
      <formula>"כש"</formula>
    </cfRule>
    <cfRule type="cellIs" dxfId="8600" priority="3966" operator="equal">
      <formula>"ח"</formula>
    </cfRule>
    <cfRule type="cellIs" dxfId="8599" priority="3958" operator="equal">
      <formula>"ל"</formula>
    </cfRule>
    <cfRule type="cellIs" dxfId="8598" priority="3959" operator="equal">
      <formula>"י"</formula>
    </cfRule>
    <cfRule type="cellIs" dxfId="8597" priority="3960" operator="equal">
      <formula>"כמש"</formula>
    </cfRule>
    <cfRule type="cellIs" dxfId="8596" priority="3961" operator="equal">
      <formula>"כמ"</formula>
    </cfRule>
    <cfRule type="cellIs" dxfId="8595" priority="3962" operator="equal">
      <formula>"ק"</formula>
    </cfRule>
    <cfRule type="cellIs" dxfId="8594" priority="3963" operator="equal">
      <formula>"מ"</formula>
    </cfRule>
    <cfRule type="cellIs" dxfId="8593" priority="3964" operator="equal">
      <formula>"מנוחה"</formula>
    </cfRule>
  </conditionalFormatting>
  <conditionalFormatting sqref="AT1 CC1 AP14:AP16 AR14:AS17">
    <cfRule type="cellIs" dxfId="8592" priority="3978" operator="equal">
      <formula>"ח"</formula>
    </cfRule>
  </conditionalFormatting>
  <conditionalFormatting sqref="AT1 CC1 AR12:AS32">
    <cfRule type="cellIs" dxfId="8591" priority="3969" operator="equal">
      <formula>"ל"</formula>
    </cfRule>
    <cfRule type="cellIs" dxfId="8590" priority="3980" operator="equal">
      <formula>"כ"</formula>
    </cfRule>
    <cfRule type="cellIs" dxfId="8589" priority="3972" operator="equal">
      <formula>"כמש"</formula>
    </cfRule>
    <cfRule type="cellIs" dxfId="8588" priority="3970" operator="equal">
      <formula>"י"</formula>
    </cfRule>
    <cfRule type="cellIs" dxfId="8587" priority="3973" operator="equal">
      <formula>"כמ"</formula>
    </cfRule>
    <cfRule type="cellIs" dxfId="8586" priority="3979" operator="equal">
      <formula>"כש"</formula>
    </cfRule>
    <cfRule type="cellIs" dxfId="8585" priority="3977" operator="equal">
      <formula>"מיל"</formula>
    </cfRule>
    <cfRule type="cellIs" dxfId="8584" priority="3976" operator="equal">
      <formula>"מנוחה"</formula>
    </cfRule>
    <cfRule type="cellIs" dxfId="8583" priority="3975" operator="equal">
      <formula>"מ"</formula>
    </cfRule>
    <cfRule type="cellIs" dxfId="8582" priority="3974" operator="equal">
      <formula>"ק"</formula>
    </cfRule>
  </conditionalFormatting>
  <conditionalFormatting sqref="AT5:AU32">
    <cfRule type="cellIs" dxfId="8581" priority="2122" operator="equal">
      <formula>"כמ"</formula>
    </cfRule>
    <cfRule type="cellIs" dxfId="8580" priority="2119" operator="equal">
      <formula>"ל"</formula>
    </cfRule>
    <cfRule type="cellIs" dxfId="8579" priority="2120" operator="equal">
      <formula>"י"</formula>
    </cfRule>
    <cfRule type="cellIs" dxfId="8578" priority="2123" operator="equal">
      <formula>"ק"</formula>
    </cfRule>
    <cfRule type="cellIs" dxfId="8577" priority="2124" operator="equal">
      <formula>"מ"</formula>
    </cfRule>
    <cfRule type="cellIs" dxfId="8576" priority="2125" operator="equal">
      <formula>"מנוחה"</formula>
    </cfRule>
    <cfRule type="cellIs" dxfId="8575" priority="2126" operator="equal">
      <formula>"מיל"</formula>
    </cfRule>
    <cfRule type="cellIs" dxfId="8574" priority="2121" operator="equal">
      <formula>"כמש"</formula>
    </cfRule>
    <cfRule type="cellIs" dxfId="8573" priority="2128" operator="equal">
      <formula>"כש"</formula>
    </cfRule>
    <cfRule type="cellIs" dxfId="8572" priority="2129" operator="equal">
      <formula>"כ"</formula>
    </cfRule>
  </conditionalFormatting>
  <conditionalFormatting sqref="AV5 AT5:AU32">
    <cfRule type="cellIs" dxfId="8571" priority="2127" operator="equal">
      <formula>"ח"</formula>
    </cfRule>
  </conditionalFormatting>
  <conditionalFormatting sqref="AV5:BB5">
    <cfRule type="cellIs" dxfId="8570" priority="300" operator="equal">
      <formula>"ל"</formula>
    </cfRule>
    <cfRule type="cellIs" dxfId="8569" priority="301" operator="equal">
      <formula>"י"</formula>
    </cfRule>
    <cfRule type="cellIs" dxfId="8568" priority="302" operator="equal">
      <formula>"כמש"</formula>
    </cfRule>
    <cfRule type="cellIs" dxfId="8567" priority="303" operator="equal">
      <formula>"כמ"</formula>
    </cfRule>
    <cfRule type="cellIs" dxfId="8566" priority="308" operator="equal">
      <formula>"כש"</formula>
    </cfRule>
    <cfRule type="cellIs" dxfId="8565" priority="305" operator="equal">
      <formula>"מ"</formula>
    </cfRule>
    <cfRule type="cellIs" dxfId="8564" priority="307" operator="equal">
      <formula>"מיל"</formula>
    </cfRule>
    <cfRule type="cellIs" dxfId="8563" priority="306" operator="equal">
      <formula>"מנוחה"</formula>
    </cfRule>
    <cfRule type="cellIs" dxfId="8562" priority="309" operator="equal">
      <formula>"כ"</formula>
    </cfRule>
    <cfRule type="cellIs" dxfId="8561" priority="304" operator="equal">
      <formula>"ק"</formula>
    </cfRule>
  </conditionalFormatting>
  <conditionalFormatting sqref="AW5:AW32 AY6:AY7 BA6:BA7 BC6:BC7 AY10:AY11 BA10:BA11 BC10:BC11 AY14:AY15 BA14:BA15 BC14:BC15 AY18:AY19 BA18:BA19 BC18:BC19 AY22:AY23 BA22:BA23 BC22:BC23 AY26:AY27 BA26:BA27 BC26:BC27 AY30:AY31 BA30:BA31 BC30:BC31">
    <cfRule type="cellIs" dxfId="8560" priority="2666" operator="equal">
      <formula>"ח"</formula>
    </cfRule>
  </conditionalFormatting>
  <conditionalFormatting sqref="AW36 AY36 BA36 BC36 BE36 BG36 BI36 BK36 BM36 BO36 BQ36 BS36 BU36 BW36 BY36 CA36:CB36">
    <cfRule type="cellIs" dxfId="8559" priority="3736" operator="lessThan">
      <formula>$CE$36</formula>
    </cfRule>
    <cfRule type="cellIs" dxfId="8558" priority="3737" operator="greaterThan">
      <formula>$CE$36</formula>
    </cfRule>
  </conditionalFormatting>
  <conditionalFormatting sqref="AW4:AY4">
    <cfRule type="cellIs" dxfId="8557" priority="2822" operator="equal">
      <formula>"כ"</formula>
    </cfRule>
    <cfRule type="cellIs" dxfId="8556" priority="2813" operator="equal">
      <formula>"י"</formula>
    </cfRule>
    <cfRule type="cellIs" dxfId="8555" priority="2812" operator="equal">
      <formula>"ל"</formula>
    </cfRule>
    <cfRule type="cellIs" dxfId="8554" priority="2818" operator="equal">
      <formula>"מנוחה"</formula>
    </cfRule>
    <cfRule type="cellIs" dxfId="8553" priority="2815" operator="equal">
      <formula>"כמ"</formula>
    </cfRule>
    <cfRule type="cellIs" dxfId="8552" priority="2814" operator="equal">
      <formula>"כמש"</formula>
    </cfRule>
    <cfRule type="cellIs" dxfId="8551" priority="2816" operator="equal">
      <formula>"ק"</formula>
    </cfRule>
    <cfRule type="cellIs" dxfId="8550" priority="2817" operator="equal">
      <formula>"מ"</formula>
    </cfRule>
    <cfRule type="cellIs" dxfId="8549" priority="2819" operator="equal">
      <formula>"מיל"</formula>
    </cfRule>
    <cfRule type="cellIs" dxfId="8548" priority="2821" operator="equal">
      <formula>"כש"</formula>
    </cfRule>
  </conditionalFormatting>
  <conditionalFormatting sqref="AW6:BB18">
    <cfRule type="cellIs" dxfId="8547" priority="568" operator="equal">
      <formula>"כש"</formula>
    </cfRule>
    <cfRule type="cellIs" dxfId="8546" priority="569" operator="equal">
      <formula>"כ"</formula>
    </cfRule>
    <cfRule type="cellIs" dxfId="8545" priority="560" operator="equal">
      <formula>"ל"</formula>
    </cfRule>
    <cfRule type="cellIs" dxfId="8544" priority="561" operator="equal">
      <formula>"י"</formula>
    </cfRule>
    <cfRule type="cellIs" dxfId="8543" priority="562" operator="equal">
      <formula>"כמש"</formula>
    </cfRule>
    <cfRule type="cellIs" dxfId="8542" priority="563" operator="equal">
      <formula>"כמ"</formula>
    </cfRule>
    <cfRule type="cellIs" dxfId="8541" priority="564" operator="equal">
      <formula>"ק"</formula>
    </cfRule>
    <cfRule type="cellIs" dxfId="8540" priority="565" operator="equal">
      <formula>"מ"</formula>
    </cfRule>
    <cfRule type="cellIs" dxfId="8539" priority="566" operator="equal">
      <formula>"מנוחה"</formula>
    </cfRule>
    <cfRule type="cellIs" dxfId="8538" priority="567" operator="equal">
      <formula>"מיל"</formula>
    </cfRule>
  </conditionalFormatting>
  <conditionalFormatting sqref="AW19:BD32">
    <cfRule type="cellIs" dxfId="8537" priority="224" operator="equal">
      <formula>"ל"</formula>
    </cfRule>
    <cfRule type="cellIs" dxfId="8536" priority="225" operator="equal">
      <formula>"י"</formula>
    </cfRule>
    <cfRule type="cellIs" dxfId="8535" priority="226" operator="equal">
      <formula>"כמש"</formula>
    </cfRule>
    <cfRule type="cellIs" dxfId="8534" priority="228" operator="equal">
      <formula>"ק"</formula>
    </cfRule>
    <cfRule type="cellIs" dxfId="8533" priority="229" operator="equal">
      <formula>"מ"</formula>
    </cfRule>
    <cfRule type="cellIs" dxfId="8532" priority="230" operator="equal">
      <formula>"מנוחה"</formula>
    </cfRule>
    <cfRule type="cellIs" dxfId="8531" priority="227" operator="equal">
      <formula>"כמ"</formula>
    </cfRule>
    <cfRule type="cellIs" dxfId="8530" priority="231" operator="equal">
      <formula>"מיל"</formula>
    </cfRule>
    <cfRule type="cellIs" dxfId="8529" priority="232" operator="equal">
      <formula>"כש"</formula>
    </cfRule>
    <cfRule type="cellIs" dxfId="8528" priority="233" operator="equal">
      <formula>"כ"</formula>
    </cfRule>
  </conditionalFormatting>
  <conditionalFormatting sqref="AW2:CB2 AW3:AZ3 BE3:BO3 AW4:AY4 BE4 BG4 BI4 BK4:BM4 BO4 BW4 BY4 CA4">
    <cfRule type="cellIs" dxfId="8527" priority="3656" operator="equal">
      <formula>"ח"</formula>
    </cfRule>
  </conditionalFormatting>
  <conditionalFormatting sqref="AW2:CB2 AW3:AZ3 BE3:BO3 BK4:BM4 BO4 BW4">
    <cfRule type="cellIs" dxfId="8526" priority="3652" operator="equal">
      <formula>"ק"</formula>
    </cfRule>
    <cfRule type="cellIs" dxfId="8525" priority="3658" operator="equal">
      <formula>"כ"</formula>
    </cfRule>
    <cfRule type="cellIs" dxfId="8524" priority="3657" operator="equal">
      <formula>"כש"</formula>
    </cfRule>
    <cfRule type="cellIs" dxfId="8523" priority="3655" operator="equal">
      <formula>"מיל"</formula>
    </cfRule>
    <cfRule type="cellIs" dxfId="8522" priority="3654" operator="equal">
      <formula>"מנוחה"</formula>
    </cfRule>
    <cfRule type="cellIs" dxfId="8521" priority="3653" operator="equal">
      <formula>"מ"</formula>
    </cfRule>
    <cfRule type="cellIs" dxfId="8520" priority="3651" operator="equal">
      <formula>"כמ"</formula>
    </cfRule>
    <cfRule type="cellIs" dxfId="8519" priority="3650" operator="equal">
      <formula>"כמש"</formula>
    </cfRule>
    <cfRule type="cellIs" dxfId="8518" priority="3649" operator="equal">
      <formula>"י"</formula>
    </cfRule>
    <cfRule type="cellIs" dxfId="8517" priority="3648" operator="equal">
      <formula>"ל"</formula>
    </cfRule>
  </conditionalFormatting>
  <conditionalFormatting sqref="AX5:AX32">
    <cfRule type="cellIs" dxfId="8516" priority="286" operator="equal">
      <formula>"ח"</formula>
    </cfRule>
  </conditionalFormatting>
  <conditionalFormatting sqref="AY5 BA5 BC5">
    <cfRule type="cellIs" dxfId="8515" priority="352" operator="equal">
      <formula>"ח"</formula>
    </cfRule>
  </conditionalFormatting>
  <conditionalFormatting sqref="AY8:AY9 BA8:BA9 BC8:BC9">
    <cfRule type="cellIs" dxfId="8514" priority="742" operator="equal">
      <formula>"ח"</formula>
    </cfRule>
  </conditionalFormatting>
  <conditionalFormatting sqref="AY12:AY13 BA12:BA13 BC12:BC13">
    <cfRule type="cellIs" dxfId="8513" priority="677" operator="equal">
      <formula>"ח"</formula>
    </cfRule>
  </conditionalFormatting>
  <conditionalFormatting sqref="AY16:AY17 BA16:BA17 BC16:BC17">
    <cfRule type="cellIs" dxfId="8512" priority="612" operator="equal">
      <formula>"ח"</formula>
    </cfRule>
  </conditionalFormatting>
  <conditionalFormatting sqref="AY20:AY21 BA20:BA21 BC20:BC21">
    <cfRule type="cellIs" dxfId="8511" priority="547" operator="equal">
      <formula>"ח"</formula>
    </cfRule>
  </conditionalFormatting>
  <conditionalFormatting sqref="AY24:AY25 BA24:BA25 BC24:BC25">
    <cfRule type="cellIs" dxfId="8510" priority="482" operator="equal">
      <formula>"ח"</formula>
    </cfRule>
  </conditionalFormatting>
  <conditionalFormatting sqref="AY28:AY29 BA28:BA29 BC28:BC29">
    <cfRule type="cellIs" dxfId="8509" priority="417" operator="equal">
      <formula>"ח"</formula>
    </cfRule>
  </conditionalFormatting>
  <conditionalFormatting sqref="AY32 BA32 BC32">
    <cfRule type="cellIs" dxfId="8508" priority="287" operator="equal">
      <formula>"ח"</formula>
    </cfRule>
  </conditionalFormatting>
  <conditionalFormatting sqref="AZ5:AZ32">
    <cfRule type="cellIs" dxfId="8507" priority="245" operator="equal">
      <formula>"ח"</formula>
    </cfRule>
  </conditionalFormatting>
  <conditionalFormatting sqref="BB5:BB32">
    <cfRule type="cellIs" dxfId="8506" priority="234" operator="equal">
      <formula>"ח"</formula>
    </cfRule>
  </conditionalFormatting>
  <conditionalFormatting sqref="BC3:BC4">
    <cfRule type="cellIs" dxfId="8505" priority="3634" operator="equal">
      <formula>"ח"</formula>
    </cfRule>
  </conditionalFormatting>
  <conditionalFormatting sqref="BC3:BC18">
    <cfRule type="cellIs" dxfId="8504" priority="341" operator="equal">
      <formula>"ל"</formula>
    </cfRule>
    <cfRule type="cellIs" dxfId="8503" priority="342" operator="equal">
      <formula>"י"</formula>
    </cfRule>
    <cfRule type="cellIs" dxfId="8502" priority="344" operator="equal">
      <formula>"כמ"</formula>
    </cfRule>
    <cfRule type="cellIs" dxfId="8501" priority="345" operator="equal">
      <formula>"ק"</formula>
    </cfRule>
    <cfRule type="cellIs" dxfId="8500" priority="346" operator="equal">
      <formula>"מ"</formula>
    </cfRule>
    <cfRule type="cellIs" dxfId="8499" priority="347" operator="equal">
      <formula>"מנוחה"</formula>
    </cfRule>
    <cfRule type="cellIs" dxfId="8498" priority="343" operator="equal">
      <formula>"כמש"</formula>
    </cfRule>
    <cfRule type="cellIs" dxfId="8497" priority="349" operator="equal">
      <formula>"כש"</formula>
    </cfRule>
    <cfRule type="cellIs" dxfId="8496" priority="348" operator="equal">
      <formula>"מיל"</formula>
    </cfRule>
    <cfRule type="cellIs" dxfId="8495" priority="350" operator="equal">
      <formula>"כ"</formula>
    </cfRule>
  </conditionalFormatting>
  <conditionalFormatting sqref="BD5:BD18">
    <cfRule type="cellIs" dxfId="8494" priority="291" operator="equal">
      <formula>"כמש"</formula>
    </cfRule>
    <cfRule type="cellIs" dxfId="8493" priority="292" operator="equal">
      <formula>"כמ"</formula>
    </cfRule>
    <cfRule type="cellIs" dxfId="8492" priority="293" operator="equal">
      <formula>"ק"</formula>
    </cfRule>
    <cfRule type="cellIs" dxfId="8491" priority="294" operator="equal">
      <formula>"מ"</formula>
    </cfRule>
    <cfRule type="cellIs" dxfId="8490" priority="295" operator="equal">
      <formula>"מנוחה"</formula>
    </cfRule>
    <cfRule type="cellIs" dxfId="8489" priority="296" operator="equal">
      <formula>"מיל"</formula>
    </cfRule>
    <cfRule type="cellIs" dxfId="8488" priority="297" operator="equal">
      <formula>"כש"</formula>
    </cfRule>
    <cfRule type="cellIs" dxfId="8487" priority="298" operator="equal">
      <formula>"כ"</formula>
    </cfRule>
    <cfRule type="cellIs" dxfId="8486" priority="289" operator="equal">
      <formula>"ל"</formula>
    </cfRule>
    <cfRule type="cellIs" dxfId="8485" priority="290" operator="equal">
      <formula>"י"</formula>
    </cfRule>
  </conditionalFormatting>
  <conditionalFormatting sqref="BD5:BD32">
    <cfRule type="cellIs" dxfId="8484" priority="223" operator="equal">
      <formula>"ח"</formula>
    </cfRule>
  </conditionalFormatting>
  <conditionalFormatting sqref="BE5:BE32 BG7:BG8 BI7:BI8 BK7:BK8 BG11:BG12 BI11:BI12 BK11:BK12 BG15:BG16 BI15:BI16 BK15:BK16 BG19:BG20 BI19:BI20 BK19:BK20 BG23:BG24 BI23:BI24 BK23:BK24 BG27:BG28 BI27:BI28 BK27:BK28 BG31:BG32 BI31:BI32 BK31:BK32">
    <cfRule type="cellIs" dxfId="8483" priority="2446" operator="equal">
      <formula>"ח"</formula>
    </cfRule>
  </conditionalFormatting>
  <conditionalFormatting sqref="BE20:BP20">
    <cfRule type="cellIs" dxfId="8482" priority="2366" operator="equal">
      <formula>"מ"</formula>
    </cfRule>
    <cfRule type="cellIs" dxfId="8481" priority="2365" operator="equal">
      <formula>"ק"</formula>
    </cfRule>
    <cfRule type="cellIs" dxfId="8480" priority="2364" operator="equal">
      <formula>"כמ"</formula>
    </cfRule>
    <cfRule type="cellIs" dxfId="8479" priority="2363" operator="equal">
      <formula>"כמש"</formula>
    </cfRule>
    <cfRule type="cellIs" dxfId="8478" priority="2362" operator="equal">
      <formula>"י"</formula>
    </cfRule>
    <cfRule type="cellIs" dxfId="8477" priority="2361" operator="equal">
      <formula>"ל"</formula>
    </cfRule>
    <cfRule type="cellIs" dxfId="8476" priority="2370" operator="equal">
      <formula>"כש"</formula>
    </cfRule>
    <cfRule type="cellIs" dxfId="8475" priority="2371" operator="equal">
      <formula>"כ"</formula>
    </cfRule>
    <cfRule type="cellIs" dxfId="8474" priority="2368" operator="equal">
      <formula>"מיל"</formula>
    </cfRule>
    <cfRule type="cellIs" dxfId="8473" priority="2367" operator="equal">
      <formula>"מנוחה"</formula>
    </cfRule>
  </conditionalFormatting>
  <conditionalFormatting sqref="BE21:BT32">
    <cfRule type="cellIs" dxfId="8472" priority="1199" operator="equal">
      <formula>"ל"</formula>
    </cfRule>
    <cfRule type="cellIs" dxfId="8471" priority="1204" operator="equal">
      <formula>"מ"</formula>
    </cfRule>
    <cfRule type="cellIs" dxfId="8470" priority="1205" operator="equal">
      <formula>"מנוחה"</formula>
    </cfRule>
    <cfRule type="cellIs" dxfId="8469" priority="1206" operator="equal">
      <formula>"מיל"</formula>
    </cfRule>
    <cfRule type="cellIs" dxfId="8468" priority="1208" operator="equal">
      <formula>"כ"</formula>
    </cfRule>
    <cfRule type="cellIs" dxfId="8467" priority="1207" operator="equal">
      <formula>"כש"</formula>
    </cfRule>
    <cfRule type="cellIs" dxfId="8466" priority="1200" operator="equal">
      <formula>"י"</formula>
    </cfRule>
    <cfRule type="cellIs" dxfId="8465" priority="1201" operator="equal">
      <formula>"כמש"</formula>
    </cfRule>
    <cfRule type="cellIs" dxfId="8464" priority="1202" operator="equal">
      <formula>"כמ"</formula>
    </cfRule>
    <cfRule type="cellIs" dxfId="8463" priority="1203" operator="equal">
      <formula>"ק"</formula>
    </cfRule>
  </conditionalFormatting>
  <conditionalFormatting sqref="BF5:BF32">
    <cfRule type="cellIs" dxfId="8462" priority="1716" operator="equal">
      <formula>"ח"</formula>
    </cfRule>
  </conditionalFormatting>
  <conditionalFormatting sqref="BF5:BH19">
    <cfRule type="cellIs" dxfId="8461" priority="1871" operator="equal">
      <formula>"ל"</formula>
    </cfRule>
    <cfRule type="cellIs" dxfId="8460" priority="1873" operator="equal">
      <formula>"כמש"</formula>
    </cfRule>
    <cfRule type="cellIs" dxfId="8459" priority="1872" operator="equal">
      <formula>"י"</formula>
    </cfRule>
    <cfRule type="cellIs" dxfId="8458" priority="1874" operator="equal">
      <formula>"כמ"</formula>
    </cfRule>
    <cfRule type="cellIs" dxfId="8457" priority="1875" operator="equal">
      <formula>"ק"</formula>
    </cfRule>
    <cfRule type="cellIs" dxfId="8456" priority="1876" operator="equal">
      <formula>"מ"</formula>
    </cfRule>
    <cfRule type="cellIs" dxfId="8455" priority="1877" operator="equal">
      <formula>"מנוחה"</formula>
    </cfRule>
    <cfRule type="cellIs" dxfId="8454" priority="1878" operator="equal">
      <formula>"מיל"</formula>
    </cfRule>
    <cfRule type="cellIs" dxfId="8453" priority="1879" operator="equal">
      <formula>"כש"</formula>
    </cfRule>
    <cfRule type="cellIs" dxfId="8452" priority="1880" operator="equal">
      <formula>"כ"</formula>
    </cfRule>
  </conditionalFormatting>
  <conditionalFormatting sqref="BG4 BE4:BE19">
    <cfRule type="cellIs" dxfId="8451" priority="2608" operator="equal">
      <formula>"מ"</formula>
    </cfRule>
    <cfRule type="cellIs" dxfId="8450" priority="2605" operator="equal">
      <formula>"כמש"</formula>
    </cfRule>
    <cfRule type="cellIs" dxfId="8449" priority="2607" operator="equal">
      <formula>"ק"</formula>
    </cfRule>
    <cfRule type="cellIs" dxfId="8448" priority="2606" operator="equal">
      <formula>"כמ"</formula>
    </cfRule>
    <cfRule type="cellIs" dxfId="8447" priority="2603" operator="equal">
      <formula>"ל"</formula>
    </cfRule>
    <cfRule type="cellIs" dxfId="8446" priority="2613" operator="equal">
      <formula>"כ"</formula>
    </cfRule>
    <cfRule type="cellIs" dxfId="8445" priority="2612" operator="equal">
      <formula>"כש"</formula>
    </cfRule>
    <cfRule type="cellIs" dxfId="8444" priority="2604" operator="equal">
      <formula>"י"</formula>
    </cfRule>
    <cfRule type="cellIs" dxfId="8443" priority="2610" operator="equal">
      <formula>"מיל"</formula>
    </cfRule>
    <cfRule type="cellIs" dxfId="8442" priority="2609" operator="equal">
      <formula>"מנוחה"</formula>
    </cfRule>
  </conditionalFormatting>
  <conditionalFormatting sqref="BG5:BG6 BI5:BI6 BK5:BK6">
    <cfRule type="cellIs" dxfId="8441" priority="2107" operator="equal">
      <formula>"ח"</formula>
    </cfRule>
  </conditionalFormatting>
  <conditionalFormatting sqref="BG9:BG10 BI9:BI10 BK9:BK10">
    <cfRule type="cellIs" dxfId="8440" priority="2042" operator="equal">
      <formula>"ח"</formula>
    </cfRule>
  </conditionalFormatting>
  <conditionalFormatting sqref="BG13:BG14 BI13:BI14 BK13:BK14">
    <cfRule type="cellIs" dxfId="8439" priority="1977" operator="equal">
      <formula>"ח"</formula>
    </cfRule>
  </conditionalFormatting>
  <conditionalFormatting sqref="BG17:BG18 BI17:BI18 BK17:BK18">
    <cfRule type="cellIs" dxfId="8438" priority="1912" operator="equal">
      <formula>"ח"</formula>
    </cfRule>
  </conditionalFormatting>
  <conditionalFormatting sqref="BG21:BG22 BI21:BI22 BK21:BK22">
    <cfRule type="cellIs" dxfId="8437" priority="1847" operator="equal">
      <formula>"ח"</formula>
    </cfRule>
  </conditionalFormatting>
  <conditionalFormatting sqref="BG25:BG26 BI25:BI26 BK25:BK26">
    <cfRule type="cellIs" dxfId="8436" priority="1782" operator="equal">
      <formula>"ח"</formula>
    </cfRule>
  </conditionalFormatting>
  <conditionalFormatting sqref="BG29:BG30 BI29:BI30 BK29:BK30">
    <cfRule type="cellIs" dxfId="8435" priority="1717" operator="equal">
      <formula>"ח"</formula>
    </cfRule>
  </conditionalFormatting>
  <conditionalFormatting sqref="BH5:BH32">
    <cfRule type="cellIs" dxfId="8434" priority="1675" operator="equal">
      <formula>"ח"</formula>
    </cfRule>
  </conditionalFormatting>
  <conditionalFormatting sqref="BI4:BI19">
    <cfRule type="cellIs" dxfId="8433" priority="1883" operator="equal">
      <formula>"כמש"</formula>
    </cfRule>
    <cfRule type="cellIs" dxfId="8432" priority="1890" operator="equal">
      <formula>"כ"</formula>
    </cfRule>
    <cfRule type="cellIs" dxfId="8431" priority="1889" operator="equal">
      <formula>"כש"</formula>
    </cfRule>
    <cfRule type="cellIs" dxfId="8430" priority="1887" operator="equal">
      <formula>"מנוחה"</formula>
    </cfRule>
    <cfRule type="cellIs" dxfId="8429" priority="1886" operator="equal">
      <formula>"מ"</formula>
    </cfRule>
    <cfRule type="cellIs" dxfId="8428" priority="1885" operator="equal">
      <formula>"ק"</formula>
    </cfRule>
    <cfRule type="cellIs" dxfId="8427" priority="1881" operator="equal">
      <formula>"ל"</formula>
    </cfRule>
    <cfRule type="cellIs" dxfId="8426" priority="1888" operator="equal">
      <formula>"מיל"</formula>
    </cfRule>
    <cfRule type="cellIs" dxfId="8425" priority="1884" operator="equal">
      <formula>"כמ"</formula>
    </cfRule>
    <cfRule type="cellIs" dxfId="8424" priority="1882" operator="equal">
      <formula>"י"</formula>
    </cfRule>
  </conditionalFormatting>
  <conditionalFormatting sqref="BJ5:BJ32">
    <cfRule type="cellIs" dxfId="8423" priority="1664" operator="equal">
      <formula>"ח"</formula>
    </cfRule>
  </conditionalFormatting>
  <conditionalFormatting sqref="BJ5:BL19">
    <cfRule type="cellIs" dxfId="8422" priority="1858" operator="equal">
      <formula>"כ"</formula>
    </cfRule>
    <cfRule type="cellIs" dxfId="8421" priority="1857" operator="equal">
      <formula>"כש"</formula>
    </cfRule>
  </conditionalFormatting>
  <conditionalFormatting sqref="BJ5:BP19">
    <cfRule type="cellIs" dxfId="8420" priority="1416" operator="equal">
      <formula>"ל"</formula>
    </cfRule>
    <cfRule type="cellIs" dxfId="8419" priority="1417" operator="equal">
      <formula>"י"</formula>
    </cfRule>
    <cfRule type="cellIs" dxfId="8418" priority="1418" operator="equal">
      <formula>"כמש"</formula>
    </cfRule>
    <cfRule type="cellIs" dxfId="8417" priority="1419" operator="equal">
      <formula>"כמ"</formula>
    </cfRule>
    <cfRule type="cellIs" dxfId="8416" priority="1420" operator="equal">
      <formula>"ק"</formula>
    </cfRule>
    <cfRule type="cellIs" dxfId="8415" priority="1422" operator="equal">
      <formula>"מנוחה"</formula>
    </cfRule>
    <cfRule type="cellIs" dxfId="8414" priority="1421" operator="equal">
      <formula>"מ"</formula>
    </cfRule>
    <cfRule type="cellIs" dxfId="8413" priority="1423" operator="equal">
      <formula>"מיל"</formula>
    </cfRule>
  </conditionalFormatting>
  <conditionalFormatting sqref="BL5:BL32">
    <cfRule type="cellIs" dxfId="8412" priority="1653" operator="equal">
      <formula>"ח"</formula>
    </cfRule>
  </conditionalFormatting>
  <conditionalFormatting sqref="BM18:BM20 BO20">
    <cfRule type="cellIs" dxfId="8411" priority="2391" operator="equal">
      <formula>"ח"</formula>
    </cfRule>
  </conditionalFormatting>
  <conditionalFormatting sqref="BM22:BM24 BO24">
    <cfRule type="cellIs" dxfId="8410" priority="2336" operator="equal">
      <formula>"ח"</formula>
    </cfRule>
  </conditionalFormatting>
  <conditionalFormatting sqref="BM26:BM28 BO28">
    <cfRule type="cellIs" dxfId="8409" priority="2281" operator="equal">
      <formula>"ח"</formula>
    </cfRule>
  </conditionalFormatting>
  <conditionalFormatting sqref="BM5:BO5">
    <cfRule type="cellIs" dxfId="8408" priority="3913" operator="equal">
      <formula>"כ"</formula>
    </cfRule>
    <cfRule type="cellIs" dxfId="8407" priority="3912" operator="equal">
      <formula>"כש"</formula>
    </cfRule>
  </conditionalFormatting>
  <conditionalFormatting sqref="BM6:BP19">
    <cfRule type="cellIs" dxfId="8406" priority="1424" operator="equal">
      <formula>"כש"</formula>
    </cfRule>
    <cfRule type="cellIs" dxfId="8405" priority="1425" operator="equal">
      <formula>"כ"</formula>
    </cfRule>
  </conditionalFormatting>
  <conditionalFormatting sqref="BN5">
    <cfRule type="cellIs" dxfId="8404" priority="3911" stopIfTrue="1" operator="equal">
      <formula>"ח"</formula>
    </cfRule>
  </conditionalFormatting>
  <conditionalFormatting sqref="BN6:BN8">
    <cfRule type="cellIs" dxfId="8403" priority="1651" operator="equal">
      <formula>"ח"</formula>
    </cfRule>
  </conditionalFormatting>
  <conditionalFormatting sqref="BN10:BN12">
    <cfRule type="cellIs" dxfId="8402" priority="1586" operator="equal">
      <formula>"ח"</formula>
    </cfRule>
  </conditionalFormatting>
  <conditionalFormatting sqref="BN14:BN16">
    <cfRule type="cellIs" dxfId="8401" priority="1521" operator="equal">
      <formula>"ח"</formula>
    </cfRule>
  </conditionalFormatting>
  <conditionalFormatting sqref="BN18:BN20">
    <cfRule type="cellIs" dxfId="8400" priority="1456" operator="equal">
      <formula>"ח"</formula>
    </cfRule>
  </conditionalFormatting>
  <conditionalFormatting sqref="BN22:BN24">
    <cfRule type="cellIs" dxfId="8399" priority="1391" operator="equal">
      <formula>"ח"</formula>
    </cfRule>
  </conditionalFormatting>
  <conditionalFormatting sqref="BN26:BN28">
    <cfRule type="cellIs" dxfId="8398" priority="1326" operator="equal">
      <formula>"ח"</formula>
    </cfRule>
  </conditionalFormatting>
  <conditionalFormatting sqref="BN30:BN32">
    <cfRule type="cellIs" dxfId="8397" priority="1261" operator="equal">
      <formula>"ח"</formula>
    </cfRule>
  </conditionalFormatting>
  <conditionalFormatting sqref="BO6:BO7 BQ6:BQ7 BS6:BS7">
    <cfRule type="cellIs" dxfId="8396" priority="1652" operator="equal">
      <formula>"ח"</formula>
    </cfRule>
  </conditionalFormatting>
  <conditionalFormatting sqref="BO10:BO11 BQ10:BQ11 BS10:BS11">
    <cfRule type="cellIs" dxfId="8395" priority="1587" operator="equal">
      <formula>"ח"</formula>
    </cfRule>
  </conditionalFormatting>
  <conditionalFormatting sqref="BO14:BO15 BQ14:BQ15 BS14:BS15">
    <cfRule type="cellIs" dxfId="8394" priority="1522" operator="equal">
      <formula>"ח"</formula>
    </cfRule>
  </conditionalFormatting>
  <conditionalFormatting sqref="BO18:BO19 BQ18:BQ19 BS18:BS19">
    <cfRule type="cellIs" dxfId="8393" priority="1457" operator="equal">
      <formula>"ח"</formula>
    </cfRule>
  </conditionalFormatting>
  <conditionalFormatting sqref="BO22:BO23 BQ22:BQ23 BS22:BS23">
    <cfRule type="cellIs" dxfId="8392" priority="1392" operator="equal">
      <formula>"ח"</formula>
    </cfRule>
  </conditionalFormatting>
  <conditionalFormatting sqref="BO26:BO27 BQ26:BQ27 BS26:BS27">
    <cfRule type="cellIs" dxfId="8391" priority="1327" operator="equal">
      <formula>"ח"</formula>
    </cfRule>
  </conditionalFormatting>
  <conditionalFormatting sqref="BO30:BO31 BQ30:BQ31 BS30:BS31">
    <cfRule type="cellIs" dxfId="8390" priority="1262" operator="equal">
      <formula>"ח"</formula>
    </cfRule>
  </conditionalFormatting>
  <conditionalFormatting sqref="BP5">
    <cfRule type="cellIs" dxfId="8389" priority="3823" stopIfTrue="1" operator="equal">
      <formula>"ח"</formula>
    </cfRule>
    <cfRule type="cellIs" dxfId="8388" priority="3824" operator="equal">
      <formula>"כש"</formula>
    </cfRule>
    <cfRule type="cellIs" dxfId="8387" priority="3825" operator="equal">
      <formula>"כ"</formula>
    </cfRule>
  </conditionalFormatting>
  <conditionalFormatting sqref="BP6:BP8">
    <cfRule type="cellIs" dxfId="8386" priority="1610" operator="equal">
      <formula>"ח"</formula>
    </cfRule>
  </conditionalFormatting>
  <conditionalFormatting sqref="BP9 BP13 BP17 BP21 BP25 BP29">
    <cfRule type="cellIs" dxfId="8385" priority="3834" operator="equal">
      <formula>"ח"</formula>
    </cfRule>
  </conditionalFormatting>
  <conditionalFormatting sqref="BP10:BP12">
    <cfRule type="cellIs" dxfId="8384" priority="1545" operator="equal">
      <formula>"ח"</formula>
    </cfRule>
  </conditionalFormatting>
  <conditionalFormatting sqref="BP14:BP16">
    <cfRule type="cellIs" dxfId="8383" priority="1480" operator="equal">
      <formula>"ח"</formula>
    </cfRule>
  </conditionalFormatting>
  <conditionalFormatting sqref="BP18:BP20">
    <cfRule type="cellIs" dxfId="8382" priority="1415" operator="equal">
      <formula>"ח"</formula>
    </cfRule>
  </conditionalFormatting>
  <conditionalFormatting sqref="BP22:BP24">
    <cfRule type="cellIs" dxfId="8381" priority="1350" operator="equal">
      <formula>"ח"</formula>
    </cfRule>
  </conditionalFormatting>
  <conditionalFormatting sqref="BP26:BP28">
    <cfRule type="cellIs" dxfId="8380" priority="1285" operator="equal">
      <formula>"ח"</formula>
    </cfRule>
  </conditionalFormatting>
  <conditionalFormatting sqref="BP30:BP32">
    <cfRule type="cellIs" dxfId="8379" priority="1220" operator="equal">
      <formula>"ח"</formula>
    </cfRule>
  </conditionalFormatting>
  <conditionalFormatting sqref="BQ4:BQ20">
    <cfRule type="cellIs" dxfId="8378" priority="1433" operator="equal">
      <formula>"מיל"</formula>
    </cfRule>
    <cfRule type="cellIs" dxfId="8377" priority="1432" operator="equal">
      <formula>"מנוחה"</formula>
    </cfRule>
    <cfRule type="cellIs" dxfId="8376" priority="1431" operator="equal">
      <formula>"מ"</formula>
    </cfRule>
    <cfRule type="cellIs" dxfId="8375" priority="1430" operator="equal">
      <formula>"ק"</formula>
    </cfRule>
    <cfRule type="cellIs" dxfId="8374" priority="1429" operator="equal">
      <formula>"כמ"</formula>
    </cfRule>
    <cfRule type="cellIs" dxfId="8373" priority="1428" operator="equal">
      <formula>"כמש"</formula>
    </cfRule>
    <cfRule type="cellIs" dxfId="8372" priority="1427" operator="equal">
      <formula>"י"</formula>
    </cfRule>
    <cfRule type="cellIs" dxfId="8371" priority="1426" operator="equal">
      <formula>"ל"</formula>
    </cfRule>
    <cfRule type="cellIs" dxfId="8370" priority="1434" operator="equal">
      <formula>"כש"</formula>
    </cfRule>
    <cfRule type="cellIs" dxfId="8369" priority="1435" operator="equal">
      <formula>"כ"</formula>
    </cfRule>
  </conditionalFormatting>
  <conditionalFormatting sqref="BQ5 BS5 BQ8:BQ9 BS8:BS9 BQ12:BQ13 BS12:BS13 BQ16:BQ17 BS16:BS17 BQ20:BQ21 BS20:BS21 BQ24:BQ25 BS24:BS25 BQ28:BQ29 BS28:BS29 BM30:BM32 BO32 BQ32 BS32">
    <cfRule type="cellIs" dxfId="8368" priority="2226" operator="equal">
      <formula>"ח"</formula>
    </cfRule>
  </conditionalFormatting>
  <conditionalFormatting sqref="BQ3:CA3 BQ4">
    <cfRule type="cellIs" dxfId="8367" priority="3645" operator="equal">
      <formula>"ח"</formula>
    </cfRule>
  </conditionalFormatting>
  <conditionalFormatting sqref="BQ3:CA3">
    <cfRule type="cellIs" dxfId="8366" priority="3647" operator="equal">
      <formula>"כ"</formula>
    </cfRule>
    <cfRule type="cellIs" dxfId="8365" priority="3644" operator="equal">
      <formula>"מיל"</formula>
    </cfRule>
    <cfRule type="cellIs" dxfId="8364" priority="3643" operator="equal">
      <formula>"מנוחה"</formula>
    </cfRule>
    <cfRule type="cellIs" dxfId="8363" priority="3642" operator="equal">
      <formula>"מ"</formula>
    </cfRule>
    <cfRule type="cellIs" dxfId="8362" priority="3641" operator="equal">
      <formula>"ק"</formula>
    </cfRule>
    <cfRule type="cellIs" dxfId="8361" priority="3640" operator="equal">
      <formula>"כמ"</formula>
    </cfRule>
    <cfRule type="cellIs" dxfId="8360" priority="3639" operator="equal">
      <formula>"כמש"</formula>
    </cfRule>
    <cfRule type="cellIs" dxfId="8359" priority="3638" operator="equal">
      <formula>"י"</formula>
    </cfRule>
    <cfRule type="cellIs" dxfId="8358" priority="3637" operator="equal">
      <formula>"ל"</formula>
    </cfRule>
    <cfRule type="cellIs" dxfId="8357" priority="3646" operator="equal">
      <formula>"כש"</formula>
    </cfRule>
  </conditionalFormatting>
  <conditionalFormatting sqref="BR5">
    <cfRule type="cellIs" dxfId="8356" priority="3801" stopIfTrue="1" operator="equal">
      <formula>"ח"</formula>
    </cfRule>
    <cfRule type="cellIs" dxfId="8355" priority="3802" operator="equal">
      <formula>"כש"</formula>
    </cfRule>
    <cfRule type="cellIs" dxfId="8354" priority="3803" operator="equal">
      <formula>"כ"</formula>
    </cfRule>
  </conditionalFormatting>
  <conditionalFormatting sqref="BR6:BR8">
    <cfRule type="cellIs" dxfId="8353" priority="1599" operator="equal">
      <formula>"ח"</formula>
    </cfRule>
  </conditionalFormatting>
  <conditionalFormatting sqref="BR6:BR20">
    <cfRule type="cellIs" dxfId="8352" priority="1414" operator="equal">
      <formula>"כ"</formula>
    </cfRule>
    <cfRule type="cellIs" dxfId="8351" priority="1413" operator="equal">
      <formula>"כש"</formula>
    </cfRule>
  </conditionalFormatting>
  <conditionalFormatting sqref="BR9 BR13 BR17 BR21 BR25 BR29">
    <cfRule type="cellIs" dxfId="8350" priority="3812" operator="equal">
      <formula>"ח"</formula>
    </cfRule>
  </conditionalFormatting>
  <conditionalFormatting sqref="BR10:BR12">
    <cfRule type="cellIs" dxfId="8349" priority="1534" operator="equal">
      <formula>"ח"</formula>
    </cfRule>
  </conditionalFormatting>
  <conditionalFormatting sqref="BR14:BR16">
    <cfRule type="cellIs" dxfId="8348" priority="1469" operator="equal">
      <formula>"ח"</formula>
    </cfRule>
  </conditionalFormatting>
  <conditionalFormatting sqref="BR18:BR20">
    <cfRule type="cellIs" dxfId="8347" priority="1404" operator="equal">
      <formula>"ח"</formula>
    </cfRule>
  </conditionalFormatting>
  <conditionalFormatting sqref="BR22:BR24">
    <cfRule type="cellIs" dxfId="8346" priority="1339" operator="equal">
      <formula>"ח"</formula>
    </cfRule>
  </conditionalFormatting>
  <conditionalFormatting sqref="BR26:BR28">
    <cfRule type="cellIs" dxfId="8345" priority="1274" operator="equal">
      <formula>"ח"</formula>
    </cfRule>
  </conditionalFormatting>
  <conditionalFormatting sqref="BR30:BR32">
    <cfRule type="cellIs" dxfId="8344" priority="1209" operator="equal">
      <formula>"ח"</formula>
    </cfRule>
  </conditionalFormatting>
  <conditionalFormatting sqref="BR5:BT20">
    <cfRule type="cellIs" dxfId="8343" priority="1396" operator="equal">
      <formula>"כמש"</formula>
    </cfRule>
    <cfRule type="cellIs" dxfId="8342" priority="1397" operator="equal">
      <formula>"כמ"</formula>
    </cfRule>
    <cfRule type="cellIs" dxfId="8341" priority="1398" operator="equal">
      <formula>"ק"</formula>
    </cfRule>
    <cfRule type="cellIs" dxfId="8340" priority="1399" operator="equal">
      <formula>"מ"</formula>
    </cfRule>
    <cfRule type="cellIs" dxfId="8339" priority="1400" operator="equal">
      <formula>"מנוחה"</formula>
    </cfRule>
    <cfRule type="cellIs" dxfId="8338" priority="1401" operator="equal">
      <formula>"מיל"</formula>
    </cfRule>
    <cfRule type="cellIs" dxfId="8337" priority="1394" operator="equal">
      <formula>"ל"</formula>
    </cfRule>
    <cfRule type="cellIs" dxfId="8336" priority="1395" operator="equal">
      <formula>"י"</formula>
    </cfRule>
  </conditionalFormatting>
  <conditionalFormatting sqref="BS4:BT20">
    <cfRule type="cellIs" dxfId="8335" priority="1402" operator="equal">
      <formula>"כש"</formula>
    </cfRule>
    <cfRule type="cellIs" dxfId="8334" priority="1403" operator="equal">
      <formula>"כ"</formula>
    </cfRule>
  </conditionalFormatting>
  <conditionalFormatting sqref="BT5">
    <cfRule type="cellIs" dxfId="8333" priority="3781" operator="equal">
      <formula>"כ"</formula>
    </cfRule>
    <cfRule type="cellIs" dxfId="8332" priority="3780" operator="equal">
      <formula>"כש"</formula>
    </cfRule>
    <cfRule type="cellIs" dxfId="8331" priority="3779" stopIfTrue="1" operator="equal">
      <formula>"ח"</formula>
    </cfRule>
  </conditionalFormatting>
  <conditionalFormatting sqref="BT5:BT12">
    <cfRule type="cellIs" dxfId="8330" priority="1523" operator="equal">
      <formula>"ח"</formula>
    </cfRule>
  </conditionalFormatting>
  <conditionalFormatting sqref="BT9 BT13 BT17 BT21 BT25 BT29">
    <cfRule type="cellIs" dxfId="8329" priority="3790" operator="equal">
      <formula>"ח"</formula>
    </cfRule>
  </conditionalFormatting>
  <conditionalFormatting sqref="BT14:BT16">
    <cfRule type="cellIs" dxfId="8328" priority="1458" operator="equal">
      <formula>"ח"</formula>
    </cfRule>
  </conditionalFormatting>
  <conditionalFormatting sqref="BT18:BT20">
    <cfRule type="cellIs" dxfId="8327" priority="1393" operator="equal">
      <formula>"ח"</formula>
    </cfRule>
  </conditionalFormatting>
  <conditionalFormatting sqref="BT22:BT24">
    <cfRule type="cellIs" dxfId="8326" priority="1328" operator="equal">
      <formula>"ח"</formula>
    </cfRule>
  </conditionalFormatting>
  <conditionalFormatting sqref="BT26:BT28">
    <cfRule type="cellIs" dxfId="8325" priority="1263" operator="equal">
      <formula>"ח"</formula>
    </cfRule>
  </conditionalFormatting>
  <conditionalFormatting sqref="BT30:BT32">
    <cfRule type="cellIs" dxfId="8324" priority="1198" operator="equal">
      <formula>"ח"</formula>
    </cfRule>
  </conditionalFormatting>
  <conditionalFormatting sqref="BU15:BU17 BW17">
    <cfRule type="cellIs" dxfId="8323" priority="3051" operator="equal">
      <formula>"ח"</formula>
    </cfRule>
  </conditionalFormatting>
  <conditionalFormatting sqref="BU19:BU21 BW21">
    <cfRule type="cellIs" dxfId="8322" priority="2996" operator="equal">
      <formula>"ח"</formula>
    </cfRule>
  </conditionalFormatting>
  <conditionalFormatting sqref="BU23:BU25 BW25">
    <cfRule type="cellIs" dxfId="8321" priority="2941" operator="equal">
      <formula>"ח"</formula>
    </cfRule>
  </conditionalFormatting>
  <conditionalFormatting sqref="BU5:BX17">
    <cfRule type="cellIs" dxfId="8320" priority="774" operator="equal">
      <formula>"כש"</formula>
    </cfRule>
    <cfRule type="cellIs" dxfId="8319" priority="773" operator="equal">
      <formula>"מיל"</formula>
    </cfRule>
    <cfRule type="cellIs" dxfId="8318" priority="772" operator="equal">
      <formula>"מנוחה"</formula>
    </cfRule>
    <cfRule type="cellIs" dxfId="8317" priority="771" operator="equal">
      <formula>"מ"</formula>
    </cfRule>
    <cfRule type="cellIs" dxfId="8316" priority="770" operator="equal">
      <formula>"ק"</formula>
    </cfRule>
    <cfRule type="cellIs" dxfId="8315" priority="769" operator="equal">
      <formula>"כמ"</formula>
    </cfRule>
    <cfRule type="cellIs" dxfId="8314" priority="767" operator="equal">
      <formula>"י"</formula>
    </cfRule>
    <cfRule type="cellIs" dxfId="8313" priority="766" operator="equal">
      <formula>"ל"</formula>
    </cfRule>
    <cfRule type="cellIs" dxfId="8312" priority="768" operator="equal">
      <formula>"כמש"</formula>
    </cfRule>
    <cfRule type="cellIs" dxfId="8311" priority="775" operator="equal">
      <formula>"כ"</formula>
    </cfRule>
  </conditionalFormatting>
  <conditionalFormatting sqref="BU18:CB32">
    <cfRule type="cellIs" dxfId="8310" priority="948" operator="equal">
      <formula>"כ"</formula>
    </cfRule>
    <cfRule type="cellIs" dxfId="8309" priority="944" operator="equal">
      <formula>"מ"</formula>
    </cfRule>
    <cfRule type="cellIs" dxfId="8308" priority="945" operator="equal">
      <formula>"מנוחה"</formula>
    </cfRule>
    <cfRule type="cellIs" dxfId="8307" priority="943" operator="equal">
      <formula>"ק"</formula>
    </cfRule>
    <cfRule type="cellIs" dxfId="8306" priority="942" operator="equal">
      <formula>"כמ"</formula>
    </cfRule>
    <cfRule type="cellIs" dxfId="8305" priority="941" operator="equal">
      <formula>"כמש"</formula>
    </cfRule>
    <cfRule type="cellIs" dxfId="8304" priority="940" operator="equal">
      <formula>"י"</formula>
    </cfRule>
    <cfRule type="cellIs" dxfId="8303" priority="947" operator="equal">
      <formula>"כש"</formula>
    </cfRule>
    <cfRule type="cellIs" dxfId="8302" priority="946" operator="equal">
      <formula>"מיל"</formula>
    </cfRule>
    <cfRule type="cellIs" dxfId="8301" priority="939" operator="equal">
      <formula>"ל"</formula>
    </cfRule>
  </conditionalFormatting>
  <conditionalFormatting sqref="BV7:BV9">
    <cfRule type="cellIs" dxfId="8300" priority="806" operator="equal">
      <formula>"ח"</formula>
    </cfRule>
  </conditionalFormatting>
  <conditionalFormatting sqref="BV11:BV13">
    <cfRule type="cellIs" dxfId="8299" priority="871" operator="equal">
      <formula>"ח"</formula>
    </cfRule>
  </conditionalFormatting>
  <conditionalFormatting sqref="BV15:BV17">
    <cfRule type="cellIs" dxfId="8298" priority="936" operator="equal">
      <formula>"ח"</formula>
    </cfRule>
  </conditionalFormatting>
  <conditionalFormatting sqref="BV19:BV21">
    <cfRule type="cellIs" dxfId="8297" priority="1001" operator="equal">
      <formula>"ח"</formula>
    </cfRule>
  </conditionalFormatting>
  <conditionalFormatting sqref="BV23:BV25">
    <cfRule type="cellIs" dxfId="8296" priority="1066" operator="equal">
      <formula>"ח"</formula>
    </cfRule>
  </conditionalFormatting>
  <conditionalFormatting sqref="BV27:BV29">
    <cfRule type="cellIs" dxfId="8295" priority="1131" operator="equal">
      <formula>"ח"</formula>
    </cfRule>
  </conditionalFormatting>
  <conditionalFormatting sqref="BV31:BV32">
    <cfRule type="cellIs" dxfId="8294" priority="1196" operator="equal">
      <formula>"ח"</formula>
    </cfRule>
  </conditionalFormatting>
  <conditionalFormatting sqref="BW7:BW8 BY7:BY8 CA7:CA8">
    <cfRule type="cellIs" dxfId="8293" priority="807" operator="equal">
      <formula>"ח"</formula>
    </cfRule>
  </conditionalFormatting>
  <conditionalFormatting sqref="BW11:BW12 BY11:BY12 CA11:CA12">
    <cfRule type="cellIs" dxfId="8292" priority="872" operator="equal">
      <formula>"ח"</formula>
    </cfRule>
  </conditionalFormatting>
  <conditionalFormatting sqref="BW15:BW16 BY15:BY16 CA15:CA16">
    <cfRule type="cellIs" dxfId="8291" priority="937" operator="equal">
      <formula>"ח"</formula>
    </cfRule>
  </conditionalFormatting>
  <conditionalFormatting sqref="BW19:BW20 BY19:BY20 CA19:CA20">
    <cfRule type="cellIs" dxfId="8290" priority="1002" operator="equal">
      <formula>"ח"</formula>
    </cfRule>
  </conditionalFormatting>
  <conditionalFormatting sqref="BW23:BW24 BY23:BY24 CA23:CA24">
    <cfRule type="cellIs" dxfId="8289" priority="1067" operator="equal">
      <formula>"ח"</formula>
    </cfRule>
  </conditionalFormatting>
  <conditionalFormatting sqref="BW27:BW28 BY27:BY28 CA27:CA28">
    <cfRule type="cellIs" dxfId="8288" priority="1132" operator="equal">
      <formula>"ח"</formula>
    </cfRule>
  </conditionalFormatting>
  <conditionalFormatting sqref="BW31:BW32 BY31:BY32 CA31:CA32">
    <cfRule type="cellIs" dxfId="8287" priority="1197" operator="equal">
      <formula>"ח"</formula>
    </cfRule>
  </conditionalFormatting>
  <conditionalFormatting sqref="BX5">
    <cfRule type="cellIs" dxfId="8286" priority="3568" operator="equal">
      <formula>"ח"</formula>
    </cfRule>
  </conditionalFormatting>
  <conditionalFormatting sqref="BX6 BX10 BX14 BX18 BX22 BX26 BX30">
    <cfRule type="cellIs" dxfId="8285" priority="3768" operator="equal">
      <formula>"ח"</formula>
    </cfRule>
  </conditionalFormatting>
  <conditionalFormatting sqref="BX7:BX9">
    <cfRule type="cellIs" dxfId="8284" priority="765" operator="equal">
      <formula>"ח"</formula>
    </cfRule>
  </conditionalFormatting>
  <conditionalFormatting sqref="BX11:BX13">
    <cfRule type="cellIs" dxfId="8283" priority="830" operator="equal">
      <formula>"ח"</formula>
    </cfRule>
  </conditionalFormatting>
  <conditionalFormatting sqref="BX15:BX17">
    <cfRule type="cellIs" dxfId="8282" priority="895" operator="equal">
      <formula>"ח"</formula>
    </cfRule>
  </conditionalFormatting>
  <conditionalFormatting sqref="BX19:BX21">
    <cfRule type="cellIs" dxfId="8281" priority="960" operator="equal">
      <formula>"ח"</formula>
    </cfRule>
  </conditionalFormatting>
  <conditionalFormatting sqref="BX23:BX25">
    <cfRule type="cellIs" dxfId="8280" priority="1025" operator="equal">
      <formula>"ח"</formula>
    </cfRule>
  </conditionalFormatting>
  <conditionalFormatting sqref="BX27:BX29">
    <cfRule type="cellIs" dxfId="8279" priority="1090" operator="equal">
      <formula>"ח"</formula>
    </cfRule>
  </conditionalFormatting>
  <conditionalFormatting sqref="BX31:BX32">
    <cfRule type="cellIs" dxfId="8278" priority="1155" operator="equal">
      <formula>"ח"</formula>
    </cfRule>
  </conditionalFormatting>
  <conditionalFormatting sqref="BY4:BY17">
    <cfRule type="cellIs" dxfId="8277" priority="785" operator="equal">
      <formula>"כ"</formula>
    </cfRule>
    <cfRule type="cellIs" dxfId="8276" priority="778" operator="equal">
      <formula>"כמש"</formula>
    </cfRule>
    <cfRule type="cellIs" dxfId="8275" priority="783" operator="equal">
      <formula>"מיל"</formula>
    </cfRule>
    <cfRule type="cellIs" dxfId="8274" priority="776" operator="equal">
      <formula>"ל"</formula>
    </cfRule>
    <cfRule type="cellIs" dxfId="8273" priority="779" operator="equal">
      <formula>"כמ"</formula>
    </cfRule>
    <cfRule type="cellIs" dxfId="8272" priority="780" operator="equal">
      <formula>"ק"</formula>
    </cfRule>
    <cfRule type="cellIs" dxfId="8271" priority="782" operator="equal">
      <formula>"מנוחה"</formula>
    </cfRule>
    <cfRule type="cellIs" dxfId="8270" priority="781" operator="equal">
      <formula>"מ"</formula>
    </cfRule>
    <cfRule type="cellIs" dxfId="8269" priority="777" operator="equal">
      <formula>"י"</formula>
    </cfRule>
    <cfRule type="cellIs" dxfId="8268" priority="784" operator="equal">
      <formula>"כש"</formula>
    </cfRule>
  </conditionalFormatting>
  <conditionalFormatting sqref="BY5:BY6 CA5:CA6 BY9:BY10 CA9:CA10 BY13:BY14 CA13:CA14 BY17:BY18 CA17:CA18 BY21:BY22 CA21:CA22 BY25:BY26 CA25:CA26 BU27:BU29 BW29 BY29:BY30 CA29:CA30">
    <cfRule type="cellIs" dxfId="8267" priority="2886" operator="equal">
      <formula>"ח"</formula>
    </cfRule>
  </conditionalFormatting>
  <conditionalFormatting sqref="BZ5">
    <cfRule type="cellIs" dxfId="8266" priority="3557" operator="equal">
      <formula>"ח"</formula>
    </cfRule>
  </conditionalFormatting>
  <conditionalFormatting sqref="BZ5:BZ17">
    <cfRule type="cellIs" dxfId="8265" priority="760" operator="equal">
      <formula>"מ"</formula>
    </cfRule>
    <cfRule type="cellIs" dxfId="8264" priority="759" operator="equal">
      <formula>"ק"</formula>
    </cfRule>
    <cfRule type="cellIs" dxfId="8263" priority="758" operator="equal">
      <formula>"כמ"</formula>
    </cfRule>
    <cfRule type="cellIs" dxfId="8262" priority="757" operator="equal">
      <formula>"כמש"</formula>
    </cfRule>
    <cfRule type="cellIs" dxfId="8261" priority="755" operator="equal">
      <formula>"ל"</formula>
    </cfRule>
    <cfRule type="cellIs" dxfId="8260" priority="756" operator="equal">
      <formula>"י"</formula>
    </cfRule>
    <cfRule type="cellIs" dxfId="8259" priority="761" operator="equal">
      <formula>"מנוחה"</formula>
    </cfRule>
    <cfRule type="cellIs" dxfId="8258" priority="764" operator="equal">
      <formula>"כ"</formula>
    </cfRule>
    <cfRule type="cellIs" dxfId="8257" priority="763" operator="equal">
      <formula>"כש"</formula>
    </cfRule>
    <cfRule type="cellIs" dxfId="8256" priority="762" operator="equal">
      <formula>"מיל"</formula>
    </cfRule>
  </conditionalFormatting>
  <conditionalFormatting sqref="BZ6 BZ10 BZ14 BZ18 BZ22 BZ26 BZ30">
    <cfRule type="cellIs" dxfId="8255" priority="3757" operator="equal">
      <formula>"ח"</formula>
    </cfRule>
  </conditionalFormatting>
  <conditionalFormatting sqref="BZ7:BZ9">
    <cfRule type="cellIs" dxfId="8254" priority="754" operator="equal">
      <formula>"ח"</formula>
    </cfRule>
  </conditionalFormatting>
  <conditionalFormatting sqref="BZ11:BZ13">
    <cfRule type="cellIs" dxfId="8253" priority="819" operator="equal">
      <formula>"ח"</formula>
    </cfRule>
  </conditionalFormatting>
  <conditionalFormatting sqref="BZ15:BZ17">
    <cfRule type="cellIs" dxfId="8252" priority="884" operator="equal">
      <formula>"ח"</formula>
    </cfRule>
  </conditionalFormatting>
  <conditionalFormatting sqref="BZ19:BZ21">
    <cfRule type="cellIs" dxfId="8251" priority="949" operator="equal">
      <formula>"ח"</formula>
    </cfRule>
  </conditionalFormatting>
  <conditionalFormatting sqref="BZ23:BZ25">
    <cfRule type="cellIs" dxfId="8250" priority="1014" operator="equal">
      <formula>"ח"</formula>
    </cfRule>
  </conditionalFormatting>
  <conditionalFormatting sqref="BZ27:BZ29">
    <cfRule type="cellIs" dxfId="8249" priority="1079" operator="equal">
      <formula>"ח"</formula>
    </cfRule>
  </conditionalFormatting>
  <conditionalFormatting sqref="BZ31:BZ32">
    <cfRule type="cellIs" dxfId="8248" priority="1144" operator="equal">
      <formula>"ח"</formula>
    </cfRule>
  </conditionalFormatting>
  <conditionalFormatting sqref="CA4:CA17">
    <cfRule type="cellIs" dxfId="8247" priority="804" operator="equal">
      <formula>"כש"</formula>
    </cfRule>
    <cfRule type="cellIs" dxfId="8246" priority="802" operator="equal">
      <formula>"מנוחה"</formula>
    </cfRule>
    <cfRule type="cellIs" dxfId="8245" priority="803" operator="equal">
      <formula>"מיל"</formula>
    </cfRule>
    <cfRule type="cellIs" dxfId="8244" priority="805" operator="equal">
      <formula>"כ"</formula>
    </cfRule>
    <cfRule type="cellIs" dxfId="8243" priority="800" operator="equal">
      <formula>"ק"</formula>
    </cfRule>
    <cfRule type="cellIs" dxfId="8242" priority="796" operator="equal">
      <formula>"ל"</formula>
    </cfRule>
    <cfRule type="cellIs" dxfId="8241" priority="799" operator="equal">
      <formula>"כמ"</formula>
    </cfRule>
    <cfRule type="cellIs" dxfId="8240" priority="798" operator="equal">
      <formula>"כמש"</formula>
    </cfRule>
    <cfRule type="cellIs" dxfId="8239" priority="797" operator="equal">
      <formula>"י"</formula>
    </cfRule>
    <cfRule type="cellIs" dxfId="8238" priority="801" operator="equal">
      <formula>"מ"</formula>
    </cfRule>
  </conditionalFormatting>
  <conditionalFormatting sqref="CB5">
    <cfRule type="cellIs" dxfId="8237" priority="3546" operator="equal">
      <formula>"ח"</formula>
    </cfRule>
  </conditionalFormatting>
  <conditionalFormatting sqref="CB5:CB17">
    <cfRule type="cellIs" dxfId="8236" priority="748" operator="equal">
      <formula>"ק"</formula>
    </cfRule>
    <cfRule type="cellIs" dxfId="8235" priority="747" operator="equal">
      <formula>"כמ"</formula>
    </cfRule>
    <cfRule type="cellIs" dxfId="8234" priority="746" operator="equal">
      <formula>"כמש"</formula>
    </cfRule>
    <cfRule type="cellIs" dxfId="8233" priority="745" operator="equal">
      <formula>"י"</formula>
    </cfRule>
    <cfRule type="cellIs" dxfId="8232" priority="744" operator="equal">
      <formula>"ל"</formula>
    </cfRule>
    <cfRule type="cellIs" dxfId="8231" priority="753" operator="equal">
      <formula>"כ"</formula>
    </cfRule>
    <cfRule type="cellIs" dxfId="8230" priority="752" operator="equal">
      <formula>"כש"</formula>
    </cfRule>
    <cfRule type="cellIs" dxfId="8229" priority="751" operator="equal">
      <formula>"מיל"</formula>
    </cfRule>
    <cfRule type="cellIs" dxfId="8228" priority="750" operator="equal">
      <formula>"מנוחה"</formula>
    </cfRule>
    <cfRule type="cellIs" dxfId="8227" priority="749" operator="equal">
      <formula>"מ"</formula>
    </cfRule>
  </conditionalFormatting>
  <conditionalFormatting sqref="CB6 CB10 CB14 CB18 CB22 CB26 CB30">
    <cfRule type="cellIs" dxfId="8226" priority="3746" operator="equal">
      <formula>"ח"</formula>
    </cfRule>
  </conditionalFormatting>
  <conditionalFormatting sqref="CB7:CB9">
    <cfRule type="cellIs" dxfId="8225" priority="743" operator="equal">
      <formula>"ח"</formula>
    </cfRule>
  </conditionalFormatting>
  <conditionalFormatting sqref="CB11:CB13">
    <cfRule type="cellIs" dxfId="8224" priority="808" operator="equal">
      <formula>"ח"</formula>
    </cfRule>
  </conditionalFormatting>
  <conditionalFormatting sqref="CB15:CB17">
    <cfRule type="cellIs" dxfId="8223" priority="873" operator="equal">
      <formula>"ח"</formula>
    </cfRule>
  </conditionalFormatting>
  <conditionalFormatting sqref="CB19:CB21">
    <cfRule type="cellIs" dxfId="8222" priority="938" operator="equal">
      <formula>"ח"</formula>
    </cfRule>
  </conditionalFormatting>
  <conditionalFormatting sqref="CB23:CB25">
    <cfRule type="cellIs" dxfId="8221" priority="1003" operator="equal">
      <formula>"ח"</formula>
    </cfRule>
  </conditionalFormatting>
  <conditionalFormatting sqref="CB27:CB29">
    <cfRule type="cellIs" dxfId="8220" priority="1068" operator="equal">
      <formula>"ח"</formula>
    </cfRule>
  </conditionalFormatting>
  <conditionalFormatting sqref="CB31:CB32">
    <cfRule type="cellIs" dxfId="8219" priority="1133" operator="equal">
      <formula>"ח"</formula>
    </cfRule>
  </conditionalFormatting>
  <conditionalFormatting sqref="CE5 CC5:CD32">
    <cfRule type="cellIs" dxfId="8218" priority="2114" operator="equal">
      <formula>"מנוחה"</formula>
    </cfRule>
    <cfRule type="cellIs" dxfId="8217" priority="2113" operator="equal">
      <formula>"מ"</formula>
    </cfRule>
    <cfRule type="cellIs" dxfId="8216" priority="2112" operator="equal">
      <formula>"ק"</formula>
    </cfRule>
    <cfRule type="cellIs" dxfId="8215" priority="2111" operator="equal">
      <formula>"כמ"</formula>
    </cfRule>
    <cfRule type="cellIs" dxfId="8214" priority="2110" operator="equal">
      <formula>"כמש"</formula>
    </cfRule>
    <cfRule type="cellIs" dxfId="8213" priority="2109" operator="equal">
      <formula>"י"</formula>
    </cfRule>
    <cfRule type="cellIs" dxfId="8212" priority="2108" operator="equal">
      <formula>"ל"</formula>
    </cfRule>
    <cfRule type="cellIs" dxfId="8211" priority="2118" operator="equal">
      <formula>"כ"</formula>
    </cfRule>
    <cfRule type="cellIs" dxfId="8210" priority="2117" operator="equal">
      <formula>"כש"</formula>
    </cfRule>
    <cfRule type="cellIs" dxfId="8209" priority="2116" operator="equal">
      <formula>"ח"</formula>
    </cfRule>
    <cfRule type="cellIs" dxfId="8208" priority="2115" operator="equal">
      <formula>"מיל"</formula>
    </cfRule>
  </conditionalFormatting>
  <conditionalFormatting sqref="CF5:CG32">
    <cfRule type="cellIs" dxfId="8207" priority="3971" operator="lessThan">
      <formula>4</formula>
    </cfRule>
  </conditionalFormatting>
  <hyperlinks>
    <hyperlink ref="X4:Y4" r:id="rId11" tooltip="עדכון במייל" display="עדכון במייל" xr:uid="{00000000-0004-0000-01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100-000000000000}">
          <x14:formula1>
            <xm:f>מיילים!$M$2:$M$40</xm:f>
          </x14:formula1>
          <xm:sqref>X3:Z3 AB3 AF3:AO3</xm:sqref>
        </x14:dataValidation>
        <x14:dataValidation type="list" allowBlank="1" showInputMessage="1" xr:uid="{00000000-0002-0000-0100-000001000000}">
          <x14:formula1>
            <xm:f>מקרא!$B$5:$B$60</xm:f>
          </x14:formula1>
          <xm:sqref>AH12:AK13 AH8:AO11 AI18:AO18 AJ5:AO5 BU5:CB32 BQ5 BO5 AD31 AW5:BM32 AH6:AO6 AH21:AO23 AL12 AH5 AM12:AO13 AH7 BN6:BT32 Y5:Y17 AJ7:AM7 AD25 AH19:AH20 Z5:AC32 AF5:AG32 D5:X13 AD5:AE24 AI25:AO25 AJ24:AO24 AH26:AO32 AD26:AE30 AD32:AE32 BS5:BT5 AH15:AO17 D17:X17 D14:P16 R14:X16 D18:Y32 AJ19:AO19 AJ20:AL20 AN20:AO20 AH14 AJ14:AO14</xm:sqref>
        </x14:dataValidation>
        <x14:dataValidation type="list" allowBlank="1" showInputMessage="1" showErrorMessage="1" xr:uid="{00000000-0002-0000-0100-000002000000}">
          <x14:formula1>
            <xm:f>מקרא!$B$5:$B$60</xm:f>
          </x14:formula1>
          <xm:sqref>BP5 BR5 BN5</xm:sqref>
        </x14:dataValidation>
        <x14:dataValidation type="list" allowBlank="1" showInputMessage="1" showErrorMessage="1" xr:uid="{00000000-0002-0000-0100-000003000000}">
          <x14:formula1>
            <xm:f>מיילים!$M$2:$M$36</xm:f>
          </x14:formula1>
          <xm:sqref>T3</xm:sqref>
        </x14:dataValidation>
        <x14:dataValidation type="list" allowBlank="1" showInputMessage="1" showErrorMessage="1" xr:uid="{00000000-0002-0000-0100-000004000000}">
          <x14:formula1>
            <xm:f>מיילים!$M$3:$M$37</xm:f>
          </x14:formula1>
          <xm:sqref>V3:W3 R3</xm:sqref>
        </x14:dataValidation>
        <x14:dataValidation type="list" allowBlank="1" showInputMessage="1" showErrorMessage="1" xr:uid="{00000000-0002-0000-0100-000005000000}">
          <x14:formula1>
            <xm:f>מיילים!$M$2:$M$31</xm:f>
          </x14:formula1>
          <xm:sqref>AD3:AE3 AW3:AZ3 BS3:CA3 BE3:BO3 D3:P3</xm:sqref>
        </x14:dataValidation>
        <x14:dataValidation type="list" allowBlank="1" showInputMessage="1" showErrorMessage="1" xr:uid="{00000000-0002-0000-0100-000006000000}">
          <x14:formula1>
            <xm:f>מיילים!$M$2:$M$38</xm:f>
          </x14:formula1>
          <xm:sqref>BQ3:BR3 BC3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K39"/>
  <sheetViews>
    <sheetView rightToLeft="1" zoomScale="90" zoomScaleNormal="90" workbookViewId="0">
      <pane ySplit="4" topLeftCell="A5" activePane="bottomLeft" state="frozen"/>
      <selection pane="bottomLeft" activeCell="D29" sqref="D29"/>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29" width="4.625" style="1" customWidth="1"/>
    <col min="30" max="30" width="8.625" style="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282</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0">
        <v>3</v>
      </c>
      <c r="AU1" s="341"/>
      <c r="AV1" s="342"/>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366">
        <v>3</v>
      </c>
      <c r="CD1" s="367"/>
      <c r="CE1" s="368"/>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69"/>
      <c r="CD2" s="370"/>
      <c r="CE2" s="371"/>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390"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4"/>
      <c r="BO3" s="533" t="s">
        <v>21</v>
      </c>
      <c r="BP3" s="534"/>
      <c r="BQ3" s="533" t="s">
        <v>23</v>
      </c>
      <c r="BR3" s="534"/>
      <c r="BS3" s="535" t="s">
        <v>28</v>
      </c>
      <c r="BT3" s="536"/>
      <c r="BU3" s="393"/>
      <c r="BV3" s="537"/>
      <c r="BW3" s="394" t="s">
        <v>30</v>
      </c>
      <c r="BX3" s="537"/>
      <c r="BY3" s="396" t="s">
        <v>31</v>
      </c>
      <c r="BZ3" s="537"/>
      <c r="CA3" s="396" t="s">
        <v>227</v>
      </c>
      <c r="CB3" s="397"/>
      <c r="CC3" s="369"/>
      <c r="CD3" s="370"/>
      <c r="CE3" s="371"/>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240"/>
      <c r="AA4" s="241"/>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428"/>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6"/>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556"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72"/>
      <c r="CD4" s="373"/>
      <c r="CE4" s="374"/>
      <c r="CF4" s="24" t="s">
        <v>38</v>
      </c>
      <c r="CG4" s="23" t="s">
        <v>39</v>
      </c>
      <c r="CH4" s="95" t="s">
        <v>36</v>
      </c>
      <c r="CI4" s="95" t="s">
        <v>37</v>
      </c>
      <c r="CJ4" s="412"/>
      <c r="CK4" s="413"/>
    </row>
    <row r="5" spans="1:89" ht="15" customHeight="1">
      <c r="A5" s="31">
        <v>1</v>
      </c>
      <c r="B5" s="144" t="s">
        <v>132</v>
      </c>
      <c r="C5" s="506">
        <v>10</v>
      </c>
      <c r="D5" s="266" t="s">
        <v>57</v>
      </c>
      <c r="E5" s="80"/>
      <c r="F5" s="15" t="s">
        <v>41</v>
      </c>
      <c r="G5" s="80"/>
      <c r="H5" s="15" t="s">
        <v>41</v>
      </c>
      <c r="I5" s="80"/>
      <c r="J5" s="266" t="s">
        <v>57</v>
      </c>
      <c r="K5" s="80"/>
      <c r="L5" s="15" t="s">
        <v>41</v>
      </c>
      <c r="M5" s="80"/>
      <c r="N5" s="15" t="s">
        <v>41</v>
      </c>
      <c r="O5" s="251"/>
      <c r="P5" s="15" t="s">
        <v>41</v>
      </c>
      <c r="Q5" s="80" t="s">
        <v>51</v>
      </c>
      <c r="R5" s="15" t="s">
        <v>41</v>
      </c>
      <c r="S5" s="80"/>
      <c r="T5" s="15" t="s">
        <v>41</v>
      </c>
      <c r="U5" s="80"/>
      <c r="V5" s="235" t="s">
        <v>57</v>
      </c>
      <c r="W5" s="80"/>
      <c r="X5" s="15" t="s">
        <v>41</v>
      </c>
      <c r="Y5" s="65"/>
      <c r="Z5" s="84" t="s">
        <v>41</v>
      </c>
      <c r="AA5" s="80"/>
      <c r="AB5" s="84"/>
      <c r="AC5" s="80"/>
      <c r="AD5" s="97"/>
      <c r="AE5" s="80" t="s">
        <v>136</v>
      </c>
      <c r="AF5" s="84"/>
      <c r="AG5" s="65"/>
      <c r="AH5" s="84"/>
      <c r="AI5" s="80"/>
      <c r="AJ5" s="84"/>
      <c r="AK5" s="80"/>
      <c r="AL5" s="84" t="s">
        <v>42</v>
      </c>
      <c r="AM5" s="80"/>
      <c r="AN5" s="33" t="s">
        <v>57</v>
      </c>
      <c r="AO5" s="80"/>
      <c r="AP5" s="509"/>
      <c r="AQ5" s="510"/>
      <c r="AR5" s="33"/>
      <c r="AS5" s="34"/>
      <c r="AT5" s="31">
        <v>1</v>
      </c>
      <c r="AU5" s="144" t="s">
        <v>132</v>
      </c>
      <c r="AV5" s="506">
        <v>10</v>
      </c>
      <c r="AW5" s="84"/>
      <c r="AX5" s="67" t="s">
        <v>34</v>
      </c>
      <c r="AY5" s="69"/>
      <c r="AZ5" s="67" t="s">
        <v>34</v>
      </c>
      <c r="BA5" s="69"/>
      <c r="BB5" s="69" t="s">
        <v>41</v>
      </c>
      <c r="BC5" s="87"/>
      <c r="BD5" s="69" t="s">
        <v>41</v>
      </c>
      <c r="BE5" s="84"/>
      <c r="BF5" s="71" t="s">
        <v>33</v>
      </c>
      <c r="BG5" s="72"/>
      <c r="BH5" s="71" t="s">
        <v>33</v>
      </c>
      <c r="BI5" s="72"/>
      <c r="BJ5" s="73" t="s">
        <v>57</v>
      </c>
      <c r="BK5" s="58"/>
      <c r="BL5" s="71" t="s">
        <v>41</v>
      </c>
      <c r="BM5" s="37"/>
      <c r="BN5" s="299" t="s">
        <v>57</v>
      </c>
      <c r="BO5" s="72"/>
      <c r="BP5" s="74"/>
      <c r="BQ5" s="72"/>
      <c r="BR5" s="72"/>
      <c r="BS5" s="78"/>
      <c r="BT5" s="274"/>
      <c r="BU5" s="87"/>
      <c r="BV5" s="67"/>
      <c r="BW5" s="69"/>
      <c r="BX5" s="67"/>
      <c r="BY5" s="69"/>
      <c r="BZ5" s="69"/>
      <c r="CA5" s="97"/>
      <c r="CB5" s="67"/>
      <c r="CC5" s="31">
        <v>1</v>
      </c>
      <c r="CD5" s="144" t="s">
        <v>132</v>
      </c>
      <c r="CE5" s="506">
        <v>9</v>
      </c>
      <c r="CF5" s="311">
        <f t="shared" ref="CF5:CF35" si="0">COUNTIF(AX5:CB5,"י")+COUNTIF(AX5:CB5,"Y")+COUNTIF(AX5:CB5,"2")</f>
        <v>2</v>
      </c>
      <c r="CG5" s="76">
        <f t="shared" ref="CG5:CG35" si="1">COUNTIF(AW5:CB5,"ל")+COUNTIF(AW5:CB5,"L")+COUNTIF(AW5:CB5,"ל2")</f>
        <v>2</v>
      </c>
      <c r="CH5" s="93"/>
      <c r="CI5" s="94"/>
      <c r="CJ5" s="449"/>
      <c r="CK5" s="450"/>
    </row>
    <row r="6" spans="1:89" ht="15" customHeight="1">
      <c r="A6" s="31">
        <v>2</v>
      </c>
      <c r="B6" s="144" t="s">
        <v>133</v>
      </c>
      <c r="C6" s="507"/>
      <c r="D6" s="266" t="s">
        <v>57</v>
      </c>
      <c r="E6" s="65"/>
      <c r="F6" s="15" t="s">
        <v>41</v>
      </c>
      <c r="G6" s="65"/>
      <c r="H6" s="15" t="s">
        <v>41</v>
      </c>
      <c r="I6" s="65"/>
      <c r="J6" s="266" t="s">
        <v>57</v>
      </c>
      <c r="K6" s="65"/>
      <c r="L6" s="15" t="s">
        <v>41</v>
      </c>
      <c r="M6" s="65"/>
      <c r="N6" s="15" t="s">
        <v>41</v>
      </c>
      <c r="O6" s="65"/>
      <c r="P6" s="15" t="s">
        <v>41</v>
      </c>
      <c r="Q6" s="65"/>
      <c r="R6" s="15" t="s">
        <v>41</v>
      </c>
      <c r="S6" s="65"/>
      <c r="T6" s="15" t="s">
        <v>41</v>
      </c>
      <c r="U6" s="65"/>
      <c r="V6" s="235" t="s">
        <v>57</v>
      </c>
      <c r="W6" s="65"/>
      <c r="X6" s="15" t="s">
        <v>41</v>
      </c>
      <c r="Y6" s="65"/>
      <c r="Z6" s="84" t="s">
        <v>41</v>
      </c>
      <c r="AA6" s="65"/>
      <c r="AB6" s="14"/>
      <c r="AC6" s="65" t="s">
        <v>51</v>
      </c>
      <c r="AD6" s="15"/>
      <c r="AE6" s="65"/>
      <c r="AF6" s="14"/>
      <c r="AG6" s="65"/>
      <c r="AH6" s="84" t="s">
        <v>41</v>
      </c>
      <c r="AI6" s="65"/>
      <c r="AJ6" s="14"/>
      <c r="AK6" s="80"/>
      <c r="AL6" s="14"/>
      <c r="AM6" s="65" t="s">
        <v>136</v>
      </c>
      <c r="AN6" s="33" t="s">
        <v>57</v>
      </c>
      <c r="AO6" s="65"/>
      <c r="AP6" s="509" t="s">
        <v>250</v>
      </c>
      <c r="AQ6" s="510"/>
      <c r="AR6" s="33"/>
      <c r="AS6" s="34"/>
      <c r="AT6" s="31">
        <v>2</v>
      </c>
      <c r="AU6" s="144" t="s">
        <v>133</v>
      </c>
      <c r="AV6" s="507"/>
      <c r="AW6" s="14"/>
      <c r="AX6" s="70"/>
      <c r="AY6" s="72"/>
      <c r="AZ6" s="70"/>
      <c r="BA6" s="72"/>
      <c r="BB6" s="69" t="s">
        <v>41</v>
      </c>
      <c r="BC6" s="58"/>
      <c r="BD6" s="69" t="s">
        <v>41</v>
      </c>
      <c r="BE6" s="14"/>
      <c r="BF6" s="67" t="s">
        <v>34</v>
      </c>
      <c r="BG6" s="69"/>
      <c r="BH6" s="67" t="s">
        <v>34</v>
      </c>
      <c r="BI6" s="69"/>
      <c r="BJ6" s="69" t="s">
        <v>57</v>
      </c>
      <c r="BK6" s="87"/>
      <c r="BL6" s="67" t="s">
        <v>41</v>
      </c>
      <c r="BM6" s="37"/>
      <c r="BN6" s="299" t="s">
        <v>57</v>
      </c>
      <c r="BO6" s="72"/>
      <c r="BP6" s="71" t="s">
        <v>41</v>
      </c>
      <c r="BQ6" s="72"/>
      <c r="BR6" s="73" t="s">
        <v>41</v>
      </c>
      <c r="BS6" s="58"/>
      <c r="BT6" s="17" t="s">
        <v>33</v>
      </c>
      <c r="BU6" s="87"/>
      <c r="BV6" s="67"/>
      <c r="BW6" s="69"/>
      <c r="BX6" s="67"/>
      <c r="BY6" s="69"/>
      <c r="BZ6" s="69"/>
      <c r="CA6" s="97"/>
      <c r="CB6" s="67"/>
      <c r="CC6" s="31">
        <v>2</v>
      </c>
      <c r="CD6" s="144" t="s">
        <v>133</v>
      </c>
      <c r="CE6" s="507"/>
      <c r="CF6" s="311">
        <f t="shared" si="0"/>
        <v>1</v>
      </c>
      <c r="CG6" s="76">
        <f t="shared" si="1"/>
        <v>2</v>
      </c>
      <c r="CH6" s="27"/>
      <c r="CI6" s="28"/>
      <c r="CJ6" s="449"/>
      <c r="CK6" s="450"/>
    </row>
    <row r="7" spans="1:89" ht="15" customHeight="1">
      <c r="A7" s="31">
        <v>3</v>
      </c>
      <c r="B7" s="144" t="s">
        <v>127</v>
      </c>
      <c r="C7" s="507"/>
      <c r="D7" s="266" t="s">
        <v>57</v>
      </c>
      <c r="E7" s="214"/>
      <c r="F7" s="215"/>
      <c r="G7" s="214" t="s">
        <v>136</v>
      </c>
      <c r="H7" s="215"/>
      <c r="I7" s="214"/>
      <c r="J7" s="266" t="s">
        <v>57</v>
      </c>
      <c r="K7" s="214"/>
      <c r="L7" s="215"/>
      <c r="M7" s="214"/>
      <c r="N7" s="215"/>
      <c r="O7" s="214"/>
      <c r="P7" s="213"/>
      <c r="Q7" s="214"/>
      <c r="R7" s="215"/>
      <c r="S7" s="214"/>
      <c r="T7" s="215"/>
      <c r="U7" s="214" t="s">
        <v>51</v>
      </c>
      <c r="V7" s="235" t="s">
        <v>57</v>
      </c>
      <c r="W7" s="214"/>
      <c r="X7" s="215"/>
      <c r="Y7" s="214"/>
      <c r="Z7" s="84" t="s">
        <v>41</v>
      </c>
      <c r="AA7" s="214"/>
      <c r="AB7" s="215"/>
      <c r="AC7" s="214" t="s">
        <v>41</v>
      </c>
      <c r="AD7" s="213"/>
      <c r="AE7" s="214"/>
      <c r="AF7" s="215"/>
      <c r="AG7" s="214"/>
      <c r="AH7" s="215"/>
      <c r="AI7" s="214"/>
      <c r="AJ7" s="215"/>
      <c r="AK7" s="214"/>
      <c r="AL7" s="215"/>
      <c r="AM7" s="214"/>
      <c r="AN7" s="217" t="s">
        <v>57</v>
      </c>
      <c r="AO7" s="214"/>
      <c r="AP7" s="541" t="s">
        <v>315</v>
      </c>
      <c r="AQ7" s="542"/>
      <c r="AR7" s="33"/>
      <c r="AS7" s="34"/>
      <c r="AT7" s="31">
        <v>3</v>
      </c>
      <c r="AU7" s="144" t="s">
        <v>127</v>
      </c>
      <c r="AV7" s="507"/>
      <c r="AW7" s="14"/>
      <c r="AX7" s="70"/>
      <c r="AY7" s="72"/>
      <c r="AZ7" s="70"/>
      <c r="BA7" s="72"/>
      <c r="BB7" s="69" t="s">
        <v>41</v>
      </c>
      <c r="BC7" s="58"/>
      <c r="BD7" s="69" t="s">
        <v>41</v>
      </c>
      <c r="BE7" s="14"/>
      <c r="BF7" s="70"/>
      <c r="BG7" s="72"/>
      <c r="BH7" s="70"/>
      <c r="BI7" s="72"/>
      <c r="BJ7" s="69" t="s">
        <v>57</v>
      </c>
      <c r="BK7" s="58"/>
      <c r="BL7" s="70"/>
      <c r="BM7" s="37"/>
      <c r="BN7" s="299" t="s">
        <v>57</v>
      </c>
      <c r="BO7" s="69"/>
      <c r="BP7" s="67" t="s">
        <v>41</v>
      </c>
      <c r="BQ7" s="69"/>
      <c r="BR7" s="69" t="s">
        <v>41</v>
      </c>
      <c r="BS7" s="87"/>
      <c r="BT7" s="80" t="s">
        <v>34</v>
      </c>
      <c r="BU7" s="87"/>
      <c r="BV7" s="67"/>
      <c r="BW7" s="72"/>
      <c r="BX7" s="71" t="s">
        <v>33</v>
      </c>
      <c r="BY7" s="72"/>
      <c r="BZ7" s="73" t="s">
        <v>33</v>
      </c>
      <c r="CA7" s="58"/>
      <c r="CB7" s="71" t="s">
        <v>33</v>
      </c>
      <c r="CC7" s="31">
        <v>3</v>
      </c>
      <c r="CD7" s="144" t="s">
        <v>127</v>
      </c>
      <c r="CE7" s="507"/>
      <c r="CF7" s="311">
        <f t="shared" si="0"/>
        <v>3</v>
      </c>
      <c r="CG7" s="76">
        <f t="shared" si="1"/>
        <v>1</v>
      </c>
      <c r="CH7" s="27"/>
      <c r="CI7" s="28"/>
      <c r="CJ7" s="449"/>
      <c r="CK7" s="450"/>
    </row>
    <row r="8" spans="1:89" ht="15" customHeight="1">
      <c r="A8" s="31">
        <v>4</v>
      </c>
      <c r="B8" s="144" t="s">
        <v>128</v>
      </c>
      <c r="C8" s="507"/>
      <c r="D8" s="266" t="s">
        <v>57</v>
      </c>
      <c r="E8" s="65"/>
      <c r="F8" s="15" t="s">
        <v>41</v>
      </c>
      <c r="G8" s="65"/>
      <c r="H8" s="15" t="s">
        <v>41</v>
      </c>
      <c r="I8" s="65"/>
      <c r="J8" s="266" t="s">
        <v>57</v>
      </c>
      <c r="K8" s="65"/>
      <c r="L8" s="15" t="s">
        <v>41</v>
      </c>
      <c r="M8" s="65" t="s">
        <v>51</v>
      </c>
      <c r="N8" s="15" t="s">
        <v>41</v>
      </c>
      <c r="O8" s="65"/>
      <c r="P8" s="15" t="s">
        <v>41</v>
      </c>
      <c r="Q8" s="65" t="s">
        <v>136</v>
      </c>
      <c r="R8" s="15" t="s">
        <v>41</v>
      </c>
      <c r="S8" s="65"/>
      <c r="T8" s="15" t="s">
        <v>41</v>
      </c>
      <c r="U8" s="65"/>
      <c r="V8" s="235" t="s">
        <v>57</v>
      </c>
      <c r="W8" s="65"/>
      <c r="X8" s="15" t="s">
        <v>41</v>
      </c>
      <c r="Y8" s="65"/>
      <c r="Z8" s="84" t="s">
        <v>41</v>
      </c>
      <c r="AA8" s="65"/>
      <c r="AB8" s="14"/>
      <c r="AC8" s="65"/>
      <c r="AD8" s="15"/>
      <c r="AE8" s="65"/>
      <c r="AF8" s="14"/>
      <c r="AG8" s="65"/>
      <c r="AH8" s="14"/>
      <c r="AI8" s="65"/>
      <c r="AJ8" s="14"/>
      <c r="AK8" s="65"/>
      <c r="AL8" s="14"/>
      <c r="AM8" s="65"/>
      <c r="AN8" s="33" t="s">
        <v>57</v>
      </c>
      <c r="AO8" s="65"/>
      <c r="AP8" s="509" t="s">
        <v>251</v>
      </c>
      <c r="AQ8" s="510"/>
      <c r="AR8" s="33"/>
      <c r="AS8" s="34"/>
      <c r="AT8" s="31">
        <v>4</v>
      </c>
      <c r="AU8" s="144" t="s">
        <v>128</v>
      </c>
      <c r="AV8" s="507"/>
      <c r="AW8" s="14"/>
      <c r="AX8" s="71" t="s">
        <v>33</v>
      </c>
      <c r="AY8" s="72"/>
      <c r="AZ8" s="71" t="s">
        <v>33</v>
      </c>
      <c r="BA8" s="72"/>
      <c r="BB8" s="69" t="s">
        <v>41</v>
      </c>
      <c r="BC8" s="58"/>
      <c r="BD8" s="69" t="s">
        <v>41</v>
      </c>
      <c r="BE8" s="14"/>
      <c r="BF8" s="70" t="s">
        <v>41</v>
      </c>
      <c r="BG8" s="72"/>
      <c r="BH8" s="70"/>
      <c r="BI8" s="72"/>
      <c r="BJ8" s="69" t="s">
        <v>57</v>
      </c>
      <c r="BK8" s="58"/>
      <c r="BL8" s="70"/>
      <c r="BM8" s="37"/>
      <c r="BN8" s="299" t="s">
        <v>57</v>
      </c>
      <c r="BO8" s="72"/>
      <c r="BP8" s="70"/>
      <c r="BQ8" s="72"/>
      <c r="BR8" s="72"/>
      <c r="BS8" s="15"/>
      <c r="BT8" s="65"/>
      <c r="BU8" s="87"/>
      <c r="BV8" s="67"/>
      <c r="BW8" s="69"/>
      <c r="BX8" s="67" t="s">
        <v>34</v>
      </c>
      <c r="BY8" s="69"/>
      <c r="BZ8" s="69" t="s">
        <v>34</v>
      </c>
      <c r="CA8" s="87"/>
      <c r="CB8" s="67" t="s">
        <v>34</v>
      </c>
      <c r="CC8" s="31">
        <v>4</v>
      </c>
      <c r="CD8" s="144" t="s">
        <v>128</v>
      </c>
      <c r="CE8" s="507"/>
      <c r="CF8" s="311">
        <f t="shared" si="0"/>
        <v>2</v>
      </c>
      <c r="CG8" s="76">
        <f t="shared" si="1"/>
        <v>3</v>
      </c>
      <c r="CH8" s="27"/>
      <c r="CI8" s="28"/>
      <c r="CJ8" s="449"/>
      <c r="CK8" s="450"/>
    </row>
    <row r="9" spans="1:89" ht="15" customHeight="1">
      <c r="A9" s="31">
        <v>5</v>
      </c>
      <c r="B9" s="144" t="s">
        <v>129</v>
      </c>
      <c r="C9" s="507"/>
      <c r="D9" s="266" t="s">
        <v>57</v>
      </c>
      <c r="E9" s="65"/>
      <c r="F9" s="15" t="s">
        <v>41</v>
      </c>
      <c r="G9" s="65"/>
      <c r="H9" s="15" t="s">
        <v>41</v>
      </c>
      <c r="I9" s="65"/>
      <c r="J9" s="266" t="s">
        <v>57</v>
      </c>
      <c r="K9" s="65"/>
      <c r="L9" s="15" t="s">
        <v>41</v>
      </c>
      <c r="M9" s="65" t="s">
        <v>51</v>
      </c>
      <c r="N9" s="15" t="s">
        <v>41</v>
      </c>
      <c r="O9" s="65"/>
      <c r="P9" s="15" t="s">
        <v>41</v>
      </c>
      <c r="Q9" s="65"/>
      <c r="R9" s="15" t="s">
        <v>41</v>
      </c>
      <c r="S9" s="65"/>
      <c r="T9" s="15" t="s">
        <v>41</v>
      </c>
      <c r="U9" s="65"/>
      <c r="V9" s="235" t="s">
        <v>57</v>
      </c>
      <c r="W9" s="65"/>
      <c r="X9" s="15" t="s">
        <v>41</v>
      </c>
      <c r="Y9" s="65"/>
      <c r="Z9" s="84" t="s">
        <v>41</v>
      </c>
      <c r="AA9" s="65"/>
      <c r="AB9" s="14"/>
      <c r="AC9" s="65"/>
      <c r="AD9" s="15"/>
      <c r="AE9" s="65"/>
      <c r="AF9" s="14"/>
      <c r="AG9" s="65"/>
      <c r="AH9" s="14"/>
      <c r="AI9" s="65" t="s">
        <v>136</v>
      </c>
      <c r="AJ9" s="14"/>
      <c r="AK9" s="65"/>
      <c r="AL9" s="14"/>
      <c r="AM9" s="65"/>
      <c r="AN9" s="33" t="s">
        <v>57</v>
      </c>
      <c r="AO9" s="65"/>
      <c r="AP9" s="509"/>
      <c r="AQ9" s="510"/>
      <c r="AR9" s="33"/>
      <c r="AS9" s="34"/>
      <c r="AT9" s="31">
        <v>5</v>
      </c>
      <c r="AU9" s="144" t="s">
        <v>129</v>
      </c>
      <c r="AV9" s="507"/>
      <c r="AW9" s="14"/>
      <c r="AX9" s="67" t="s">
        <v>34</v>
      </c>
      <c r="AY9" s="69"/>
      <c r="AZ9" s="67" t="s">
        <v>34</v>
      </c>
      <c r="BA9" s="69"/>
      <c r="BB9" s="69" t="s">
        <v>41</v>
      </c>
      <c r="BC9" s="87"/>
      <c r="BD9" s="69" t="s">
        <v>41</v>
      </c>
      <c r="BE9" s="14"/>
      <c r="BF9" s="71" t="s">
        <v>33</v>
      </c>
      <c r="BG9" s="72"/>
      <c r="BH9" s="71" t="s">
        <v>33</v>
      </c>
      <c r="BI9" s="72"/>
      <c r="BJ9" s="69" t="s">
        <v>57</v>
      </c>
      <c r="BK9" s="58"/>
      <c r="BL9" s="71" t="s">
        <v>33</v>
      </c>
      <c r="BM9" s="37"/>
      <c r="BN9" s="299" t="s">
        <v>57</v>
      </c>
      <c r="BO9" s="72"/>
      <c r="BP9" s="70"/>
      <c r="BQ9" s="72"/>
      <c r="BR9" s="72"/>
      <c r="BS9" s="15"/>
      <c r="BT9" s="275" t="s">
        <v>47</v>
      </c>
      <c r="BU9" s="87"/>
      <c r="BV9" s="67"/>
      <c r="BW9" s="69"/>
      <c r="BX9" s="67"/>
      <c r="BY9" s="69"/>
      <c r="BZ9" s="69"/>
      <c r="CA9" s="97"/>
      <c r="CB9" s="67"/>
      <c r="CC9" s="31">
        <v>5</v>
      </c>
      <c r="CD9" s="144" t="s">
        <v>129</v>
      </c>
      <c r="CE9" s="507"/>
      <c r="CF9" s="311">
        <f t="shared" si="0"/>
        <v>3</v>
      </c>
      <c r="CG9" s="76">
        <f t="shared" si="1"/>
        <v>3</v>
      </c>
      <c r="CH9" s="27"/>
      <c r="CI9" s="28"/>
      <c r="CJ9" s="449"/>
      <c r="CK9" s="450"/>
    </row>
    <row r="10" spans="1:89" ht="15" customHeight="1">
      <c r="A10" s="22">
        <v>6</v>
      </c>
      <c r="B10" s="13" t="s">
        <v>130</v>
      </c>
      <c r="C10" s="507"/>
      <c r="D10" s="14" t="s">
        <v>57</v>
      </c>
      <c r="E10" s="17"/>
      <c r="F10" s="16"/>
      <c r="G10" s="17"/>
      <c r="H10" s="16"/>
      <c r="I10" s="17"/>
      <c r="J10" s="266" t="s">
        <v>57</v>
      </c>
      <c r="K10" s="17"/>
      <c r="L10" s="16"/>
      <c r="M10" s="17"/>
      <c r="N10" s="16"/>
      <c r="O10" s="17"/>
      <c r="P10" s="18"/>
      <c r="Q10" s="17"/>
      <c r="R10" s="18"/>
      <c r="S10" s="17"/>
      <c r="T10" s="18"/>
      <c r="U10" s="17"/>
      <c r="V10" s="235" t="s">
        <v>57</v>
      </c>
      <c r="W10" s="17"/>
      <c r="X10" s="18"/>
      <c r="Y10" s="17" t="s">
        <v>53</v>
      </c>
      <c r="Z10" s="84" t="s">
        <v>41</v>
      </c>
      <c r="AA10" s="17"/>
      <c r="AB10" s="16"/>
      <c r="AC10" s="17"/>
      <c r="AD10" s="18"/>
      <c r="AE10" s="17"/>
      <c r="AF10" s="16"/>
      <c r="AG10" s="17" t="s">
        <v>137</v>
      </c>
      <c r="AH10" s="71"/>
      <c r="AI10" s="17"/>
      <c r="AJ10" s="16"/>
      <c r="AK10" s="17"/>
      <c r="AL10" s="16"/>
      <c r="AM10" s="17"/>
      <c r="AN10" s="33" t="s">
        <v>57</v>
      </c>
      <c r="AO10" s="17"/>
      <c r="AP10" s="525"/>
      <c r="AQ10" s="526"/>
      <c r="AR10" s="104"/>
      <c r="AS10" s="105"/>
      <c r="AT10" s="22">
        <v>6</v>
      </c>
      <c r="AU10" s="13" t="s">
        <v>130</v>
      </c>
      <c r="AV10" s="507"/>
      <c r="AW10" s="16"/>
      <c r="AX10" s="71"/>
      <c r="AY10" s="73"/>
      <c r="AZ10" s="71"/>
      <c r="BA10" s="73"/>
      <c r="BB10" s="73"/>
      <c r="BC10" s="59"/>
      <c r="BD10" s="73"/>
      <c r="BE10" s="16"/>
      <c r="BF10" s="66" t="s">
        <v>34</v>
      </c>
      <c r="BG10" s="68"/>
      <c r="BH10" s="67" t="s">
        <v>34</v>
      </c>
      <c r="BI10" s="68"/>
      <c r="BJ10" s="69" t="s">
        <v>57</v>
      </c>
      <c r="BK10" s="110"/>
      <c r="BL10" s="66" t="s">
        <v>34</v>
      </c>
      <c r="BM10" s="38"/>
      <c r="BN10" s="299" t="s">
        <v>57</v>
      </c>
      <c r="BO10" s="73"/>
      <c r="BP10" s="71" t="s">
        <v>33</v>
      </c>
      <c r="BQ10" s="73"/>
      <c r="BR10" s="72" t="s">
        <v>61</v>
      </c>
      <c r="BS10" s="59"/>
      <c r="BT10" s="65" t="s">
        <v>61</v>
      </c>
      <c r="BU10" s="110"/>
      <c r="BV10" s="66"/>
      <c r="BW10" s="68"/>
      <c r="BX10" s="66"/>
      <c r="BY10" s="68"/>
      <c r="BZ10" s="68"/>
      <c r="CA10" s="83"/>
      <c r="CB10" s="196" t="s">
        <v>40</v>
      </c>
      <c r="CC10" s="22">
        <v>6</v>
      </c>
      <c r="CD10" s="13" t="s">
        <v>130</v>
      </c>
      <c r="CE10" s="507"/>
      <c r="CF10" s="311">
        <f t="shared" si="0"/>
        <v>2</v>
      </c>
      <c r="CG10" s="76">
        <f t="shared" si="1"/>
        <v>3</v>
      </c>
      <c r="CH10" s="27"/>
      <c r="CI10" s="28"/>
      <c r="CJ10" s="449"/>
      <c r="CK10" s="450"/>
    </row>
    <row r="11" spans="1:89" ht="15" customHeight="1">
      <c r="A11" s="22">
        <v>7</v>
      </c>
      <c r="B11" s="13" t="s">
        <v>131</v>
      </c>
      <c r="C11" s="508"/>
      <c r="D11" s="14" t="s">
        <v>57</v>
      </c>
      <c r="E11" s="17"/>
      <c r="F11" s="16"/>
      <c r="G11" s="17"/>
      <c r="H11" s="16"/>
      <c r="I11" s="17"/>
      <c r="J11" s="266" t="s">
        <v>57</v>
      </c>
      <c r="K11" s="17"/>
      <c r="L11" s="16"/>
      <c r="M11" s="17"/>
      <c r="N11" s="16"/>
      <c r="O11" s="17"/>
      <c r="P11" s="18"/>
      <c r="Q11" s="17"/>
      <c r="R11" s="18"/>
      <c r="S11" s="17"/>
      <c r="T11" s="18"/>
      <c r="U11" s="17"/>
      <c r="V11" s="235" t="s">
        <v>57</v>
      </c>
      <c r="W11" s="17"/>
      <c r="X11" s="18"/>
      <c r="Y11" s="17" t="s">
        <v>53</v>
      </c>
      <c r="Z11" s="84" t="s">
        <v>41</v>
      </c>
      <c r="AA11" s="17"/>
      <c r="AB11" s="16"/>
      <c r="AC11" s="17"/>
      <c r="AD11" s="18"/>
      <c r="AE11" s="17"/>
      <c r="AF11" s="16"/>
      <c r="AG11" s="17" t="s">
        <v>137</v>
      </c>
      <c r="AH11" s="269"/>
      <c r="AI11" s="17"/>
      <c r="AJ11" s="16"/>
      <c r="AK11" s="17"/>
      <c r="AL11" s="16"/>
      <c r="AM11" s="17"/>
      <c r="AN11" s="33" t="s">
        <v>57</v>
      </c>
      <c r="AO11" s="17"/>
      <c r="AP11" s="525"/>
      <c r="AQ11" s="526"/>
      <c r="AR11" s="104"/>
      <c r="AS11" s="105"/>
      <c r="AT11" s="22">
        <v>7</v>
      </c>
      <c r="AU11" s="13" t="s">
        <v>131</v>
      </c>
      <c r="AV11" s="508"/>
      <c r="AW11" s="16"/>
      <c r="AX11" s="71"/>
      <c r="AY11" s="73"/>
      <c r="AZ11" s="71"/>
      <c r="BA11" s="73"/>
      <c r="BB11" s="73"/>
      <c r="BC11" s="59"/>
      <c r="BD11" s="73"/>
      <c r="BE11" s="16"/>
      <c r="BF11" s="71"/>
      <c r="BG11" s="73"/>
      <c r="BH11" s="194" t="s">
        <v>47</v>
      </c>
      <c r="BI11" s="73"/>
      <c r="BJ11" s="69" t="s">
        <v>57</v>
      </c>
      <c r="BK11" s="59"/>
      <c r="BL11" s="71"/>
      <c r="BM11" s="38"/>
      <c r="BN11" s="299" t="s">
        <v>57</v>
      </c>
      <c r="BO11" s="68"/>
      <c r="BP11" s="221" t="s">
        <v>34</v>
      </c>
      <c r="BQ11" s="68"/>
      <c r="BR11" s="72" t="s">
        <v>61</v>
      </c>
      <c r="BS11" s="110"/>
      <c r="BT11" s="82" t="s">
        <v>34</v>
      </c>
      <c r="BU11" s="110"/>
      <c r="BV11" s="66"/>
      <c r="BW11" s="73"/>
      <c r="BX11" s="71" t="s">
        <v>33</v>
      </c>
      <c r="BY11" s="73"/>
      <c r="BZ11" s="73" t="s">
        <v>33</v>
      </c>
      <c r="CA11" s="59"/>
      <c r="CB11" s="71" t="s">
        <v>33</v>
      </c>
      <c r="CC11" s="22">
        <v>7</v>
      </c>
      <c r="CD11" s="13" t="s">
        <v>131</v>
      </c>
      <c r="CE11" s="508"/>
      <c r="CF11" s="311">
        <f t="shared" si="0"/>
        <v>3</v>
      </c>
      <c r="CG11" s="76">
        <f t="shared" si="1"/>
        <v>3</v>
      </c>
      <c r="CH11" s="27"/>
      <c r="CI11" s="28"/>
      <c r="CJ11" s="449"/>
      <c r="CK11" s="450"/>
    </row>
    <row r="12" spans="1:89" ht="15" customHeight="1">
      <c r="A12" s="31">
        <v>8</v>
      </c>
      <c r="B12" s="144" t="s">
        <v>132</v>
      </c>
      <c r="C12" s="506">
        <v>11</v>
      </c>
      <c r="D12" s="14" t="s">
        <v>57</v>
      </c>
      <c r="E12" s="65"/>
      <c r="F12" s="15" t="s">
        <v>41</v>
      </c>
      <c r="G12" s="65"/>
      <c r="H12" s="112"/>
      <c r="I12" s="65"/>
      <c r="J12" s="266" t="s">
        <v>57</v>
      </c>
      <c r="K12" s="65"/>
      <c r="L12" s="15" t="s">
        <v>41</v>
      </c>
      <c r="M12" s="65"/>
      <c r="N12" s="14" t="s">
        <v>303</v>
      </c>
      <c r="O12" s="65" t="s">
        <v>136</v>
      </c>
      <c r="P12" s="15" t="s">
        <v>41</v>
      </c>
      <c r="Q12" s="65"/>
      <c r="R12" s="15" t="s">
        <v>41</v>
      </c>
      <c r="S12" s="65"/>
      <c r="T12" s="15" t="s">
        <v>41</v>
      </c>
      <c r="U12" s="65"/>
      <c r="V12" s="235" t="s">
        <v>57</v>
      </c>
      <c r="W12" s="65"/>
      <c r="X12" s="15" t="s">
        <v>41</v>
      </c>
      <c r="Y12" s="65"/>
      <c r="Z12" s="15" t="s">
        <v>41</v>
      </c>
      <c r="AA12" s="65"/>
      <c r="AB12" s="14"/>
      <c r="AC12" s="65"/>
      <c r="AD12" s="15"/>
      <c r="AE12" s="65" t="s">
        <v>51</v>
      </c>
      <c r="AF12" s="14"/>
      <c r="AG12" s="65"/>
      <c r="AH12" s="14"/>
      <c r="AI12" s="65"/>
      <c r="AJ12" s="14" t="s">
        <v>65</v>
      </c>
      <c r="AK12" s="65"/>
      <c r="AL12" s="14" t="s">
        <v>42</v>
      </c>
      <c r="AM12" s="65"/>
      <c r="AN12" s="33" t="s">
        <v>57</v>
      </c>
      <c r="AO12" s="65"/>
      <c r="AP12" s="523"/>
      <c r="AQ12" s="524"/>
      <c r="AR12" s="33"/>
      <c r="AS12" s="34"/>
      <c r="AT12" s="31">
        <v>8</v>
      </c>
      <c r="AU12" s="144" t="s">
        <v>132</v>
      </c>
      <c r="AV12" s="506">
        <v>11</v>
      </c>
      <c r="AW12" s="14"/>
      <c r="AX12" s="71" t="s">
        <v>33</v>
      </c>
      <c r="AY12" s="72"/>
      <c r="AZ12" s="71" t="s">
        <v>33</v>
      </c>
      <c r="BA12" s="72"/>
      <c r="BB12" s="73" t="s">
        <v>41</v>
      </c>
      <c r="BC12" s="58"/>
      <c r="BD12" s="73" t="s">
        <v>41</v>
      </c>
      <c r="BE12" s="14"/>
      <c r="BF12" s="70"/>
      <c r="BG12" s="72"/>
      <c r="BH12" s="70"/>
      <c r="BI12" s="72"/>
      <c r="BJ12" s="69" t="s">
        <v>57</v>
      </c>
      <c r="BK12" s="58"/>
      <c r="BL12" s="70"/>
      <c r="BM12" s="37"/>
      <c r="BN12" s="299" t="s">
        <v>57</v>
      </c>
      <c r="BO12" s="72"/>
      <c r="BP12" s="72" t="s">
        <v>61</v>
      </c>
      <c r="BQ12" s="72"/>
      <c r="BR12" s="72"/>
      <c r="BS12" s="15"/>
      <c r="BT12" s="65"/>
      <c r="BU12" s="87"/>
      <c r="BV12" s="67"/>
      <c r="BW12" s="69"/>
      <c r="BX12" s="67" t="s">
        <v>34</v>
      </c>
      <c r="BY12" s="69"/>
      <c r="BZ12" s="69" t="s">
        <v>34</v>
      </c>
      <c r="CA12" s="87"/>
      <c r="CB12" s="67" t="s">
        <v>34</v>
      </c>
      <c r="CC12" s="31">
        <v>8</v>
      </c>
      <c r="CD12" s="144" t="s">
        <v>132</v>
      </c>
      <c r="CE12" s="506">
        <v>10</v>
      </c>
      <c r="CF12" s="311">
        <f t="shared" si="0"/>
        <v>2</v>
      </c>
      <c r="CG12" s="76">
        <f t="shared" si="1"/>
        <v>3</v>
      </c>
      <c r="CH12" s="27"/>
      <c r="CI12" s="28"/>
      <c r="CJ12" s="449"/>
      <c r="CK12" s="450"/>
    </row>
    <row r="13" spans="1:89" ht="15" customHeight="1">
      <c r="A13" s="31">
        <v>9</v>
      </c>
      <c r="B13" s="144" t="s">
        <v>133</v>
      </c>
      <c r="C13" s="507"/>
      <c r="D13" s="14" t="s">
        <v>57</v>
      </c>
      <c r="E13" s="65"/>
      <c r="F13" s="15" t="s">
        <v>41</v>
      </c>
      <c r="G13" s="65"/>
      <c r="H13" s="14"/>
      <c r="I13" s="65"/>
      <c r="J13" s="266" t="s">
        <v>57</v>
      </c>
      <c r="K13" s="65"/>
      <c r="L13" s="15" t="s">
        <v>41</v>
      </c>
      <c r="M13" s="65"/>
      <c r="N13" s="14"/>
      <c r="O13" s="65"/>
      <c r="P13" s="15" t="s">
        <v>41</v>
      </c>
      <c r="Q13" s="65"/>
      <c r="R13" s="15" t="s">
        <v>41</v>
      </c>
      <c r="S13" s="65"/>
      <c r="T13" s="15" t="s">
        <v>41</v>
      </c>
      <c r="U13" s="65"/>
      <c r="V13" s="235" t="s">
        <v>57</v>
      </c>
      <c r="W13" s="65"/>
      <c r="X13" s="15"/>
      <c r="Y13" s="65"/>
      <c r="Z13" s="15" t="s">
        <v>41</v>
      </c>
      <c r="AA13" s="65"/>
      <c r="AB13" s="14"/>
      <c r="AC13" s="65" t="s">
        <v>51</v>
      </c>
      <c r="AD13" s="15"/>
      <c r="AE13" s="65"/>
      <c r="AF13" s="265" t="s">
        <v>184</v>
      </c>
      <c r="AG13" s="65"/>
      <c r="AH13" s="14"/>
      <c r="AI13" s="65"/>
      <c r="AJ13" s="14"/>
      <c r="AK13" s="65" t="s">
        <v>136</v>
      </c>
      <c r="AL13" s="14" t="s">
        <v>41</v>
      </c>
      <c r="AM13" s="65"/>
      <c r="AN13" s="33" t="s">
        <v>57</v>
      </c>
      <c r="AO13" s="65"/>
      <c r="AP13" s="523"/>
      <c r="AQ13" s="524"/>
      <c r="AR13" s="33"/>
      <c r="AS13" s="34"/>
      <c r="AT13" s="31">
        <v>9</v>
      </c>
      <c r="AU13" s="144" t="s">
        <v>133</v>
      </c>
      <c r="AV13" s="507"/>
      <c r="AW13" s="14"/>
      <c r="AX13" s="67" t="s">
        <v>34</v>
      </c>
      <c r="AY13" s="69"/>
      <c r="AZ13" s="67" t="s">
        <v>34</v>
      </c>
      <c r="BA13" s="69"/>
      <c r="BB13" s="73" t="s">
        <v>41</v>
      </c>
      <c r="BC13" s="87"/>
      <c r="BD13" s="73" t="s">
        <v>41</v>
      </c>
      <c r="BE13" s="14"/>
      <c r="BF13" s="71" t="s">
        <v>33</v>
      </c>
      <c r="BG13" s="72"/>
      <c r="BH13" s="71" t="s">
        <v>33</v>
      </c>
      <c r="BI13" s="72"/>
      <c r="BJ13" s="69" t="s">
        <v>57</v>
      </c>
      <c r="BK13" s="58"/>
      <c r="BL13" s="71" t="s">
        <v>33</v>
      </c>
      <c r="BM13" s="37"/>
      <c r="BN13" s="299" t="s">
        <v>57</v>
      </c>
      <c r="BO13" s="72"/>
      <c r="BP13" s="67" t="s">
        <v>41</v>
      </c>
      <c r="BQ13" s="72"/>
      <c r="BR13" s="72"/>
      <c r="BS13" s="15"/>
      <c r="BT13" s="65"/>
      <c r="BU13" s="87"/>
      <c r="BV13" s="67"/>
      <c r="BW13" s="69"/>
      <c r="BX13" s="67"/>
      <c r="BY13" s="69"/>
      <c r="BZ13" s="69"/>
      <c r="CA13" s="97"/>
      <c r="CB13" s="67"/>
      <c r="CC13" s="31">
        <v>9</v>
      </c>
      <c r="CD13" s="144" t="s">
        <v>133</v>
      </c>
      <c r="CE13" s="507"/>
      <c r="CF13" s="311">
        <f t="shared" si="0"/>
        <v>3</v>
      </c>
      <c r="CG13" s="76">
        <f t="shared" si="1"/>
        <v>2</v>
      </c>
      <c r="CH13" s="27"/>
      <c r="CI13" s="28"/>
      <c r="CJ13" s="449"/>
      <c r="CK13" s="450"/>
    </row>
    <row r="14" spans="1:89" ht="15" customHeight="1">
      <c r="A14" s="31">
        <v>10</v>
      </c>
      <c r="B14" s="144" t="s">
        <v>127</v>
      </c>
      <c r="C14" s="507"/>
      <c r="D14" s="14" t="s">
        <v>57</v>
      </c>
      <c r="E14" s="65"/>
      <c r="F14" s="15" t="s">
        <v>41</v>
      </c>
      <c r="G14" s="65"/>
      <c r="H14" s="15" t="s">
        <v>41</v>
      </c>
      <c r="I14" s="65"/>
      <c r="J14" s="266" t="s">
        <v>57</v>
      </c>
      <c r="K14" s="65"/>
      <c r="L14" s="15" t="s">
        <v>41</v>
      </c>
      <c r="M14" s="65"/>
      <c r="N14" s="14"/>
      <c r="O14" s="65"/>
      <c r="P14" s="15" t="s">
        <v>41</v>
      </c>
      <c r="Q14" s="65"/>
      <c r="R14" s="15" t="s">
        <v>41</v>
      </c>
      <c r="S14" s="65" t="s">
        <v>51</v>
      </c>
      <c r="T14" s="15" t="s">
        <v>41</v>
      </c>
      <c r="U14" s="65"/>
      <c r="V14" s="235" t="s">
        <v>57</v>
      </c>
      <c r="W14" s="65"/>
      <c r="X14" s="15"/>
      <c r="Y14" s="65"/>
      <c r="Z14" s="15" t="s">
        <v>41</v>
      </c>
      <c r="AA14" s="65"/>
      <c r="AB14" s="14"/>
      <c r="AC14" s="65"/>
      <c r="AD14" s="15"/>
      <c r="AE14" s="65"/>
      <c r="AF14" s="281" t="s">
        <v>147</v>
      </c>
      <c r="AG14" s="65"/>
      <c r="AH14" s="14" t="s">
        <v>41</v>
      </c>
      <c r="AI14" s="65"/>
      <c r="AJ14" s="14"/>
      <c r="AK14" s="65" t="s">
        <v>136</v>
      </c>
      <c r="AL14" s="14" t="s">
        <v>41</v>
      </c>
      <c r="AM14" s="65"/>
      <c r="AN14" s="33" t="s">
        <v>57</v>
      </c>
      <c r="AO14" s="65"/>
      <c r="AP14" s="523"/>
      <c r="AQ14" s="524"/>
      <c r="AR14" s="33"/>
      <c r="AS14" s="34"/>
      <c r="AT14" s="31">
        <v>10</v>
      </c>
      <c r="AU14" s="144" t="s">
        <v>127</v>
      </c>
      <c r="AV14" s="507"/>
      <c r="AW14" s="14"/>
      <c r="AX14" s="70"/>
      <c r="AY14" s="72"/>
      <c r="BA14" s="72"/>
      <c r="BB14" s="73" t="s">
        <v>41</v>
      </c>
      <c r="BC14" s="58"/>
      <c r="BD14" s="73" t="s">
        <v>41</v>
      </c>
      <c r="BE14" s="14"/>
      <c r="BF14" s="67" t="s">
        <v>34</v>
      </c>
      <c r="BG14" s="69"/>
      <c r="BH14" s="67" t="s">
        <v>34</v>
      </c>
      <c r="BI14" s="69"/>
      <c r="BJ14" s="69" t="s">
        <v>57</v>
      </c>
      <c r="BK14" s="87"/>
      <c r="BL14" s="67" t="s">
        <v>34</v>
      </c>
      <c r="BM14" s="37"/>
      <c r="BN14" s="299" t="s">
        <v>57</v>
      </c>
      <c r="BO14" s="72"/>
      <c r="BP14" s="67" t="s">
        <v>41</v>
      </c>
      <c r="BQ14" s="72"/>
      <c r="BR14" s="73" t="s">
        <v>33</v>
      </c>
      <c r="BS14" s="58"/>
      <c r="BT14" s="17" t="s">
        <v>41</v>
      </c>
      <c r="BU14" s="87"/>
      <c r="BV14" s="67"/>
      <c r="BW14" s="69"/>
      <c r="BX14" s="196" t="s">
        <v>40</v>
      </c>
      <c r="BY14" s="69"/>
      <c r="BZ14" s="69"/>
      <c r="CA14" s="97"/>
      <c r="CB14" s="67"/>
      <c r="CC14" s="31">
        <v>10</v>
      </c>
      <c r="CD14" s="144" t="s">
        <v>127</v>
      </c>
      <c r="CE14" s="507"/>
      <c r="CF14" s="311">
        <f t="shared" si="0"/>
        <v>2</v>
      </c>
      <c r="CG14" s="76">
        <f t="shared" si="1"/>
        <v>3</v>
      </c>
      <c r="CH14" s="27"/>
      <c r="CI14" s="28"/>
      <c r="CJ14" s="449"/>
      <c r="CK14" s="450"/>
    </row>
    <row r="15" spans="1:89" ht="15" customHeight="1">
      <c r="A15" s="31">
        <v>11</v>
      </c>
      <c r="B15" s="144" t="s">
        <v>128</v>
      </c>
      <c r="C15" s="507"/>
      <c r="D15" s="14" t="s">
        <v>57</v>
      </c>
      <c r="E15" s="65"/>
      <c r="F15" s="15" t="s">
        <v>41</v>
      </c>
      <c r="G15" s="65"/>
      <c r="H15" s="15" t="s">
        <v>41</v>
      </c>
      <c r="I15" s="65"/>
      <c r="J15" s="266" t="s">
        <v>57</v>
      </c>
      <c r="K15" s="65"/>
      <c r="L15" s="15" t="s">
        <v>41</v>
      </c>
      <c r="M15" s="65"/>
      <c r="N15" s="14"/>
      <c r="O15" s="65"/>
      <c r="P15" s="15" t="s">
        <v>41</v>
      </c>
      <c r="Q15" s="65"/>
      <c r="R15" s="15" t="s">
        <v>41</v>
      </c>
      <c r="S15" s="65"/>
      <c r="T15" s="15" t="s">
        <v>41</v>
      </c>
      <c r="U15" s="65"/>
      <c r="V15" s="235" t="s">
        <v>57</v>
      </c>
      <c r="W15" s="65"/>
      <c r="X15" s="15" t="s">
        <v>41</v>
      </c>
      <c r="Y15" s="65"/>
      <c r="Z15" s="15" t="s">
        <v>41</v>
      </c>
      <c r="AA15" s="65"/>
      <c r="AB15" s="14"/>
      <c r="AC15" s="65" t="s">
        <v>51</v>
      </c>
      <c r="AD15" s="15"/>
      <c r="AE15" s="65"/>
      <c r="AF15" s="14"/>
      <c r="AG15" s="65"/>
      <c r="AH15" s="14"/>
      <c r="AI15" s="65"/>
      <c r="AJ15" s="14"/>
      <c r="AK15" s="65" t="s">
        <v>136</v>
      </c>
      <c r="AL15" s="14" t="s">
        <v>41</v>
      </c>
      <c r="AM15" s="65"/>
      <c r="AN15" s="33" t="s">
        <v>57</v>
      </c>
      <c r="AO15" s="65"/>
      <c r="AP15" s="523"/>
      <c r="AQ15" s="524"/>
      <c r="AR15" s="33"/>
      <c r="AS15" s="34"/>
      <c r="AT15" s="31">
        <v>11</v>
      </c>
      <c r="AU15" s="144" t="s">
        <v>128</v>
      </c>
      <c r="AV15" s="507"/>
      <c r="AW15" s="14"/>
      <c r="AX15" s="196" t="s">
        <v>40</v>
      </c>
      <c r="AY15" s="70"/>
      <c r="AZ15" s="188" t="s">
        <v>47</v>
      </c>
      <c r="BA15" s="72"/>
      <c r="BB15" s="73" t="s">
        <v>41</v>
      </c>
      <c r="BC15" s="58"/>
      <c r="BD15" s="73" t="s">
        <v>41</v>
      </c>
      <c r="BE15" s="14"/>
      <c r="BF15" s="70"/>
      <c r="BG15" s="72"/>
      <c r="BH15" s="70"/>
      <c r="BI15" s="72"/>
      <c r="BJ15" s="69" t="s">
        <v>57</v>
      </c>
      <c r="BK15" s="58"/>
      <c r="BL15" s="70"/>
      <c r="BM15" s="37"/>
      <c r="BN15" s="299" t="s">
        <v>57</v>
      </c>
      <c r="BO15" s="69"/>
      <c r="BP15" s="67" t="s">
        <v>41</v>
      </c>
      <c r="BQ15" s="69"/>
      <c r="BR15" s="69" t="s">
        <v>61</v>
      </c>
      <c r="BS15" s="87"/>
      <c r="BT15" s="80" t="s">
        <v>34</v>
      </c>
      <c r="BU15" s="87"/>
      <c r="BV15" s="67"/>
      <c r="BW15" s="72"/>
      <c r="BX15" s="71" t="s">
        <v>33</v>
      </c>
      <c r="BY15" s="72"/>
      <c r="BZ15" s="73" t="s">
        <v>33</v>
      </c>
      <c r="CA15" s="58"/>
      <c r="CB15" s="71" t="s">
        <v>33</v>
      </c>
      <c r="CC15" s="31">
        <v>11</v>
      </c>
      <c r="CD15" s="144" t="s">
        <v>128</v>
      </c>
      <c r="CE15" s="507"/>
      <c r="CF15" s="311">
        <f t="shared" si="0"/>
        <v>4</v>
      </c>
      <c r="CG15" s="76">
        <f t="shared" si="1"/>
        <v>2</v>
      </c>
      <c r="CH15" s="27"/>
      <c r="CI15" s="28"/>
      <c r="CJ15" s="449"/>
      <c r="CK15" s="450"/>
    </row>
    <row r="16" spans="1:89" ht="15" customHeight="1">
      <c r="A16" s="31">
        <v>12</v>
      </c>
      <c r="B16" s="144" t="s">
        <v>129</v>
      </c>
      <c r="C16" s="507"/>
      <c r="D16" s="14"/>
      <c r="E16" s="65"/>
      <c r="F16" s="15" t="s">
        <v>41</v>
      </c>
      <c r="G16" s="65" t="s">
        <v>136</v>
      </c>
      <c r="H16" s="15" t="s">
        <v>41</v>
      </c>
      <c r="I16" s="65"/>
      <c r="J16" s="266" t="s">
        <v>57</v>
      </c>
      <c r="K16" s="65"/>
      <c r="L16" s="15" t="s">
        <v>41</v>
      </c>
      <c r="M16" s="65"/>
      <c r="N16" s="14"/>
      <c r="O16" s="65"/>
      <c r="P16" s="15" t="s">
        <v>41</v>
      </c>
      <c r="Q16" s="65"/>
      <c r="R16" s="15" t="s">
        <v>41</v>
      </c>
      <c r="S16" s="65"/>
      <c r="T16" s="15" t="s">
        <v>41</v>
      </c>
      <c r="U16" s="65"/>
      <c r="V16" s="235" t="s">
        <v>57</v>
      </c>
      <c r="W16" s="65"/>
      <c r="X16" s="15"/>
      <c r="Y16" s="65"/>
      <c r="Z16" s="15" t="s">
        <v>41</v>
      </c>
      <c r="AA16" s="65"/>
      <c r="AB16" s="14"/>
      <c r="AC16" s="65"/>
      <c r="AD16" s="15"/>
      <c r="AE16" s="65" t="s">
        <v>51</v>
      </c>
      <c r="AF16" s="14"/>
      <c r="AG16" s="65"/>
      <c r="AH16" s="14"/>
      <c r="AI16" s="65"/>
      <c r="AJ16" s="14"/>
      <c r="AK16" s="65"/>
      <c r="AL16" s="14" t="s">
        <v>41</v>
      </c>
      <c r="AM16" s="65"/>
      <c r="AN16" s="33" t="s">
        <v>57</v>
      </c>
      <c r="AO16" s="65"/>
      <c r="AP16" s="523"/>
      <c r="AQ16" s="524"/>
      <c r="AR16" s="33"/>
      <c r="AS16" s="34"/>
      <c r="AT16" s="31">
        <v>12</v>
      </c>
      <c r="AU16" s="144" t="s">
        <v>129</v>
      </c>
      <c r="AV16" s="507"/>
      <c r="AW16" s="14"/>
      <c r="AX16" s="71" t="s">
        <v>33</v>
      </c>
      <c r="AY16" s="72"/>
      <c r="AZ16" s="70" t="s">
        <v>61</v>
      </c>
      <c r="BA16" s="72"/>
      <c r="BB16" s="73" t="s">
        <v>41</v>
      </c>
      <c r="BC16" s="58"/>
      <c r="BD16" s="73" t="s">
        <v>41</v>
      </c>
      <c r="BE16" s="14"/>
      <c r="BF16" s="70"/>
      <c r="BG16" s="72"/>
      <c r="BH16" s="70"/>
      <c r="BI16" s="72"/>
      <c r="BJ16" s="69" t="s">
        <v>57</v>
      </c>
      <c r="BK16" s="58"/>
      <c r="BL16" s="70"/>
      <c r="BM16" s="37"/>
      <c r="BN16" s="299" t="s">
        <v>57</v>
      </c>
      <c r="BO16" s="72"/>
      <c r="BP16" s="67" t="s">
        <v>41</v>
      </c>
      <c r="BQ16" s="72"/>
      <c r="BR16" s="186" t="s">
        <v>40</v>
      </c>
      <c r="BS16" s="15"/>
      <c r="BT16" s="65"/>
      <c r="BU16" s="87"/>
      <c r="BV16" s="67"/>
      <c r="BW16" s="69"/>
      <c r="BX16" s="67" t="s">
        <v>34</v>
      </c>
      <c r="BY16" s="69"/>
      <c r="BZ16" s="69" t="s">
        <v>34</v>
      </c>
      <c r="CA16" s="87"/>
      <c r="CB16" s="67" t="s">
        <v>34</v>
      </c>
      <c r="CC16" s="31">
        <v>12</v>
      </c>
      <c r="CD16" s="144" t="s">
        <v>129</v>
      </c>
      <c r="CE16" s="507"/>
      <c r="CF16" s="311">
        <f t="shared" si="0"/>
        <v>2</v>
      </c>
      <c r="CG16" s="76">
        <f t="shared" si="1"/>
        <v>3</v>
      </c>
      <c r="CH16" s="27"/>
      <c r="CI16" s="28"/>
      <c r="CJ16" s="449"/>
      <c r="CK16" s="450"/>
    </row>
    <row r="17" spans="1:89" ht="15" customHeight="1">
      <c r="A17" s="22">
        <v>13</v>
      </c>
      <c r="B17" s="13" t="s">
        <v>130</v>
      </c>
      <c r="C17" s="507"/>
      <c r="D17" s="16"/>
      <c r="E17" s="17"/>
      <c r="F17" s="16"/>
      <c r="G17" s="17"/>
      <c r="H17" s="16"/>
      <c r="I17" s="17"/>
      <c r="J17" s="266" t="s">
        <v>57</v>
      </c>
      <c r="K17" s="17"/>
      <c r="L17" s="16"/>
      <c r="M17" s="17"/>
      <c r="N17" s="16"/>
      <c r="O17" s="17"/>
      <c r="P17" s="16"/>
      <c r="Q17" s="17"/>
      <c r="R17" s="15" t="s">
        <v>41</v>
      </c>
      <c r="S17" s="17"/>
      <c r="T17" s="15" t="s">
        <v>41</v>
      </c>
      <c r="U17" s="17"/>
      <c r="V17" s="235" t="s">
        <v>57</v>
      </c>
      <c r="W17" s="17"/>
      <c r="X17" s="18"/>
      <c r="Y17" s="17" t="s">
        <v>53</v>
      </c>
      <c r="Z17" s="16"/>
      <c r="AA17" s="17"/>
      <c r="AB17" s="16"/>
      <c r="AC17" s="17"/>
      <c r="AD17" s="18"/>
      <c r="AE17" s="17"/>
      <c r="AF17" s="16"/>
      <c r="AG17" s="17"/>
      <c r="AH17" s="16"/>
      <c r="AI17" s="17" t="s">
        <v>137</v>
      </c>
      <c r="AJ17" s="16"/>
      <c r="AK17" s="17"/>
      <c r="AL17" s="16"/>
      <c r="AM17" s="17"/>
      <c r="AN17" s="33" t="s">
        <v>57</v>
      </c>
      <c r="AO17" s="17"/>
      <c r="AP17" s="525"/>
      <c r="AQ17" s="526"/>
      <c r="AR17" s="104"/>
      <c r="AS17" s="105"/>
      <c r="AT17" s="22">
        <v>13</v>
      </c>
      <c r="AU17" s="13" t="s">
        <v>130</v>
      </c>
      <c r="AV17" s="507"/>
      <c r="AW17" s="16"/>
      <c r="AX17" s="66" t="s">
        <v>34</v>
      </c>
      <c r="AY17" s="68"/>
      <c r="AZ17" s="66" t="s">
        <v>34</v>
      </c>
      <c r="BA17" s="68"/>
      <c r="BB17" s="69" t="s">
        <v>61</v>
      </c>
      <c r="BC17" s="110"/>
      <c r="BD17" s="67" t="s">
        <v>61</v>
      </c>
      <c r="BE17" s="16"/>
      <c r="BF17" s="71" t="s">
        <v>33</v>
      </c>
      <c r="BG17" s="73"/>
      <c r="BH17" s="71" t="s">
        <v>33</v>
      </c>
      <c r="BI17" s="73"/>
      <c r="BJ17" s="69" t="s">
        <v>57</v>
      </c>
      <c r="BK17" s="59"/>
      <c r="BL17" s="71" t="s">
        <v>33</v>
      </c>
      <c r="BM17" s="38"/>
      <c r="BN17" s="299" t="s">
        <v>57</v>
      </c>
      <c r="BO17" s="73"/>
      <c r="BP17" s="71"/>
      <c r="BQ17" s="73"/>
      <c r="BR17" s="73"/>
      <c r="BS17" s="18"/>
      <c r="BT17" s="17"/>
      <c r="BU17" s="110"/>
      <c r="BV17" s="66"/>
      <c r="BW17" s="68"/>
      <c r="BX17" s="66"/>
      <c r="BY17" s="68"/>
      <c r="BZ17" s="68"/>
      <c r="CA17" s="83"/>
      <c r="CB17" s="66"/>
      <c r="CC17" s="22">
        <v>13</v>
      </c>
      <c r="CD17" s="13" t="s">
        <v>130</v>
      </c>
      <c r="CE17" s="507"/>
      <c r="CF17" s="311">
        <f t="shared" si="0"/>
        <v>3</v>
      </c>
      <c r="CG17" s="76">
        <f t="shared" si="1"/>
        <v>2</v>
      </c>
      <c r="CH17" s="27"/>
      <c r="CI17" s="28"/>
      <c r="CJ17" s="449"/>
      <c r="CK17" s="450"/>
    </row>
    <row r="18" spans="1:89" ht="15" customHeight="1">
      <c r="A18" s="22">
        <v>14</v>
      </c>
      <c r="B18" s="13" t="s">
        <v>131</v>
      </c>
      <c r="C18" s="508"/>
      <c r="D18" s="16"/>
      <c r="E18" s="17"/>
      <c r="F18" s="16"/>
      <c r="G18" s="17"/>
      <c r="H18" s="16"/>
      <c r="I18" s="17"/>
      <c r="J18" s="266" t="s">
        <v>57</v>
      </c>
      <c r="K18" s="17"/>
      <c r="L18" s="16"/>
      <c r="M18" s="17"/>
      <c r="N18" s="16"/>
      <c r="O18" s="59"/>
      <c r="P18" s="16"/>
      <c r="Q18" s="17"/>
      <c r="R18" s="15" t="s">
        <v>41</v>
      </c>
      <c r="S18" s="17"/>
      <c r="T18" s="15" t="s">
        <v>41</v>
      </c>
      <c r="U18" s="17"/>
      <c r="V18" s="235" t="s">
        <v>57</v>
      </c>
      <c r="W18" s="17"/>
      <c r="X18" s="18"/>
      <c r="Y18" s="17" t="s">
        <v>53</v>
      </c>
      <c r="Z18" s="16"/>
      <c r="AA18" s="17"/>
      <c r="AB18" s="16"/>
      <c r="AC18" s="17"/>
      <c r="AD18" s="18"/>
      <c r="AE18" s="17"/>
      <c r="AF18" s="16"/>
      <c r="AG18" s="17"/>
      <c r="AH18" s="197" t="s">
        <v>131</v>
      </c>
      <c r="AI18" s="17" t="s">
        <v>137</v>
      </c>
      <c r="AJ18" s="16"/>
      <c r="AK18" s="17"/>
      <c r="AL18" s="16"/>
      <c r="AM18" s="17"/>
      <c r="AN18" s="33" t="s">
        <v>57</v>
      </c>
      <c r="AO18" s="17"/>
      <c r="AP18" s="525"/>
      <c r="AQ18" s="526"/>
      <c r="AR18" s="104"/>
      <c r="AS18" s="105"/>
      <c r="AT18" s="22">
        <v>14</v>
      </c>
      <c r="AU18" s="13" t="s">
        <v>131</v>
      </c>
      <c r="AV18" s="508"/>
      <c r="AW18" s="16"/>
      <c r="AX18" s="71"/>
      <c r="AY18" s="73"/>
      <c r="AZ18" s="71"/>
      <c r="BA18" s="73"/>
      <c r="BB18" s="73"/>
      <c r="BC18" s="59"/>
      <c r="BD18" s="73"/>
      <c r="BE18" s="16"/>
      <c r="BF18" s="66" t="s">
        <v>34</v>
      </c>
      <c r="BG18" s="68"/>
      <c r="BH18" s="66" t="s">
        <v>34</v>
      </c>
      <c r="BI18" s="68"/>
      <c r="BJ18" s="69" t="s">
        <v>57</v>
      </c>
      <c r="BK18" s="110"/>
      <c r="BL18" s="66" t="s">
        <v>34</v>
      </c>
      <c r="BM18" s="38"/>
      <c r="BN18" s="299" t="s">
        <v>57</v>
      </c>
      <c r="BO18" s="73"/>
      <c r="BP18" s="70" t="s">
        <v>61</v>
      </c>
      <c r="BQ18" s="73"/>
      <c r="BR18" s="73" t="s">
        <v>33</v>
      </c>
      <c r="BS18" s="59"/>
      <c r="BT18" s="275" t="s">
        <v>47</v>
      </c>
      <c r="BU18" s="110"/>
      <c r="BV18" s="66"/>
      <c r="BW18" s="68"/>
      <c r="BX18" s="66"/>
      <c r="BY18" s="68"/>
      <c r="BZ18" s="68"/>
      <c r="CA18" s="83"/>
      <c r="CB18" s="66"/>
      <c r="CC18" s="22">
        <v>14</v>
      </c>
      <c r="CD18" s="13" t="s">
        <v>131</v>
      </c>
      <c r="CE18" s="508"/>
      <c r="CF18" s="311">
        <f t="shared" si="0"/>
        <v>1</v>
      </c>
      <c r="CG18" s="76">
        <f t="shared" si="1"/>
        <v>4</v>
      </c>
      <c r="CH18" s="27"/>
      <c r="CI18" s="28"/>
      <c r="CJ18" s="449"/>
      <c r="CK18" s="450"/>
    </row>
    <row r="19" spans="1:89" ht="15" customHeight="1">
      <c r="A19" s="31">
        <v>15</v>
      </c>
      <c r="B19" s="144" t="s">
        <v>132</v>
      </c>
      <c r="C19" s="506">
        <v>12</v>
      </c>
      <c r="D19" s="14"/>
      <c r="E19" s="65"/>
      <c r="F19" s="15" t="s">
        <v>41</v>
      </c>
      <c r="G19" s="65"/>
      <c r="H19" s="14"/>
      <c r="I19" s="65"/>
      <c r="J19" s="266" t="s">
        <v>57</v>
      </c>
      <c r="K19" s="65"/>
      <c r="L19" s="15" t="s">
        <v>41</v>
      </c>
      <c r="M19" s="65"/>
      <c r="N19" s="14"/>
      <c r="O19" s="58" t="s">
        <v>136</v>
      </c>
      <c r="P19" s="14" t="s">
        <v>41</v>
      </c>
      <c r="Q19" s="65"/>
      <c r="R19" s="15" t="s">
        <v>41</v>
      </c>
      <c r="S19" s="65"/>
      <c r="T19" s="15" t="s">
        <v>41</v>
      </c>
      <c r="U19" s="65"/>
      <c r="V19" s="235" t="s">
        <v>57</v>
      </c>
      <c r="W19" s="65"/>
      <c r="X19" s="15"/>
      <c r="Y19" s="65"/>
      <c r="Z19" s="14"/>
      <c r="AA19" s="65"/>
      <c r="AB19" s="14"/>
      <c r="AC19" s="65" t="s">
        <v>51</v>
      </c>
      <c r="AD19" s="15"/>
      <c r="AE19" s="65"/>
      <c r="AF19" s="14"/>
      <c r="AG19" s="65"/>
      <c r="AH19" s="14"/>
      <c r="AI19" s="65"/>
      <c r="AJ19" s="14"/>
      <c r="AK19" s="65"/>
      <c r="AL19" s="14"/>
      <c r="AM19" s="65"/>
      <c r="AN19" s="33" t="s">
        <v>57</v>
      </c>
      <c r="AO19" s="65"/>
      <c r="AP19" s="509"/>
      <c r="AQ19" s="510"/>
      <c r="AR19" s="33"/>
      <c r="AS19" s="34"/>
      <c r="AT19" s="31">
        <v>15</v>
      </c>
      <c r="AU19" s="144" t="s">
        <v>132</v>
      </c>
      <c r="AV19" s="506">
        <v>12</v>
      </c>
      <c r="AW19" s="14"/>
      <c r="AX19" s="70"/>
      <c r="AY19" s="72"/>
      <c r="AZ19" s="70"/>
      <c r="BA19" s="72"/>
      <c r="BB19" s="72" t="s">
        <v>41</v>
      </c>
      <c r="BC19" s="58"/>
      <c r="BD19" s="73" t="s">
        <v>41</v>
      </c>
      <c r="BE19" s="14"/>
      <c r="BF19" s="70"/>
      <c r="BG19" s="72"/>
      <c r="BH19" s="70"/>
      <c r="BI19" s="72"/>
      <c r="BJ19" s="69" t="s">
        <v>57</v>
      </c>
      <c r="BK19" s="58"/>
      <c r="BL19" s="70"/>
      <c r="BM19" s="37"/>
      <c r="BN19" s="299" t="s">
        <v>57</v>
      </c>
      <c r="BO19" s="69"/>
      <c r="BP19" s="67" t="s">
        <v>41</v>
      </c>
      <c r="BQ19" s="69"/>
      <c r="BR19" s="69" t="s">
        <v>34</v>
      </c>
      <c r="BS19" s="87"/>
      <c r="BT19" s="80" t="s">
        <v>34</v>
      </c>
      <c r="BU19" s="87"/>
      <c r="BV19" s="67"/>
      <c r="BW19" s="72"/>
      <c r="BX19" s="71" t="s">
        <v>33</v>
      </c>
      <c r="BY19" s="72"/>
      <c r="BZ19" s="73" t="s">
        <v>33</v>
      </c>
      <c r="CA19" s="58"/>
      <c r="CB19" s="188" t="s">
        <v>33</v>
      </c>
      <c r="CC19" s="31">
        <v>15</v>
      </c>
      <c r="CD19" s="144" t="s">
        <v>132</v>
      </c>
      <c r="CE19" s="506">
        <v>11</v>
      </c>
      <c r="CF19" s="311">
        <f t="shared" si="0"/>
        <v>3</v>
      </c>
      <c r="CG19" s="76">
        <f t="shared" si="1"/>
        <v>2</v>
      </c>
      <c r="CH19" s="27"/>
      <c r="CI19" s="28"/>
      <c r="CJ19" s="449"/>
      <c r="CK19" s="450"/>
    </row>
    <row r="20" spans="1:89" ht="15" customHeight="1">
      <c r="A20" s="31">
        <v>16</v>
      </c>
      <c r="B20" s="144" t="s">
        <v>133</v>
      </c>
      <c r="C20" s="507"/>
      <c r="D20" s="14"/>
      <c r="E20" s="65" t="s">
        <v>136</v>
      </c>
      <c r="F20" s="14"/>
      <c r="G20" s="65"/>
      <c r="H20" s="14"/>
      <c r="I20" s="65"/>
      <c r="J20" s="266" t="s">
        <v>57</v>
      </c>
      <c r="K20" s="65"/>
      <c r="L20" s="14" t="s">
        <v>41</v>
      </c>
      <c r="M20" s="65"/>
      <c r="N20" s="14"/>
      <c r="O20" s="58"/>
      <c r="P20" s="14"/>
      <c r="Q20" s="65"/>
      <c r="R20" s="15" t="s">
        <v>41</v>
      </c>
      <c r="S20" s="65"/>
      <c r="T20" s="15" t="s">
        <v>41</v>
      </c>
      <c r="U20" s="65"/>
      <c r="V20" s="235" t="s">
        <v>57</v>
      </c>
      <c r="W20" s="65"/>
      <c r="X20" s="15"/>
      <c r="Y20" s="65"/>
      <c r="Z20" s="14"/>
      <c r="AA20" s="65"/>
      <c r="AB20" s="14"/>
      <c r="AC20" s="65" t="s">
        <v>51</v>
      </c>
      <c r="AD20" s="15"/>
      <c r="AE20" s="65"/>
      <c r="AF20" s="14"/>
      <c r="AG20" s="65"/>
      <c r="AH20" s="14"/>
      <c r="AI20" s="65"/>
      <c r="AJ20" s="14"/>
      <c r="AK20" s="65"/>
      <c r="AL20" s="14"/>
      <c r="AM20" s="65"/>
      <c r="AN20" s="33" t="s">
        <v>57</v>
      </c>
      <c r="AO20" s="65"/>
      <c r="AP20" s="543" t="s">
        <v>327</v>
      </c>
      <c r="AQ20" s="544"/>
      <c r="AR20" s="33"/>
      <c r="AS20" s="34"/>
      <c r="AT20" s="31">
        <v>16</v>
      </c>
      <c r="AU20" s="144" t="s">
        <v>133</v>
      </c>
      <c r="AV20" s="507"/>
      <c r="AW20" s="14"/>
      <c r="AX20" s="71" t="s">
        <v>33</v>
      </c>
      <c r="AY20" s="72"/>
      <c r="AZ20" s="71" t="s">
        <v>33</v>
      </c>
      <c r="BA20" s="72"/>
      <c r="BB20" s="72" t="s">
        <v>41</v>
      </c>
      <c r="BC20" s="58"/>
      <c r="BD20" s="73" t="s">
        <v>41</v>
      </c>
      <c r="BE20" s="14"/>
      <c r="BF20" s="70"/>
      <c r="BG20" s="72"/>
      <c r="BH20" s="70"/>
      <c r="BI20" s="72"/>
      <c r="BJ20" s="69" t="s">
        <v>57</v>
      </c>
      <c r="BK20" s="58"/>
      <c r="BL20" s="70"/>
      <c r="BM20" s="37"/>
      <c r="BN20" s="299" t="s">
        <v>57</v>
      </c>
      <c r="BO20" s="72"/>
      <c r="BP20" s="67" t="s">
        <v>41</v>
      </c>
      <c r="BQ20" s="72"/>
      <c r="BR20" s="72"/>
      <c r="BS20" s="15"/>
      <c r="BT20" s="65"/>
      <c r="BU20" s="87"/>
      <c r="BV20" s="67"/>
      <c r="BW20" s="69"/>
      <c r="BX20" s="67" t="s">
        <v>34</v>
      </c>
      <c r="BY20" s="69"/>
      <c r="BZ20" s="69" t="s">
        <v>34</v>
      </c>
      <c r="CA20" s="87"/>
      <c r="CB20" s="67" t="s">
        <v>34</v>
      </c>
      <c r="CC20" s="31">
        <v>16</v>
      </c>
      <c r="CD20" s="144" t="s">
        <v>133</v>
      </c>
      <c r="CE20" s="507"/>
      <c r="CF20" s="311">
        <f t="shared" si="0"/>
        <v>2</v>
      </c>
      <c r="CG20" s="76">
        <f t="shared" si="1"/>
        <v>3</v>
      </c>
      <c r="CH20" s="27"/>
      <c r="CI20" s="28"/>
      <c r="CJ20" s="543" t="s">
        <v>327</v>
      </c>
      <c r="CK20" s="544"/>
    </row>
    <row r="21" spans="1:89" ht="15" customHeight="1">
      <c r="A21" s="31">
        <v>17</v>
      </c>
      <c r="B21" s="144" t="s">
        <v>127</v>
      </c>
      <c r="C21" s="507"/>
      <c r="D21" s="14"/>
      <c r="E21" s="65"/>
      <c r="F21" s="14" t="s">
        <v>41</v>
      </c>
      <c r="G21" s="65"/>
      <c r="H21" s="14"/>
      <c r="I21" s="65"/>
      <c r="J21" s="266" t="s">
        <v>57</v>
      </c>
      <c r="K21" s="65"/>
      <c r="L21" s="14"/>
      <c r="M21" s="65"/>
      <c r="N21" s="14"/>
      <c r="O21" s="58"/>
      <c r="P21" s="14" t="s">
        <v>41</v>
      </c>
      <c r="Q21" s="65"/>
      <c r="R21" s="15" t="s">
        <v>41</v>
      </c>
      <c r="S21" s="65"/>
      <c r="T21" s="15" t="s">
        <v>41</v>
      </c>
      <c r="U21" s="65"/>
      <c r="V21" s="235" t="s">
        <v>57</v>
      </c>
      <c r="W21" s="65"/>
      <c r="X21" s="15"/>
      <c r="Y21" s="65"/>
      <c r="Z21" s="14"/>
      <c r="AA21" s="65"/>
      <c r="AB21" s="14"/>
      <c r="AC21" s="65" t="s">
        <v>51</v>
      </c>
      <c r="AD21" s="15"/>
      <c r="AE21" s="65"/>
      <c r="AF21" s="14"/>
      <c r="AG21" s="65"/>
      <c r="AH21" s="14"/>
      <c r="AI21" s="65"/>
      <c r="AJ21" s="14"/>
      <c r="AK21" s="65"/>
      <c r="AL21" s="14"/>
      <c r="AM21" s="65" t="s">
        <v>136</v>
      </c>
      <c r="AN21" s="33" t="s">
        <v>57</v>
      </c>
      <c r="AO21" s="65"/>
      <c r="AP21" s="523"/>
      <c r="AQ21" s="524"/>
      <c r="AR21" s="33"/>
      <c r="AS21" s="34"/>
      <c r="AT21" s="31">
        <v>17</v>
      </c>
      <c r="AU21" s="144" t="s">
        <v>127</v>
      </c>
      <c r="AV21" s="507"/>
      <c r="AW21" s="14"/>
      <c r="AX21" s="67" t="s">
        <v>34</v>
      </c>
      <c r="AY21" s="69"/>
      <c r="AZ21" s="67" t="s">
        <v>34</v>
      </c>
      <c r="BA21" s="69"/>
      <c r="BB21" s="72" t="s">
        <v>41</v>
      </c>
      <c r="BC21" s="87"/>
      <c r="BD21" s="73" t="s">
        <v>41</v>
      </c>
      <c r="BE21" s="14"/>
      <c r="BF21" s="71" t="s">
        <v>33</v>
      </c>
      <c r="BG21" s="72"/>
      <c r="BH21" s="71" t="s">
        <v>33</v>
      </c>
      <c r="BI21" s="72"/>
      <c r="BJ21" s="69" t="s">
        <v>57</v>
      </c>
      <c r="BK21" s="58"/>
      <c r="BL21" s="71" t="s">
        <v>33</v>
      </c>
      <c r="BM21" s="37"/>
      <c r="BN21" s="299" t="s">
        <v>57</v>
      </c>
      <c r="BO21" s="72"/>
      <c r="BP21" s="67" t="s">
        <v>41</v>
      </c>
      <c r="BQ21" s="72"/>
      <c r="BR21" s="72"/>
      <c r="BS21" s="15"/>
      <c r="BT21" s="65"/>
      <c r="BU21" s="87"/>
      <c r="BV21" s="67"/>
      <c r="BW21" s="69"/>
      <c r="BX21" s="67"/>
      <c r="BY21" s="69"/>
      <c r="BZ21" s="69"/>
      <c r="CA21" s="97"/>
      <c r="CB21" s="67"/>
      <c r="CC21" s="31">
        <v>17</v>
      </c>
      <c r="CD21" s="144" t="s">
        <v>127</v>
      </c>
      <c r="CE21" s="507"/>
      <c r="CF21" s="311">
        <f t="shared" si="0"/>
        <v>3</v>
      </c>
      <c r="CG21" s="76">
        <f t="shared" si="1"/>
        <v>2</v>
      </c>
      <c r="CH21" s="27"/>
      <c r="CI21" s="28"/>
      <c r="CJ21" s="449"/>
      <c r="CK21" s="450"/>
    </row>
    <row r="22" spans="1:89" ht="15" customHeight="1">
      <c r="A22" s="31">
        <v>18</v>
      </c>
      <c r="B22" s="144" t="s">
        <v>128</v>
      </c>
      <c r="C22" s="507"/>
      <c r="D22" s="14"/>
      <c r="E22" s="65" t="s">
        <v>51</v>
      </c>
      <c r="F22" s="14" t="s">
        <v>41</v>
      </c>
      <c r="G22" s="65"/>
      <c r="H22" s="14"/>
      <c r="I22" s="65"/>
      <c r="J22" s="266" t="s">
        <v>57</v>
      </c>
      <c r="K22" s="65"/>
      <c r="L22" s="14"/>
      <c r="M22" s="65"/>
      <c r="N22" s="14"/>
      <c r="O22" s="58"/>
      <c r="P22" s="14"/>
      <c r="Q22" s="65" t="s">
        <v>136</v>
      </c>
      <c r="R22" s="15" t="s">
        <v>41</v>
      </c>
      <c r="S22" s="65"/>
      <c r="T22" s="14" t="s">
        <v>41</v>
      </c>
      <c r="U22" s="65"/>
      <c r="V22" s="235" t="s">
        <v>57</v>
      </c>
      <c r="W22" s="65"/>
      <c r="X22" s="15" t="s">
        <v>41</v>
      </c>
      <c r="Y22" s="65"/>
      <c r="Z22" s="14"/>
      <c r="AA22" s="65"/>
      <c r="AB22" s="14"/>
      <c r="AC22" s="65"/>
      <c r="AD22" s="15"/>
      <c r="AE22" s="65"/>
      <c r="AF22" s="227" t="s">
        <v>318</v>
      </c>
      <c r="AG22" s="65"/>
      <c r="AH22" s="14"/>
      <c r="AI22" s="65"/>
      <c r="AJ22" s="14"/>
      <c r="AK22" s="65"/>
      <c r="AL22" s="14"/>
      <c r="AM22" s="65"/>
      <c r="AN22" s="33" t="s">
        <v>57</v>
      </c>
      <c r="AO22" s="65"/>
      <c r="AP22" s="543" t="s">
        <v>327</v>
      </c>
      <c r="AQ22" s="544"/>
      <c r="AR22" s="33"/>
      <c r="AS22" s="34"/>
      <c r="AT22" s="31">
        <v>18</v>
      </c>
      <c r="AU22" s="144" t="s">
        <v>128</v>
      </c>
      <c r="AV22" s="507"/>
      <c r="AW22" s="14"/>
      <c r="AX22" s="70"/>
      <c r="AY22" s="72"/>
      <c r="AZ22" s="70"/>
      <c r="BA22" s="72"/>
      <c r="BB22" s="72" t="s">
        <v>41</v>
      </c>
      <c r="BC22" s="58"/>
      <c r="BD22" s="70"/>
      <c r="BE22" s="14"/>
      <c r="BF22" s="67" t="s">
        <v>34</v>
      </c>
      <c r="BG22" s="69"/>
      <c r="BH22" s="67" t="s">
        <v>34</v>
      </c>
      <c r="BI22" s="69"/>
      <c r="BJ22" s="69" t="s">
        <v>57</v>
      </c>
      <c r="BK22" s="87"/>
      <c r="BL22" s="67" t="s">
        <v>34</v>
      </c>
      <c r="BM22" s="37"/>
      <c r="BN22" s="299" t="s">
        <v>57</v>
      </c>
      <c r="BO22" s="72"/>
      <c r="BP22" s="67" t="s">
        <v>33</v>
      </c>
      <c r="BQ22" s="72"/>
      <c r="BR22" s="73" t="s">
        <v>33</v>
      </c>
      <c r="BS22" s="58"/>
      <c r="BT22" s="17" t="s">
        <v>33</v>
      </c>
      <c r="BU22" s="87"/>
      <c r="BV22" s="67"/>
      <c r="BW22" s="69"/>
      <c r="BX22" s="67"/>
      <c r="BY22" s="69"/>
      <c r="BZ22" s="69"/>
      <c r="CA22" s="97"/>
      <c r="CB22" s="67"/>
      <c r="CC22" s="31">
        <v>18</v>
      </c>
      <c r="CD22" s="144" t="s">
        <v>128</v>
      </c>
      <c r="CE22" s="507"/>
      <c r="CF22" s="311">
        <f t="shared" si="0"/>
        <v>3</v>
      </c>
      <c r="CG22" s="76">
        <f t="shared" si="1"/>
        <v>3</v>
      </c>
      <c r="CH22" s="27"/>
      <c r="CI22" s="28"/>
      <c r="CJ22" s="543" t="s">
        <v>327</v>
      </c>
      <c r="CK22" s="544"/>
    </row>
    <row r="23" spans="1:89" ht="15" customHeight="1">
      <c r="A23" s="31">
        <v>19</v>
      </c>
      <c r="B23" s="144" t="s">
        <v>129</v>
      </c>
      <c r="C23" s="507"/>
      <c r="D23" s="14"/>
      <c r="E23" s="65"/>
      <c r="F23" s="14" t="s">
        <v>224</v>
      </c>
      <c r="G23" s="65"/>
      <c r="H23" s="14"/>
      <c r="I23" s="65"/>
      <c r="J23" s="14" t="s">
        <v>224</v>
      </c>
      <c r="K23" s="65"/>
      <c r="L23" s="14" t="s">
        <v>41</v>
      </c>
      <c r="M23" s="65"/>
      <c r="N23" s="14"/>
      <c r="O23" s="58" t="s">
        <v>51</v>
      </c>
      <c r="P23" s="14"/>
      <c r="Q23" s="65"/>
      <c r="R23" s="15"/>
      <c r="S23" s="65" t="s">
        <v>136</v>
      </c>
      <c r="T23" s="15" t="s">
        <v>41</v>
      </c>
      <c r="U23" s="65"/>
      <c r="V23" s="235" t="s">
        <v>57</v>
      </c>
      <c r="W23" s="65"/>
      <c r="X23" s="15"/>
      <c r="Y23" s="65"/>
      <c r="Z23" s="14"/>
      <c r="AA23" s="65"/>
      <c r="AB23" s="14"/>
      <c r="AC23" s="65"/>
      <c r="AD23" s="15"/>
      <c r="AE23" s="65"/>
      <c r="AF23" s="14"/>
      <c r="AG23" s="65"/>
      <c r="AH23" s="14"/>
      <c r="AI23" s="65"/>
      <c r="AJ23" s="14"/>
      <c r="AK23" s="65"/>
      <c r="AL23" s="14"/>
      <c r="AM23" s="65"/>
      <c r="AN23" s="33" t="s">
        <v>57</v>
      </c>
      <c r="AO23" s="65"/>
      <c r="AP23" s="531" t="s">
        <v>301</v>
      </c>
      <c r="AQ23" s="532"/>
      <c r="AR23" s="33"/>
      <c r="AS23" s="34"/>
      <c r="AT23" s="31">
        <v>19</v>
      </c>
      <c r="AU23" s="144" t="s">
        <v>129</v>
      </c>
      <c r="AV23" s="507"/>
      <c r="AW23" s="14"/>
      <c r="AX23" s="70"/>
      <c r="AY23" s="72"/>
      <c r="AZ23" s="70"/>
      <c r="BA23" s="72"/>
      <c r="BB23" s="72" t="s">
        <v>41</v>
      </c>
      <c r="BC23" s="58"/>
      <c r="BD23" s="70"/>
      <c r="BE23" s="14"/>
      <c r="BF23" s="70"/>
      <c r="BG23" s="72"/>
      <c r="BH23" s="70"/>
      <c r="BI23" s="72"/>
      <c r="BJ23" s="69" t="s">
        <v>57</v>
      </c>
      <c r="BK23" s="58"/>
      <c r="BL23" s="70"/>
      <c r="BM23" s="37"/>
      <c r="BN23" s="299" t="s">
        <v>57</v>
      </c>
      <c r="BO23" s="69"/>
      <c r="BP23" s="67" t="s">
        <v>34</v>
      </c>
      <c r="BQ23" s="69"/>
      <c r="BR23" s="69" t="s">
        <v>34</v>
      </c>
      <c r="BS23" s="87"/>
      <c r="BT23" s="80" t="s">
        <v>34</v>
      </c>
      <c r="BU23" s="87"/>
      <c r="BV23" s="67"/>
      <c r="BW23" s="72"/>
      <c r="BX23" s="71" t="s">
        <v>33</v>
      </c>
      <c r="BY23" s="72"/>
      <c r="BZ23" s="73" t="s">
        <v>33</v>
      </c>
      <c r="CA23" s="58"/>
      <c r="CB23" s="71" t="s">
        <v>33</v>
      </c>
      <c r="CC23" s="31">
        <v>19</v>
      </c>
      <c r="CD23" s="144" t="s">
        <v>129</v>
      </c>
      <c r="CE23" s="507"/>
      <c r="CF23" s="311">
        <f t="shared" si="0"/>
        <v>3</v>
      </c>
      <c r="CG23" s="76">
        <f t="shared" si="1"/>
        <v>3</v>
      </c>
      <c r="CH23" s="27"/>
      <c r="CI23" s="28"/>
      <c r="CJ23" s="545"/>
      <c r="CK23" s="546"/>
    </row>
    <row r="24" spans="1:89" ht="15" customHeight="1">
      <c r="A24" s="22">
        <v>20</v>
      </c>
      <c r="B24" s="13" t="s">
        <v>130</v>
      </c>
      <c r="C24" s="507"/>
      <c r="D24" s="16"/>
      <c r="E24" s="17"/>
      <c r="F24" s="16"/>
      <c r="G24" s="17"/>
      <c r="H24" s="16"/>
      <c r="I24" s="17" t="s">
        <v>53</v>
      </c>
      <c r="J24" s="266" t="s">
        <v>57</v>
      </c>
      <c r="K24" s="17"/>
      <c r="L24" s="16"/>
      <c r="M24" s="17"/>
      <c r="N24" s="16"/>
      <c r="O24" s="59"/>
      <c r="P24" s="16"/>
      <c r="Q24" s="17"/>
      <c r="R24" s="18"/>
      <c r="S24" s="17"/>
      <c r="T24" s="18"/>
      <c r="U24" s="17"/>
      <c r="V24" s="235" t="s">
        <v>57</v>
      </c>
      <c r="W24" s="17"/>
      <c r="X24" s="18"/>
      <c r="Y24" s="17"/>
      <c r="Z24" s="16"/>
      <c r="AA24" s="17"/>
      <c r="AB24" s="16"/>
      <c r="AC24" s="17"/>
      <c r="AD24" s="18"/>
      <c r="AE24" s="17"/>
      <c r="AF24" s="16"/>
      <c r="AG24" s="17" t="s">
        <v>137</v>
      </c>
      <c r="AH24" s="16"/>
      <c r="AI24" s="17"/>
      <c r="AJ24" s="16"/>
      <c r="AK24" s="17"/>
      <c r="AL24" s="16"/>
      <c r="AM24" s="17"/>
      <c r="AN24" s="33" t="s">
        <v>57</v>
      </c>
      <c r="AO24" s="17"/>
      <c r="AP24" s="511" t="s">
        <v>304</v>
      </c>
      <c r="AQ24" s="512"/>
      <c r="AR24" s="104"/>
      <c r="AS24" s="105"/>
      <c r="AT24" s="22">
        <v>20</v>
      </c>
      <c r="AU24" s="13" t="s">
        <v>130</v>
      </c>
      <c r="AV24" s="507"/>
      <c r="AW24" s="16"/>
      <c r="AX24" s="71" t="s">
        <v>33</v>
      </c>
      <c r="AY24" s="73"/>
      <c r="AZ24" s="70" t="s">
        <v>61</v>
      </c>
      <c r="BA24" s="73"/>
      <c r="BB24" s="72" t="s">
        <v>61</v>
      </c>
      <c r="BC24" s="59"/>
      <c r="BD24" s="71" t="s">
        <v>33</v>
      </c>
      <c r="BE24" s="16"/>
      <c r="BF24" s="71"/>
      <c r="BG24" s="73"/>
      <c r="BH24" s="71"/>
      <c r="BI24" s="73"/>
      <c r="BJ24" s="69" t="s">
        <v>57</v>
      </c>
      <c r="BK24" s="59"/>
      <c r="BL24" s="71"/>
      <c r="BM24" s="38"/>
      <c r="BN24" s="299" t="s">
        <v>57</v>
      </c>
      <c r="BO24" s="73"/>
      <c r="BP24" s="71"/>
      <c r="BQ24" s="73"/>
      <c r="BR24" s="73"/>
      <c r="BS24" s="18"/>
      <c r="BT24" s="17"/>
      <c r="BU24" s="110"/>
      <c r="BV24" s="66"/>
      <c r="BW24" s="68"/>
      <c r="BX24" s="66" t="s">
        <v>34</v>
      </c>
      <c r="BY24" s="68"/>
      <c r="BZ24" s="68" t="s">
        <v>34</v>
      </c>
      <c r="CA24" s="110"/>
      <c r="CB24" s="66" t="s">
        <v>34</v>
      </c>
      <c r="CC24" s="22">
        <v>20</v>
      </c>
      <c r="CD24" s="13" t="s">
        <v>130</v>
      </c>
      <c r="CE24" s="507"/>
      <c r="CF24" s="311">
        <f t="shared" si="0"/>
        <v>2</v>
      </c>
      <c r="CG24" s="76">
        <f t="shared" si="1"/>
        <v>3</v>
      </c>
      <c r="CH24" s="27"/>
      <c r="CI24" s="28"/>
      <c r="CJ24" s="449"/>
      <c r="CK24" s="450"/>
    </row>
    <row r="25" spans="1:89" ht="15" customHeight="1">
      <c r="A25" s="22">
        <v>21</v>
      </c>
      <c r="B25" s="13" t="s">
        <v>131</v>
      </c>
      <c r="C25" s="508"/>
      <c r="D25" s="16"/>
      <c r="E25" s="17"/>
      <c r="F25" s="16"/>
      <c r="G25" s="17"/>
      <c r="H25" s="16"/>
      <c r="I25" s="17"/>
      <c r="J25" s="266" t="s">
        <v>57</v>
      </c>
      <c r="K25" s="17"/>
      <c r="L25" s="16"/>
      <c r="M25" s="17"/>
      <c r="N25" s="16"/>
      <c r="O25" s="59"/>
      <c r="P25" s="16"/>
      <c r="Q25" s="17"/>
      <c r="R25" s="18"/>
      <c r="S25" s="17"/>
      <c r="T25" s="18"/>
      <c r="U25" s="17"/>
      <c r="V25" s="235" t="s">
        <v>57</v>
      </c>
      <c r="W25" s="17"/>
      <c r="X25" s="18"/>
      <c r="Y25" s="17" t="s">
        <v>53</v>
      </c>
      <c r="Z25" s="16"/>
      <c r="AA25" s="17"/>
      <c r="AB25" s="16"/>
      <c r="AC25" s="17"/>
      <c r="AD25" s="18"/>
      <c r="AE25" s="17"/>
      <c r="AF25" s="16"/>
      <c r="AG25" s="17" t="s">
        <v>137</v>
      </c>
      <c r="AH25" s="16"/>
      <c r="AI25" s="17"/>
      <c r="AJ25" s="16"/>
      <c r="AK25" s="17"/>
      <c r="AL25" s="16"/>
      <c r="AM25" s="17"/>
      <c r="AN25" s="33" t="s">
        <v>57</v>
      </c>
      <c r="AO25" s="17"/>
      <c r="AP25" s="529"/>
      <c r="AQ25" s="530"/>
      <c r="AR25" s="104"/>
      <c r="AS25" s="105"/>
      <c r="AT25" s="22">
        <v>21</v>
      </c>
      <c r="AU25" s="13" t="s">
        <v>131</v>
      </c>
      <c r="AV25" s="508"/>
      <c r="AW25" s="16"/>
      <c r="AX25" s="66" t="s">
        <v>34</v>
      </c>
      <c r="AY25" s="68"/>
      <c r="AZ25" s="66" t="s">
        <v>34</v>
      </c>
      <c r="BA25" s="68"/>
      <c r="BB25" s="72" t="s">
        <v>61</v>
      </c>
      <c r="BC25" s="110"/>
      <c r="BD25" s="66" t="s">
        <v>34</v>
      </c>
      <c r="BE25" s="16"/>
      <c r="BF25" s="66" t="s">
        <v>33</v>
      </c>
      <c r="BG25" s="73"/>
      <c r="BH25" s="71" t="s">
        <v>33</v>
      </c>
      <c r="BI25" s="73"/>
      <c r="BJ25" s="69" t="s">
        <v>57</v>
      </c>
      <c r="BK25" s="59"/>
      <c r="BL25" s="71" t="s">
        <v>33</v>
      </c>
      <c r="BM25" s="38"/>
      <c r="BN25" s="299" t="s">
        <v>57</v>
      </c>
      <c r="BO25" s="73"/>
      <c r="BP25" s="188" t="s">
        <v>47</v>
      </c>
      <c r="BQ25" s="73"/>
      <c r="BR25" s="73"/>
      <c r="BS25" s="18"/>
      <c r="BT25" s="17"/>
      <c r="BU25" s="110"/>
      <c r="BV25" s="66"/>
      <c r="BW25" s="68"/>
      <c r="BX25" s="66"/>
      <c r="BY25" s="68"/>
      <c r="BZ25" s="68"/>
      <c r="CA25" s="83"/>
      <c r="CB25" s="66"/>
      <c r="CC25" s="22">
        <v>21</v>
      </c>
      <c r="CD25" s="13" t="s">
        <v>131</v>
      </c>
      <c r="CE25" s="508"/>
      <c r="CF25" s="311">
        <f t="shared" si="0"/>
        <v>3</v>
      </c>
      <c r="CG25" s="76">
        <f t="shared" si="1"/>
        <v>4</v>
      </c>
      <c r="CH25" s="27"/>
      <c r="CI25" s="28"/>
      <c r="CJ25" s="449"/>
      <c r="CK25" s="450"/>
    </row>
    <row r="26" spans="1:89" ht="15" customHeight="1">
      <c r="A26" s="31">
        <v>22</v>
      </c>
      <c r="B26" s="144" t="s">
        <v>132</v>
      </c>
      <c r="C26" s="506">
        <v>13</v>
      </c>
      <c r="D26" s="14"/>
      <c r="E26" s="65" t="s">
        <v>51</v>
      </c>
      <c r="F26" s="14" t="s">
        <v>41</v>
      </c>
      <c r="G26" s="65"/>
      <c r="H26" s="15" t="s">
        <v>41</v>
      </c>
      <c r="I26" s="65"/>
      <c r="J26" s="14" t="s">
        <v>57</v>
      </c>
      <c r="K26" s="65"/>
      <c r="L26" s="112"/>
      <c r="M26" s="65"/>
      <c r="N26" s="14"/>
      <c r="O26" s="58"/>
      <c r="P26" s="14"/>
      <c r="Q26" s="65"/>
      <c r="R26" s="15" t="s">
        <v>41</v>
      </c>
      <c r="S26" s="65"/>
      <c r="T26" s="15" t="s">
        <v>41</v>
      </c>
      <c r="U26" s="65" t="s">
        <v>136</v>
      </c>
      <c r="V26" s="235" t="s">
        <v>57</v>
      </c>
      <c r="W26" s="65"/>
      <c r="X26" s="15"/>
      <c r="Y26" s="65"/>
      <c r="Z26" s="14"/>
      <c r="AA26" s="65"/>
      <c r="AB26" s="14"/>
      <c r="AC26" s="65"/>
      <c r="AD26" s="15"/>
      <c r="AE26" s="65"/>
      <c r="AF26" s="14" t="s">
        <v>41</v>
      </c>
      <c r="AG26" s="65"/>
      <c r="AH26" s="14"/>
      <c r="AI26" s="65"/>
      <c r="AJ26" s="14"/>
      <c r="AK26" s="65"/>
      <c r="AL26" s="14" t="s">
        <v>41</v>
      </c>
      <c r="AM26" s="65"/>
      <c r="AN26" s="33" t="s">
        <v>57</v>
      </c>
      <c r="AO26" s="65"/>
      <c r="AP26" s="531" t="s">
        <v>301</v>
      </c>
      <c r="AQ26" s="532"/>
      <c r="AR26" s="33"/>
      <c r="AS26" s="34"/>
      <c r="AT26" s="31">
        <v>22</v>
      </c>
      <c r="AU26" s="144" t="s">
        <v>132</v>
      </c>
      <c r="AV26" s="506">
        <v>13</v>
      </c>
      <c r="AW26" s="14"/>
      <c r="AX26" s="70"/>
      <c r="AY26" s="72"/>
      <c r="AZ26" s="70"/>
      <c r="BA26" s="72"/>
      <c r="BB26" s="72" t="s">
        <v>41</v>
      </c>
      <c r="BC26" s="58"/>
      <c r="BD26" s="261"/>
      <c r="BE26" s="14"/>
      <c r="BF26" s="67" t="s">
        <v>34</v>
      </c>
      <c r="BG26" s="69"/>
      <c r="BH26" s="67" t="s">
        <v>34</v>
      </c>
      <c r="BI26" s="69"/>
      <c r="BJ26" s="69" t="s">
        <v>57</v>
      </c>
      <c r="BK26" s="87"/>
      <c r="BL26" s="67" t="s">
        <v>34</v>
      </c>
      <c r="BM26" s="37"/>
      <c r="BN26" s="299" t="s">
        <v>57</v>
      </c>
      <c r="BO26" s="72"/>
      <c r="BP26" s="71" t="s">
        <v>41</v>
      </c>
      <c r="BQ26" s="72"/>
      <c r="BR26" s="73" t="s">
        <v>33</v>
      </c>
      <c r="BS26" s="58"/>
      <c r="BT26" s="17" t="s">
        <v>33</v>
      </c>
      <c r="BU26" s="87"/>
      <c r="BV26" s="67"/>
      <c r="BW26" s="69"/>
      <c r="BX26" s="67"/>
      <c r="BY26" s="69"/>
      <c r="BZ26" s="69"/>
      <c r="CA26" s="97"/>
      <c r="CB26" s="67"/>
      <c r="CC26" s="31">
        <v>22</v>
      </c>
      <c r="CD26" s="144" t="s">
        <v>132</v>
      </c>
      <c r="CE26" s="506">
        <v>12</v>
      </c>
      <c r="CF26" s="311">
        <f t="shared" si="0"/>
        <v>2</v>
      </c>
      <c r="CG26" s="76">
        <f t="shared" si="1"/>
        <v>3</v>
      </c>
      <c r="CH26" s="27"/>
      <c r="CI26" s="28"/>
      <c r="CJ26" s="449"/>
      <c r="CK26" s="450"/>
    </row>
    <row r="27" spans="1:89" ht="15" customHeight="1">
      <c r="A27" s="31">
        <v>23</v>
      </c>
      <c r="B27" s="144" t="s">
        <v>133</v>
      </c>
      <c r="C27" s="507"/>
      <c r="D27" s="14"/>
      <c r="E27" s="65"/>
      <c r="F27" s="14"/>
      <c r="G27" s="65" t="s">
        <v>136</v>
      </c>
      <c r="H27" s="14"/>
      <c r="I27" s="65"/>
      <c r="J27" s="14" t="s">
        <v>57</v>
      </c>
      <c r="K27" s="65"/>
      <c r="L27" s="14"/>
      <c r="M27" s="65"/>
      <c r="N27" s="14"/>
      <c r="O27" s="58" t="s">
        <v>51</v>
      </c>
      <c r="P27" s="14"/>
      <c r="Q27" s="65"/>
      <c r="R27" s="15"/>
      <c r="S27" s="65"/>
      <c r="T27" s="15"/>
      <c r="U27" s="65"/>
      <c r="V27" s="235" t="s">
        <v>57</v>
      </c>
      <c r="W27" s="65"/>
      <c r="X27" s="15"/>
      <c r="Y27" s="65"/>
      <c r="Z27" s="15"/>
      <c r="AA27" s="65"/>
      <c r="AB27" s="14"/>
      <c r="AC27" s="65"/>
      <c r="AD27" s="15"/>
      <c r="AE27" s="65"/>
      <c r="AF27" s="15"/>
      <c r="AG27" s="65"/>
      <c r="AH27" s="14"/>
      <c r="AI27" s="65"/>
      <c r="AJ27" s="14"/>
      <c r="AK27" s="65"/>
      <c r="AL27" s="14"/>
      <c r="AM27" s="65"/>
      <c r="AN27" s="33" t="s">
        <v>57</v>
      </c>
      <c r="AO27" s="65"/>
      <c r="AP27" s="523"/>
      <c r="AQ27" s="524"/>
      <c r="AR27" s="33"/>
      <c r="AS27" s="34"/>
      <c r="AT27" s="31">
        <v>23</v>
      </c>
      <c r="AU27" s="144" t="s">
        <v>133</v>
      </c>
      <c r="AV27" s="507"/>
      <c r="AW27" s="14"/>
      <c r="AX27" s="196" t="s">
        <v>40</v>
      </c>
      <c r="AY27" s="72"/>
      <c r="AZ27" s="70"/>
      <c r="BA27" s="72"/>
      <c r="BB27" s="72" t="s">
        <v>41</v>
      </c>
      <c r="BC27" s="58"/>
      <c r="BD27" s="261"/>
      <c r="BE27" s="14"/>
      <c r="BF27" s="70"/>
      <c r="BG27" s="72"/>
      <c r="BH27" s="70"/>
      <c r="BI27" s="72"/>
      <c r="BJ27" s="69" t="s">
        <v>57</v>
      </c>
      <c r="BK27" s="58"/>
      <c r="BL27" s="70"/>
      <c r="BM27" s="37"/>
      <c r="BN27" s="299" t="s">
        <v>57</v>
      </c>
      <c r="BO27" s="69"/>
      <c r="BP27" s="71" t="s">
        <v>34</v>
      </c>
      <c r="BQ27" s="69"/>
      <c r="BR27" s="69" t="s">
        <v>34</v>
      </c>
      <c r="BS27" s="87"/>
      <c r="BT27" s="80" t="s">
        <v>34</v>
      </c>
      <c r="BU27" s="87"/>
      <c r="BV27" s="67"/>
      <c r="BW27" s="72"/>
      <c r="BX27" s="71" t="s">
        <v>33</v>
      </c>
      <c r="BY27" s="72"/>
      <c r="BZ27" s="73" t="s">
        <v>33</v>
      </c>
      <c r="CA27" s="58"/>
      <c r="CB27" s="188" t="s">
        <v>33</v>
      </c>
      <c r="CC27" s="31">
        <v>23</v>
      </c>
      <c r="CD27" s="144" t="s">
        <v>133</v>
      </c>
      <c r="CE27" s="507"/>
      <c r="CF27" s="311">
        <f t="shared" si="0"/>
        <v>4</v>
      </c>
      <c r="CG27" s="76">
        <f t="shared" si="1"/>
        <v>3</v>
      </c>
      <c r="CH27" s="27"/>
      <c r="CI27" s="28"/>
      <c r="CJ27" s="449"/>
      <c r="CK27" s="450"/>
    </row>
    <row r="28" spans="1:89" ht="15" customHeight="1">
      <c r="A28" s="31">
        <v>24</v>
      </c>
      <c r="B28" s="144" t="s">
        <v>127</v>
      </c>
      <c r="C28" s="507"/>
      <c r="D28" s="14"/>
      <c r="E28" s="65"/>
      <c r="F28" s="14"/>
      <c r="G28" s="65" t="s">
        <v>136</v>
      </c>
      <c r="H28" s="14"/>
      <c r="I28" s="65"/>
      <c r="J28" s="14" t="s">
        <v>57</v>
      </c>
      <c r="K28" s="65"/>
      <c r="L28" s="14" t="s">
        <v>41</v>
      </c>
      <c r="M28" s="65" t="s">
        <v>136</v>
      </c>
      <c r="N28" s="14"/>
      <c r="O28" s="58"/>
      <c r="P28" s="14" t="s">
        <v>41</v>
      </c>
      <c r="Q28" s="65"/>
      <c r="R28" s="15"/>
      <c r="S28" s="65"/>
      <c r="T28" s="15"/>
      <c r="U28" s="65"/>
      <c r="V28" s="235" t="s">
        <v>57</v>
      </c>
      <c r="W28" s="65"/>
      <c r="X28" s="15"/>
      <c r="Y28" s="65"/>
      <c r="Z28" s="14"/>
      <c r="AA28" s="65"/>
      <c r="AB28" s="14"/>
      <c r="AC28" s="65"/>
      <c r="AD28" s="15"/>
      <c r="AE28" s="65" t="s">
        <v>51</v>
      </c>
      <c r="AF28" s="14"/>
      <c r="AG28" s="65"/>
      <c r="AH28" s="14"/>
      <c r="AI28" s="65"/>
      <c r="AJ28" s="14" t="s">
        <v>65</v>
      </c>
      <c r="AK28" s="65"/>
      <c r="AL28" s="14"/>
      <c r="AM28" s="65"/>
      <c r="AN28" s="33" t="s">
        <v>57</v>
      </c>
      <c r="AO28" s="65"/>
      <c r="AP28" s="523"/>
      <c r="AQ28" s="524"/>
      <c r="AR28" s="33"/>
      <c r="AS28" s="34"/>
      <c r="AT28" s="31">
        <v>24</v>
      </c>
      <c r="AU28" s="144" t="s">
        <v>127</v>
      </c>
      <c r="AV28" s="507"/>
      <c r="AW28" s="14"/>
      <c r="AX28" s="71" t="s">
        <v>33</v>
      </c>
      <c r="AY28" s="72"/>
      <c r="AZ28" s="71" t="s">
        <v>33</v>
      </c>
      <c r="BA28" s="72"/>
      <c r="BB28" s="72" t="s">
        <v>33</v>
      </c>
      <c r="BC28" s="58"/>
      <c r="BD28" s="71" t="s">
        <v>33</v>
      </c>
      <c r="BE28" s="14"/>
      <c r="BF28" s="70"/>
      <c r="BG28" s="72"/>
      <c r="BH28" s="70"/>
      <c r="BI28" s="72"/>
      <c r="BJ28" s="69" t="s">
        <v>57</v>
      </c>
      <c r="BK28" s="58"/>
      <c r="BL28" s="70"/>
      <c r="BM28" s="37"/>
      <c r="BN28" s="299" t="s">
        <v>57</v>
      </c>
      <c r="BO28" s="72"/>
      <c r="BP28" s="261"/>
      <c r="BQ28" s="72"/>
      <c r="BR28" s="72"/>
      <c r="BS28" s="15"/>
      <c r="BT28" s="275" t="s">
        <v>47</v>
      </c>
      <c r="BU28" s="87"/>
      <c r="BV28" s="67"/>
      <c r="BW28" s="69"/>
      <c r="BX28" s="67" t="s">
        <v>34</v>
      </c>
      <c r="BY28" s="69"/>
      <c r="BZ28" s="69" t="s">
        <v>34</v>
      </c>
      <c r="CA28" s="87"/>
      <c r="CB28" s="67" t="s">
        <v>34</v>
      </c>
      <c r="CC28" s="31">
        <v>24</v>
      </c>
      <c r="CD28" s="144" t="s">
        <v>127</v>
      </c>
      <c r="CE28" s="507"/>
      <c r="CF28" s="311">
        <f t="shared" si="0"/>
        <v>4</v>
      </c>
      <c r="CG28" s="76">
        <f t="shared" si="1"/>
        <v>4</v>
      </c>
      <c r="CH28" s="27"/>
      <c r="CI28" s="28"/>
      <c r="CJ28" s="449"/>
      <c r="CK28" s="450"/>
    </row>
    <row r="29" spans="1:89" ht="15" customHeight="1">
      <c r="A29" s="31">
        <v>25</v>
      </c>
      <c r="B29" s="144" t="s">
        <v>128</v>
      </c>
      <c r="C29" s="507"/>
      <c r="D29" s="14"/>
      <c r="E29" s="65"/>
      <c r="F29" s="14" t="s">
        <v>41</v>
      </c>
      <c r="G29" s="65"/>
      <c r="H29" s="14" t="s">
        <v>41</v>
      </c>
      <c r="I29" s="65" t="s">
        <v>51</v>
      </c>
      <c r="J29" s="14" t="s">
        <v>57</v>
      </c>
      <c r="K29" s="65"/>
      <c r="L29" s="14" t="s">
        <v>41</v>
      </c>
      <c r="M29" s="65"/>
      <c r="N29" s="14"/>
      <c r="O29" s="58"/>
      <c r="P29" s="14" t="s">
        <v>41</v>
      </c>
      <c r="Q29" s="65"/>
      <c r="R29" s="14" t="s">
        <v>41</v>
      </c>
      <c r="S29" s="65" t="s">
        <v>136</v>
      </c>
      <c r="T29" s="14" t="s">
        <v>41</v>
      </c>
      <c r="U29" s="65"/>
      <c r="V29" s="235" t="s">
        <v>57</v>
      </c>
      <c r="W29" s="65"/>
      <c r="X29" s="14" t="s">
        <v>41</v>
      </c>
      <c r="Y29" s="65"/>
      <c r="Z29" s="14"/>
      <c r="AA29" s="65"/>
      <c r="AB29" s="14"/>
      <c r="AC29" s="65"/>
      <c r="AD29" s="15"/>
      <c r="AE29" s="65"/>
      <c r="AF29" s="14"/>
      <c r="AG29" s="65"/>
      <c r="AH29" s="14"/>
      <c r="AI29" s="65"/>
      <c r="AJ29" s="14"/>
      <c r="AK29" s="65"/>
      <c r="AL29" s="14"/>
      <c r="AM29" s="65"/>
      <c r="AN29" s="33" t="s">
        <v>57</v>
      </c>
      <c r="AO29" s="65"/>
      <c r="AP29" s="523"/>
      <c r="AQ29" s="524"/>
      <c r="AR29" s="33"/>
      <c r="AS29" s="34"/>
      <c r="AT29" s="31">
        <v>25</v>
      </c>
      <c r="AU29" s="144" t="s">
        <v>128</v>
      </c>
      <c r="AV29" s="507"/>
      <c r="AW29" s="14"/>
      <c r="AX29" s="67" t="s">
        <v>34</v>
      </c>
      <c r="AY29" s="69"/>
      <c r="AZ29" s="67" t="s">
        <v>34</v>
      </c>
      <c r="BA29" s="69"/>
      <c r="BB29" s="186" t="s">
        <v>40</v>
      </c>
      <c r="BC29" s="87"/>
      <c r="BD29" s="67" t="s">
        <v>34</v>
      </c>
      <c r="BE29" s="14"/>
      <c r="BF29" s="71" t="s">
        <v>33</v>
      </c>
      <c r="BG29" s="72"/>
      <c r="BH29" s="71" t="s">
        <v>33</v>
      </c>
      <c r="BI29" s="72"/>
      <c r="BJ29" s="69" t="s">
        <v>57</v>
      </c>
      <c r="BK29" s="58"/>
      <c r="BL29" s="71" t="s">
        <v>33</v>
      </c>
      <c r="BM29" s="37"/>
      <c r="BN29" s="299" t="s">
        <v>57</v>
      </c>
      <c r="BO29" s="72"/>
      <c r="BP29" s="261"/>
      <c r="BQ29" s="72"/>
      <c r="BR29" s="72"/>
      <c r="BS29" s="15"/>
      <c r="BT29" s="65"/>
      <c r="BU29" s="87"/>
      <c r="BV29" s="67"/>
      <c r="BW29" s="69"/>
      <c r="BX29" s="67"/>
      <c r="BY29" s="69"/>
      <c r="BZ29" s="69"/>
      <c r="CA29" s="97"/>
      <c r="CB29" s="67"/>
      <c r="CC29" s="31">
        <v>25</v>
      </c>
      <c r="CD29" s="144" t="s">
        <v>128</v>
      </c>
      <c r="CE29" s="507"/>
      <c r="CF29" s="311">
        <f t="shared" si="0"/>
        <v>4</v>
      </c>
      <c r="CG29" s="76">
        <f t="shared" si="1"/>
        <v>3</v>
      </c>
      <c r="CH29" s="27"/>
      <c r="CI29" s="28"/>
      <c r="CJ29" s="449"/>
      <c r="CK29" s="450"/>
    </row>
    <row r="30" spans="1:89" ht="15" customHeight="1">
      <c r="A30" s="31">
        <v>26</v>
      </c>
      <c r="B30" s="144" t="s">
        <v>129</v>
      </c>
      <c r="C30" s="507"/>
      <c r="D30" s="113"/>
      <c r="E30" s="65"/>
      <c r="F30" s="14" t="s">
        <v>41</v>
      </c>
      <c r="G30" s="65"/>
      <c r="H30" s="113"/>
      <c r="I30" s="65" t="s">
        <v>51</v>
      </c>
      <c r="J30" s="14" t="s">
        <v>57</v>
      </c>
      <c r="K30" s="65"/>
      <c r="L30" s="113"/>
      <c r="M30" s="65"/>
      <c r="N30" s="14"/>
      <c r="O30" s="58"/>
      <c r="P30" s="14"/>
      <c r="Q30" s="65"/>
      <c r="R30" s="291" t="s">
        <v>192</v>
      </c>
      <c r="S30" s="65"/>
      <c r="T30" s="113"/>
      <c r="U30" s="65" t="s">
        <v>136</v>
      </c>
      <c r="V30" s="235" t="s">
        <v>57</v>
      </c>
      <c r="W30" s="65"/>
      <c r="X30" s="282" t="s">
        <v>336</v>
      </c>
      <c r="Y30" s="65"/>
      <c r="Z30" s="113"/>
      <c r="AA30" s="65"/>
      <c r="AB30" s="113"/>
      <c r="AC30" s="65"/>
      <c r="AD30" s="113"/>
      <c r="AE30" s="65"/>
      <c r="AF30" s="113"/>
      <c r="AG30" s="65"/>
      <c r="AH30" s="113"/>
      <c r="AI30" s="65"/>
      <c r="AJ30" s="14"/>
      <c r="AK30" s="65"/>
      <c r="AL30" s="113"/>
      <c r="AM30" s="65"/>
      <c r="AN30" s="33" t="s">
        <v>57</v>
      </c>
      <c r="AO30" s="65"/>
      <c r="AP30" s="523" t="s">
        <v>335</v>
      </c>
      <c r="AQ30" s="524"/>
      <c r="AR30" s="33"/>
      <c r="AS30" s="34"/>
      <c r="AT30" s="31">
        <v>26</v>
      </c>
      <c r="AU30" s="144" t="s">
        <v>129</v>
      </c>
      <c r="AV30" s="507"/>
      <c r="AW30" s="14"/>
      <c r="AX30" s="261"/>
      <c r="AY30" s="72"/>
      <c r="AZ30" s="70"/>
      <c r="BA30" s="72"/>
      <c r="BB30" s="72" t="s">
        <v>41</v>
      </c>
      <c r="BC30" s="58"/>
      <c r="BD30" s="261"/>
      <c r="BE30" s="14"/>
      <c r="BF30" s="67" t="s">
        <v>61</v>
      </c>
      <c r="BG30" s="69"/>
      <c r="BH30" s="67" t="s">
        <v>34</v>
      </c>
      <c r="BI30" s="69"/>
      <c r="BJ30" s="69" t="s">
        <v>57</v>
      </c>
      <c r="BK30" s="87"/>
      <c r="BL30" s="67" t="s">
        <v>34</v>
      </c>
      <c r="BM30" s="37"/>
      <c r="BN30" s="299" t="s">
        <v>57</v>
      </c>
      <c r="BO30" s="72"/>
      <c r="BP30" s="71" t="s">
        <v>41</v>
      </c>
      <c r="BQ30" s="72"/>
      <c r="BR30" s="73" t="s">
        <v>33</v>
      </c>
      <c r="BS30" s="58"/>
      <c r="BT30" s="275" t="s">
        <v>47</v>
      </c>
      <c r="BU30" s="87"/>
      <c r="BV30" s="67"/>
      <c r="BW30" s="69"/>
      <c r="BX30" s="67"/>
      <c r="BY30" s="69"/>
      <c r="BZ30" s="69"/>
      <c r="CA30" s="97"/>
      <c r="CB30" s="67"/>
      <c r="CC30" s="31">
        <v>26</v>
      </c>
      <c r="CD30" s="144" t="s">
        <v>129</v>
      </c>
      <c r="CE30" s="507"/>
      <c r="CF30" s="311">
        <f t="shared" si="0"/>
        <v>1</v>
      </c>
      <c r="CG30" s="76">
        <f t="shared" si="1"/>
        <v>3</v>
      </c>
      <c r="CH30" s="27"/>
      <c r="CI30" s="28"/>
      <c r="CJ30" s="449"/>
      <c r="CK30" s="450"/>
    </row>
    <row r="31" spans="1:89" ht="15" customHeight="1">
      <c r="A31" s="22">
        <v>27</v>
      </c>
      <c r="B31" s="13" t="s">
        <v>130</v>
      </c>
      <c r="C31" s="507"/>
      <c r="D31" s="16"/>
      <c r="E31" s="17"/>
      <c r="F31" s="16"/>
      <c r="G31" s="17"/>
      <c r="H31" s="16"/>
      <c r="I31" s="17"/>
      <c r="J31" s="14" t="s">
        <v>57</v>
      </c>
      <c r="K31" s="17"/>
      <c r="L31" s="16"/>
      <c r="M31" s="17"/>
      <c r="N31" s="16"/>
      <c r="O31" s="59"/>
      <c r="P31" s="16"/>
      <c r="Q31" s="17" t="s">
        <v>53</v>
      </c>
      <c r="R31" s="18"/>
      <c r="S31" s="17"/>
      <c r="T31" s="18"/>
      <c r="U31" s="17"/>
      <c r="V31" s="235" t="s">
        <v>57</v>
      </c>
      <c r="W31" s="17"/>
      <c r="X31" s="18"/>
      <c r="Y31" s="17"/>
      <c r="Z31" s="16"/>
      <c r="AA31" s="17"/>
      <c r="AB31" s="16"/>
      <c r="AC31" s="17"/>
      <c r="AD31" s="18"/>
      <c r="AE31" s="17"/>
      <c r="AF31" s="16"/>
      <c r="AG31" s="17"/>
      <c r="AH31" s="16"/>
      <c r="AI31" s="17" t="s">
        <v>137</v>
      </c>
      <c r="AJ31" s="16"/>
      <c r="AK31" s="17"/>
      <c r="AL31" s="16"/>
      <c r="AM31" s="17"/>
      <c r="AN31" s="33" t="s">
        <v>57</v>
      </c>
      <c r="AO31" s="17"/>
      <c r="AP31" s="529" t="s">
        <v>274</v>
      </c>
      <c r="AQ31" s="530"/>
      <c r="AR31" s="104"/>
      <c r="AS31" s="105"/>
      <c r="AT31" s="22">
        <v>27</v>
      </c>
      <c r="AU31" s="13" t="s">
        <v>130</v>
      </c>
      <c r="AV31" s="507"/>
      <c r="AW31" s="16"/>
      <c r="AX31" s="71"/>
      <c r="AY31" s="73"/>
      <c r="AZ31" s="71"/>
      <c r="BA31" s="73"/>
      <c r="BB31" s="73"/>
      <c r="BC31" s="59"/>
      <c r="BD31" s="71"/>
      <c r="BE31" s="16"/>
      <c r="BF31" s="71"/>
      <c r="BG31" s="73"/>
      <c r="BH31" s="71"/>
      <c r="BI31" s="73"/>
      <c r="BJ31" s="69" t="s">
        <v>57</v>
      </c>
      <c r="BK31" s="59"/>
      <c r="BL31" s="71"/>
      <c r="BM31" s="38"/>
      <c r="BN31" s="299" t="s">
        <v>57</v>
      </c>
      <c r="BO31" s="68"/>
      <c r="BP31" s="66" t="s">
        <v>34</v>
      </c>
      <c r="BQ31" s="68"/>
      <c r="BR31" s="68" t="s">
        <v>34</v>
      </c>
      <c r="BS31" s="110"/>
      <c r="BT31" s="80" t="s">
        <v>61</v>
      </c>
      <c r="BU31" s="110"/>
      <c r="BV31" s="66"/>
      <c r="BW31" s="73"/>
      <c r="BX31" s="70" t="s">
        <v>61</v>
      </c>
      <c r="BY31" s="73"/>
      <c r="BZ31" s="73" t="s">
        <v>33</v>
      </c>
      <c r="CA31" s="59"/>
      <c r="CB31" s="71" t="s">
        <v>33</v>
      </c>
      <c r="CC31" s="22">
        <v>27</v>
      </c>
      <c r="CD31" s="13" t="s">
        <v>130</v>
      </c>
      <c r="CE31" s="507"/>
      <c r="CF31" s="311">
        <f t="shared" si="0"/>
        <v>2</v>
      </c>
      <c r="CG31" s="76">
        <f t="shared" si="1"/>
        <v>2</v>
      </c>
      <c r="CH31" s="27"/>
      <c r="CI31" s="28"/>
      <c r="CJ31" s="268" t="s">
        <v>334</v>
      </c>
      <c r="CK31" s="267"/>
    </row>
    <row r="32" spans="1:89" ht="15" customHeight="1">
      <c r="A32" s="22">
        <v>28</v>
      </c>
      <c r="B32" s="13" t="s">
        <v>131</v>
      </c>
      <c r="C32" s="508"/>
      <c r="D32" s="16"/>
      <c r="E32" s="17"/>
      <c r="F32" s="16"/>
      <c r="G32" s="17"/>
      <c r="H32" s="16"/>
      <c r="I32" s="17"/>
      <c r="J32" s="14" t="s">
        <v>57</v>
      </c>
      <c r="K32" s="17"/>
      <c r="L32" s="16"/>
      <c r="M32" s="17"/>
      <c r="N32" s="16"/>
      <c r="O32" s="59" t="s">
        <v>53</v>
      </c>
      <c r="P32" s="16"/>
      <c r="Q32" s="17"/>
      <c r="R32" s="18"/>
      <c r="S32" s="17"/>
      <c r="T32" s="18"/>
      <c r="U32" s="17"/>
      <c r="V32" s="235" t="s">
        <v>57</v>
      </c>
      <c r="W32" s="17"/>
      <c r="X32" s="18"/>
      <c r="Y32" s="17"/>
      <c r="Z32" s="16"/>
      <c r="AA32" s="17"/>
      <c r="AB32" s="16"/>
      <c r="AC32" s="17"/>
      <c r="AD32" s="18"/>
      <c r="AE32" s="17" t="s">
        <v>137</v>
      </c>
      <c r="AF32" s="16"/>
      <c r="AG32" s="17"/>
      <c r="AH32" s="16"/>
      <c r="AI32" s="17"/>
      <c r="AJ32" s="16"/>
      <c r="AK32" s="17"/>
      <c r="AL32" s="16"/>
      <c r="AM32" s="17"/>
      <c r="AN32" s="33" t="s">
        <v>57</v>
      </c>
      <c r="AO32" s="17"/>
      <c r="AP32" s="525"/>
      <c r="AQ32" s="526"/>
      <c r="AR32" s="104"/>
      <c r="AS32" s="105"/>
      <c r="AT32" s="22">
        <v>28</v>
      </c>
      <c r="AU32" s="13" t="s">
        <v>131</v>
      </c>
      <c r="AV32" s="508"/>
      <c r="AW32" s="16"/>
      <c r="AX32" s="71" t="s">
        <v>33</v>
      </c>
      <c r="AY32" s="73"/>
      <c r="AZ32" s="71" t="s">
        <v>33</v>
      </c>
      <c r="BA32" s="73"/>
      <c r="BB32" s="72" t="s">
        <v>61</v>
      </c>
      <c r="BC32" s="59"/>
      <c r="BD32" s="71" t="s">
        <v>33</v>
      </c>
      <c r="BE32" s="16"/>
      <c r="BF32" s="71"/>
      <c r="BG32" s="73"/>
      <c r="BH32" s="71"/>
      <c r="BI32" s="73"/>
      <c r="BJ32" s="69" t="s">
        <v>57</v>
      </c>
      <c r="BK32" s="59"/>
      <c r="BL32" s="71"/>
      <c r="BM32" s="38"/>
      <c r="BN32" s="299" t="s">
        <v>57</v>
      </c>
      <c r="BO32" s="73"/>
      <c r="BP32" s="71"/>
      <c r="BQ32" s="73"/>
      <c r="BR32" s="73"/>
      <c r="BS32" s="18"/>
      <c r="BT32" s="275" t="s">
        <v>47</v>
      </c>
      <c r="BU32" s="110"/>
      <c r="BV32" s="66"/>
      <c r="BW32" s="68"/>
      <c r="BX32" s="66" t="s">
        <v>34</v>
      </c>
      <c r="BY32" s="68"/>
      <c r="BZ32" s="68" t="s">
        <v>34</v>
      </c>
      <c r="CA32" s="110"/>
      <c r="CB32" s="66" t="s">
        <v>34</v>
      </c>
      <c r="CC32" s="22">
        <v>28</v>
      </c>
      <c r="CD32" s="13" t="s">
        <v>131</v>
      </c>
      <c r="CE32" s="508"/>
      <c r="CF32" s="311">
        <f t="shared" si="0"/>
        <v>3</v>
      </c>
      <c r="CG32" s="76">
        <f t="shared" si="1"/>
        <v>4</v>
      </c>
      <c r="CH32" s="27"/>
      <c r="CI32" s="28"/>
      <c r="CJ32" s="449"/>
      <c r="CK32" s="450"/>
    </row>
    <row r="33" spans="1:89" ht="15" customHeight="1">
      <c r="A33" s="31">
        <v>29</v>
      </c>
      <c r="B33" s="144" t="s">
        <v>132</v>
      </c>
      <c r="C33" s="506">
        <v>14</v>
      </c>
      <c r="D33" s="14"/>
      <c r="E33" s="65"/>
      <c r="F33" s="14"/>
      <c r="G33" s="65"/>
      <c r="H33" s="14"/>
      <c r="I33" s="65" t="s">
        <v>51</v>
      </c>
      <c r="J33" s="14" t="s">
        <v>57</v>
      </c>
      <c r="K33" s="65"/>
      <c r="L33" s="14"/>
      <c r="M33" s="65"/>
      <c r="N33" s="14"/>
      <c r="O33" s="58"/>
      <c r="P33" s="14"/>
      <c r="Q33" s="65"/>
      <c r="R33" s="15"/>
      <c r="S33" s="65"/>
      <c r="T33" s="15"/>
      <c r="U33" s="65"/>
      <c r="V33" s="235" t="s">
        <v>41</v>
      </c>
      <c r="W33" s="65" t="s">
        <v>136</v>
      </c>
      <c r="X33" s="15"/>
      <c r="Y33" s="65"/>
      <c r="Z33" s="14"/>
      <c r="AA33" s="65"/>
      <c r="AB33" s="14"/>
      <c r="AC33" s="65"/>
      <c r="AD33" s="15"/>
      <c r="AE33" s="65"/>
      <c r="AF33" s="14"/>
      <c r="AG33" s="65"/>
      <c r="AH33" s="14"/>
      <c r="AI33" s="65"/>
      <c r="AJ33" s="14" t="s">
        <v>65</v>
      </c>
      <c r="AK33" s="65"/>
      <c r="AL33" s="14"/>
      <c r="AM33" s="65"/>
      <c r="AN33" s="33" t="s">
        <v>57</v>
      </c>
      <c r="AO33" s="65"/>
      <c r="AP33" s="509"/>
      <c r="AQ33" s="510"/>
      <c r="AR33" s="33"/>
      <c r="AS33" s="34"/>
      <c r="AT33" s="31">
        <v>29</v>
      </c>
      <c r="AU33" s="144" t="s">
        <v>132</v>
      </c>
      <c r="AV33" s="506">
        <v>14</v>
      </c>
      <c r="AW33" s="14"/>
      <c r="AX33" s="67" t="s">
        <v>34</v>
      </c>
      <c r="AY33" s="69"/>
      <c r="AZ33" s="67" t="s">
        <v>34</v>
      </c>
      <c r="BA33" s="69"/>
      <c r="BB33" s="186" t="s">
        <v>40</v>
      </c>
      <c r="BC33" s="87"/>
      <c r="BD33" s="67" t="s">
        <v>34</v>
      </c>
      <c r="BE33" s="14"/>
      <c r="BF33" s="71" t="s">
        <v>33</v>
      </c>
      <c r="BG33" s="72"/>
      <c r="BH33" s="71" t="s">
        <v>33</v>
      </c>
      <c r="BI33" s="72"/>
      <c r="BJ33" s="69" t="s">
        <v>57</v>
      </c>
      <c r="BK33" s="58"/>
      <c r="BL33" s="71" t="s">
        <v>33</v>
      </c>
      <c r="BM33" s="37"/>
      <c r="BN33" s="299" t="s">
        <v>57</v>
      </c>
      <c r="BO33" s="72"/>
      <c r="BP33" s="70"/>
      <c r="BQ33" s="72"/>
      <c r="BR33" s="72"/>
      <c r="BS33" s="15"/>
      <c r="BT33" s="65"/>
      <c r="BU33" s="87"/>
      <c r="BV33" s="67"/>
      <c r="BW33" s="69"/>
      <c r="BX33" s="67"/>
      <c r="BY33" s="69"/>
      <c r="BZ33" s="69"/>
      <c r="CA33" s="97"/>
      <c r="CB33" s="67"/>
      <c r="CC33" s="31">
        <v>29</v>
      </c>
      <c r="CD33" s="144" t="s">
        <v>132</v>
      </c>
      <c r="CE33" s="506">
        <v>13</v>
      </c>
      <c r="CF33" s="311">
        <f t="shared" si="0"/>
        <v>4</v>
      </c>
      <c r="CG33" s="76">
        <f t="shared" si="1"/>
        <v>3</v>
      </c>
      <c r="CH33" s="27"/>
      <c r="CI33" s="28"/>
      <c r="CJ33" s="449"/>
      <c r="CK33" s="450"/>
    </row>
    <row r="34" spans="1:89" ht="15" customHeight="1">
      <c r="A34" s="31">
        <v>30</v>
      </c>
      <c r="B34" s="144" t="s">
        <v>133</v>
      </c>
      <c r="C34" s="507"/>
      <c r="D34" s="14"/>
      <c r="E34" s="65"/>
      <c r="F34" s="14"/>
      <c r="G34" s="65"/>
      <c r="H34" s="14"/>
      <c r="I34" s="65"/>
      <c r="J34" s="14" t="s">
        <v>57</v>
      </c>
      <c r="K34" s="65"/>
      <c r="L34" s="14"/>
      <c r="M34" s="65"/>
      <c r="N34" s="14"/>
      <c r="O34" s="58"/>
      <c r="P34" s="14"/>
      <c r="Q34" s="65"/>
      <c r="R34" s="15"/>
      <c r="S34" s="65"/>
      <c r="T34" s="15"/>
      <c r="U34" s="65"/>
      <c r="V34" s="235" t="s">
        <v>41</v>
      </c>
      <c r="W34" s="65" t="s">
        <v>51</v>
      </c>
      <c r="X34" s="15"/>
      <c r="Y34" s="65"/>
      <c r="Z34" s="15"/>
      <c r="AA34" s="65"/>
      <c r="AB34" s="14"/>
      <c r="AC34" s="65"/>
      <c r="AD34" s="15"/>
      <c r="AE34" s="65"/>
      <c r="AF34" s="15"/>
      <c r="AG34" s="65"/>
      <c r="AH34" s="14"/>
      <c r="AI34" s="65"/>
      <c r="AJ34" s="14"/>
      <c r="AK34" s="65"/>
      <c r="AL34" s="14"/>
      <c r="AM34" s="65" t="s">
        <v>136</v>
      </c>
      <c r="AN34" s="33" t="s">
        <v>57</v>
      </c>
      <c r="AO34" s="65"/>
      <c r="AP34" s="523"/>
      <c r="AQ34" s="524"/>
      <c r="AR34" s="100"/>
      <c r="AS34" s="101"/>
      <c r="AT34" s="31">
        <v>30</v>
      </c>
      <c r="AU34" s="144" t="s">
        <v>133</v>
      </c>
      <c r="AV34" s="507"/>
      <c r="AW34" s="14"/>
      <c r="AX34" s="70"/>
      <c r="AY34" s="72"/>
      <c r="AZ34" s="70"/>
      <c r="BA34" s="72"/>
      <c r="BB34" s="72" t="s">
        <v>41</v>
      </c>
      <c r="BC34" s="58"/>
      <c r="BD34" s="188" t="s">
        <v>47</v>
      </c>
      <c r="BE34" s="14"/>
      <c r="BF34" s="67" t="s">
        <v>34</v>
      </c>
      <c r="BG34" s="69"/>
      <c r="BH34" s="67" t="s">
        <v>34</v>
      </c>
      <c r="BI34" s="69"/>
      <c r="BJ34" s="69" t="s">
        <v>57</v>
      </c>
      <c r="BK34" s="87"/>
      <c r="BL34" s="67" t="s">
        <v>34</v>
      </c>
      <c r="BM34" s="37"/>
      <c r="BN34" s="299" t="s">
        <v>57</v>
      </c>
      <c r="BO34" s="72"/>
      <c r="BP34" s="71" t="s">
        <v>33</v>
      </c>
      <c r="BQ34" s="72"/>
      <c r="BR34" s="73" t="s">
        <v>41</v>
      </c>
      <c r="BS34" s="58"/>
      <c r="BT34" s="17" t="s">
        <v>33</v>
      </c>
      <c r="BU34" s="87"/>
      <c r="BV34" s="67"/>
      <c r="BW34" s="69"/>
      <c r="BX34" s="67"/>
      <c r="BY34" s="69"/>
      <c r="BZ34" s="69"/>
      <c r="CA34" s="97"/>
      <c r="CB34" s="67"/>
      <c r="CC34" s="31">
        <v>30</v>
      </c>
      <c r="CD34" s="144" t="s">
        <v>133</v>
      </c>
      <c r="CE34" s="507"/>
      <c r="CF34" s="311">
        <f t="shared" si="0"/>
        <v>2</v>
      </c>
      <c r="CG34" s="76">
        <f t="shared" si="1"/>
        <v>4</v>
      </c>
      <c r="CH34" s="102"/>
      <c r="CI34" s="103"/>
      <c r="CJ34" s="551"/>
      <c r="CK34" s="552"/>
    </row>
    <row r="35" spans="1:89" ht="15" customHeight="1" thickBot="1">
      <c r="A35" s="31">
        <v>31</v>
      </c>
      <c r="B35" s="144" t="s">
        <v>127</v>
      </c>
      <c r="C35" s="508"/>
      <c r="D35" s="14"/>
      <c r="E35" s="65"/>
      <c r="F35" s="14"/>
      <c r="G35" s="65"/>
      <c r="H35" s="14"/>
      <c r="I35" s="65"/>
      <c r="J35" s="14" t="s">
        <v>57</v>
      </c>
      <c r="K35" s="65"/>
      <c r="L35" s="14"/>
      <c r="M35" s="65" t="s">
        <v>51</v>
      </c>
      <c r="N35" s="14"/>
      <c r="O35" s="58"/>
      <c r="P35" s="14"/>
      <c r="Q35" s="65"/>
      <c r="R35" s="15"/>
      <c r="S35" s="65"/>
      <c r="T35" s="15"/>
      <c r="U35" s="65"/>
      <c r="V35" s="15" t="s">
        <v>41</v>
      </c>
      <c r="W35" s="65" t="s">
        <v>136</v>
      </c>
      <c r="X35" s="15"/>
      <c r="Y35" s="65"/>
      <c r="Z35" s="14"/>
      <c r="AA35" s="65"/>
      <c r="AB35" s="14"/>
      <c r="AC35" s="65"/>
      <c r="AD35" s="15"/>
      <c r="AE35" s="65"/>
      <c r="AF35" s="14"/>
      <c r="AG35" s="65"/>
      <c r="AH35" s="14"/>
      <c r="AI35" s="65"/>
      <c r="AJ35" s="14"/>
      <c r="AK35" s="65"/>
      <c r="AL35" s="14"/>
      <c r="AM35" s="65"/>
      <c r="AN35" s="33" t="s">
        <v>57</v>
      </c>
      <c r="AO35" s="65"/>
      <c r="AP35" s="547" t="s">
        <v>337</v>
      </c>
      <c r="AQ35" s="548"/>
      <c r="AR35" s="35"/>
      <c r="AS35" s="36"/>
      <c r="AT35" s="31">
        <v>31</v>
      </c>
      <c r="AU35" s="144" t="s">
        <v>127</v>
      </c>
      <c r="AV35" s="508"/>
      <c r="AW35" s="14"/>
      <c r="AX35" s="70"/>
      <c r="AY35" s="72"/>
      <c r="AZ35" s="70"/>
      <c r="BA35" s="72"/>
      <c r="BB35" s="72" t="s">
        <v>41</v>
      </c>
      <c r="BC35" s="58"/>
      <c r="BD35" s="70"/>
      <c r="BE35" s="14"/>
      <c r="BF35" s="70"/>
      <c r="BG35" s="72"/>
      <c r="BH35" s="70"/>
      <c r="BI35" s="72"/>
      <c r="BJ35" s="69" t="s">
        <v>57</v>
      </c>
      <c r="BK35" s="58"/>
      <c r="BL35" s="70"/>
      <c r="BM35" s="37"/>
      <c r="BN35" s="299" t="s">
        <v>57</v>
      </c>
      <c r="BO35" s="69"/>
      <c r="BP35" s="67" t="s">
        <v>34</v>
      </c>
      <c r="BQ35" s="69"/>
      <c r="BR35" s="69" t="s">
        <v>41</v>
      </c>
      <c r="BS35" s="87"/>
      <c r="BT35" s="276" t="s">
        <v>34</v>
      </c>
      <c r="BU35" s="87"/>
      <c r="BV35" s="67"/>
      <c r="BW35" s="72"/>
      <c r="BX35" s="71" t="s">
        <v>33</v>
      </c>
      <c r="BY35" s="72"/>
      <c r="BZ35" s="73" t="s">
        <v>33</v>
      </c>
      <c r="CA35" s="58"/>
      <c r="CB35" s="71" t="s">
        <v>33</v>
      </c>
      <c r="CC35" s="31">
        <v>31</v>
      </c>
      <c r="CD35" s="144" t="s">
        <v>127</v>
      </c>
      <c r="CE35" s="508"/>
      <c r="CF35" s="312">
        <f t="shared" si="0"/>
        <v>3</v>
      </c>
      <c r="CG35" s="77">
        <f t="shared" si="1"/>
        <v>2</v>
      </c>
      <c r="CH35" s="26"/>
      <c r="CI35" s="21"/>
      <c r="CJ35" s="549"/>
      <c r="CK35" s="550"/>
    </row>
    <row r="36" spans="1:89" ht="15" customHeight="1" thickBot="1">
      <c r="D36" s="8">
        <f t="shared" ref="D36:AN36" si="2">(COUNTIF(D5:D35,"הרצליה")+COUNTIF(D5:D35,"חיפה")+COUNTIF(D5:D35,"רמון")+COUNTIF(D5:D35,"ראש פינה")+COUNTIF(D5:D35,"ה.ב"))</f>
        <v>0</v>
      </c>
      <c r="E36" s="9">
        <f t="shared" ref="E36:AO36" si="3">(COUNTIF(E5:E35,"כ")+COUNTIF(E5:E35,"כמ"))*6+(COUNTIF(E5:E35,"כש")+COUNTIF(E5:E35,"כמש"))*10</f>
        <v>18</v>
      </c>
      <c r="F36" s="8">
        <f t="shared" si="2"/>
        <v>0</v>
      </c>
      <c r="G36" s="9">
        <f t="shared" si="3"/>
        <v>24</v>
      </c>
      <c r="H36" s="8">
        <f t="shared" si="2"/>
        <v>0</v>
      </c>
      <c r="I36" s="9">
        <f t="shared" si="3"/>
        <v>28</v>
      </c>
      <c r="J36" s="8">
        <f t="shared" si="2"/>
        <v>0</v>
      </c>
      <c r="K36" s="9">
        <f t="shared" si="3"/>
        <v>0</v>
      </c>
      <c r="L36" s="8">
        <f t="shared" si="2"/>
        <v>0</v>
      </c>
      <c r="M36" s="9">
        <f t="shared" si="3"/>
        <v>24</v>
      </c>
      <c r="N36" s="8">
        <f t="shared" si="2"/>
        <v>0</v>
      </c>
      <c r="O36" s="9">
        <f t="shared" si="3"/>
        <v>34</v>
      </c>
      <c r="P36" s="8">
        <f t="shared" si="2"/>
        <v>0</v>
      </c>
      <c r="Q36" s="9">
        <f t="shared" si="3"/>
        <v>28</v>
      </c>
      <c r="R36" s="8">
        <f t="shared" si="2"/>
        <v>0</v>
      </c>
      <c r="S36" s="9">
        <f t="shared" si="3"/>
        <v>18</v>
      </c>
      <c r="T36" s="8">
        <f t="shared" si="2"/>
        <v>0</v>
      </c>
      <c r="U36" s="9">
        <f t="shared" si="3"/>
        <v>18</v>
      </c>
      <c r="V36" s="8">
        <f t="shared" si="2"/>
        <v>0</v>
      </c>
      <c r="W36" s="9">
        <f t="shared" si="3"/>
        <v>18</v>
      </c>
      <c r="X36" s="8">
        <f t="shared" si="2"/>
        <v>0</v>
      </c>
      <c r="Y36" s="9">
        <f t="shared" si="3"/>
        <v>50</v>
      </c>
      <c r="Z36" s="8">
        <f t="shared" si="2"/>
        <v>0</v>
      </c>
      <c r="AA36" s="9">
        <f t="shared" si="3"/>
        <v>0</v>
      </c>
      <c r="AB36" s="8">
        <f t="shared" si="2"/>
        <v>0</v>
      </c>
      <c r="AC36" s="9">
        <f t="shared" si="3"/>
        <v>36</v>
      </c>
      <c r="AD36" s="8">
        <f t="shared" si="2"/>
        <v>0</v>
      </c>
      <c r="AE36" s="9">
        <f t="shared" si="3"/>
        <v>34</v>
      </c>
      <c r="AF36" s="8">
        <f t="shared" si="2"/>
        <v>2</v>
      </c>
      <c r="AG36" s="9">
        <f t="shared" si="3"/>
        <v>40</v>
      </c>
      <c r="AH36" s="8">
        <f t="shared" si="2"/>
        <v>0</v>
      </c>
      <c r="AI36" s="9">
        <f t="shared" si="3"/>
        <v>36</v>
      </c>
      <c r="AJ36" s="8">
        <f t="shared" si="2"/>
        <v>0</v>
      </c>
      <c r="AK36" s="9">
        <f t="shared" si="3"/>
        <v>18</v>
      </c>
      <c r="AL36" s="8">
        <f t="shared" si="2"/>
        <v>0</v>
      </c>
      <c r="AM36" s="9">
        <f t="shared" si="3"/>
        <v>18</v>
      </c>
      <c r="AN36" s="8">
        <f t="shared" si="2"/>
        <v>0</v>
      </c>
      <c r="AO36" s="9">
        <f t="shared" si="3"/>
        <v>0</v>
      </c>
      <c r="AT36" s="482" t="s">
        <v>38</v>
      </c>
      <c r="AU36" s="483"/>
      <c r="AV36" s="484"/>
      <c r="AW36" s="485">
        <f>COUNTIF(AX4:AX35,"י")+COUNTIF(AX4:AX35,"Y")+COUNTIF(AX4:AX35,"2")</f>
        <v>9</v>
      </c>
      <c r="AX36" s="465"/>
      <c r="AY36" s="464">
        <f>COUNTIF(AZ4:AZ35,"י")+COUNTIF(AZ4:AZ35,"Y")+COUNTIF(AZ4:AZ35,"2")</f>
        <v>5</v>
      </c>
      <c r="AZ36" s="465"/>
      <c r="BA36" s="464">
        <f>COUNTIF(BB4:BB35,"י")+COUNTIF(BB4:BB35,"Y")+COUNTIF(BB4:BB35,"2")</f>
        <v>3</v>
      </c>
      <c r="BB36" s="465"/>
      <c r="BC36" s="464">
        <f>COUNTIF(BD4:BD35,"י")+COUNTIF(BD4:BD35,"Y")+COUNTIF(BD4:BD35,"2")</f>
        <v>3</v>
      </c>
      <c r="BD36" s="465"/>
      <c r="BE36" s="464">
        <f>COUNTIF(BF4:BF35,"י")+COUNTIF(BF4:BF35,"Y")+COUNTIF(BF4:BF35,"2")</f>
        <v>8</v>
      </c>
      <c r="BF36" s="465"/>
      <c r="BG36" s="464">
        <f>COUNTIF(BH4:BH35,"י")+COUNTIF(BH4:BH35,"Y")+COUNTIF(BH4:BH35,"2")</f>
        <v>8</v>
      </c>
      <c r="BH36" s="465"/>
      <c r="BI36" s="464">
        <f>COUNTIF(BJ4:BJ35,"י")+COUNTIF(BJ4:BJ35,"Y")+COUNTIF(BJ4:BJ35,"2")</f>
        <v>0</v>
      </c>
      <c r="BJ36" s="465"/>
      <c r="BK36" s="464">
        <f>COUNTIF(BL4:BL35,"י")+COUNTIF(BL4:BL35,"Y")+COUNTIF(BL4:BL35,"2")</f>
        <v>7</v>
      </c>
      <c r="BL36" s="465"/>
      <c r="BM36" s="464">
        <f>COUNTIF(BN4:BN35,"י")+COUNTIF(BN4:BN35,"Y")+COUNTIF(BN4:BN35,"2")</f>
        <v>0</v>
      </c>
      <c r="BN36" s="465"/>
      <c r="BO36" s="464">
        <f>COUNTIF(BP4:BP35,"י")+COUNTIF(BP4:BP35,"Y")+COUNTIF(BP4:BP35,"2")</f>
        <v>3</v>
      </c>
      <c r="BP36" s="465"/>
      <c r="BQ36" s="464">
        <f>COUNTIF(BR4:BR35,"י")+COUNTIF(BR4:BR35,"Y")+COUNTIF(BR4:BR35,"2")</f>
        <v>6</v>
      </c>
      <c r="BR36" s="465"/>
      <c r="BS36" s="464">
        <f>COUNTIF(BT4:BT35,"י")+COUNTIF(BT4:BT35,"Y")+COUNTIF(BT4:BT35,"2")</f>
        <v>4</v>
      </c>
      <c r="BT36" s="465"/>
      <c r="BU36" s="270"/>
      <c r="BV36" s="270"/>
      <c r="BW36" s="464">
        <f>COUNTIF(BX4:BX35,"י")+COUNTIF(BX4:BX35,"Y")+COUNTIF(BX4:BX35,"2")</f>
        <v>8</v>
      </c>
      <c r="BX36" s="465"/>
      <c r="BY36" s="464">
        <f>COUNTIF(BZ4:BZ35,"י")+COUNTIF(BZ4:BZ35,"Y")+COUNTIF(BZ4:BZ35,"2")</f>
        <v>8</v>
      </c>
      <c r="BZ36" s="465"/>
      <c r="CA36" s="466">
        <f>COUNTIF(CB4:CB35,"י")+COUNTIF(CB4:CB35,"Y")+COUNTIF(CB4:CB35,"2")</f>
        <v>9</v>
      </c>
      <c r="CB36" s="467"/>
      <c r="CC36" s="468" t="s">
        <v>140</v>
      </c>
      <c r="CD36" s="469"/>
      <c r="CE36" s="470"/>
    </row>
    <row r="37" spans="1:89" ht="15" customHeight="1" thickBot="1">
      <c r="C37" s="1" t="s">
        <v>322</v>
      </c>
      <c r="D37" s="234">
        <f>D36+פברואר!D34</f>
        <v>7</v>
      </c>
      <c r="E37" s="234">
        <f>E36+פברואר!E34</f>
        <v>54</v>
      </c>
      <c r="F37" s="234">
        <f>F36+פברואר!F34</f>
        <v>8</v>
      </c>
      <c r="G37" s="234">
        <f>G36+פברואר!G34</f>
        <v>64</v>
      </c>
      <c r="H37" s="234">
        <f>H36+פברואר!H34</f>
        <v>3</v>
      </c>
      <c r="I37" s="234">
        <f>I36+פברואר!I34</f>
        <v>64</v>
      </c>
      <c r="J37" s="234">
        <f>J36+פברואר!J34</f>
        <v>1</v>
      </c>
      <c r="K37" s="234">
        <f>K36+פברואר!K34</f>
        <v>18</v>
      </c>
      <c r="L37" s="234">
        <f>L36+פברואר!L34</f>
        <v>4</v>
      </c>
      <c r="M37" s="234">
        <f>M36+פברואר!M34</f>
        <v>64</v>
      </c>
      <c r="N37" s="234">
        <f>N36+פברואר!N34</f>
        <v>11</v>
      </c>
      <c r="O37" s="234">
        <f>O36+פברואר!O34</f>
        <v>106</v>
      </c>
      <c r="P37" s="234">
        <f>P36+פברואר!P34</f>
        <v>4</v>
      </c>
      <c r="Q37" s="234">
        <f>Q36+פברואר!Q34</f>
        <v>64</v>
      </c>
      <c r="R37" s="234">
        <f>R36+פברואר!R34</f>
        <v>4</v>
      </c>
      <c r="S37" s="234">
        <f>S36+פברואר!S34</f>
        <v>54</v>
      </c>
      <c r="T37" s="234">
        <f>T36+פברואר!T34</f>
        <v>4</v>
      </c>
      <c r="U37" s="234">
        <f>U36+פברואר!U34</f>
        <v>54</v>
      </c>
      <c r="V37" s="234">
        <f>V36+פברואר!V34</f>
        <v>1</v>
      </c>
      <c r="W37" s="234">
        <f>W36+פברואר!W34</f>
        <v>54</v>
      </c>
      <c r="X37" s="234">
        <f>X36+פברואר!X34</f>
        <v>11</v>
      </c>
      <c r="Y37" s="234">
        <f>Y36+פברואר!Y34</f>
        <v>146</v>
      </c>
      <c r="Z37" s="234">
        <f>Z36+פברואר!Z34</f>
        <v>1</v>
      </c>
      <c r="AA37" s="234">
        <f>AA36+פברואר!AA34</f>
        <v>0</v>
      </c>
      <c r="AB37" s="234">
        <f>AB36+פברואר!AB34</f>
        <v>4</v>
      </c>
      <c r="AC37" s="234">
        <f>AC36+פברואר!AC34</f>
        <v>96</v>
      </c>
      <c r="AD37" s="234">
        <f>AD36+פברואר!AD34</f>
        <v>0</v>
      </c>
      <c r="AE37" s="234">
        <f>AE36+פברואר!AE34</f>
        <v>108</v>
      </c>
      <c r="AF37" s="234">
        <f>AF36+פברואר!AF34</f>
        <v>3</v>
      </c>
      <c r="AG37" s="234">
        <f>AG36+פברואר!AG34</f>
        <v>120</v>
      </c>
      <c r="AH37" s="234">
        <f>AH36+פברואר!AH34</f>
        <v>2</v>
      </c>
      <c r="AI37" s="234">
        <f>AI36+פברואר!AI34</f>
        <v>96</v>
      </c>
      <c r="AJ37" s="234">
        <f>AJ36+פברואר!AJ34</f>
        <v>3</v>
      </c>
      <c r="AK37" s="234">
        <f>AK36+פברואר!AK34</f>
        <v>54</v>
      </c>
      <c r="AL37" s="234">
        <f>AL36+פברואר!AL34</f>
        <v>2</v>
      </c>
      <c r="AM37" s="234">
        <f>AM36+פברואר!AM34</f>
        <v>54</v>
      </c>
      <c r="AN37" s="234">
        <f>AN36+פברואר!AN34</f>
        <v>1</v>
      </c>
      <c r="AO37" s="234">
        <f>AO36+פברואר!AO34</f>
        <v>24</v>
      </c>
      <c r="AT37" s="478" t="s">
        <v>39</v>
      </c>
      <c r="AU37" s="479"/>
      <c r="AV37" s="480"/>
      <c r="AW37" s="481">
        <f>COUNTIF(AX4:AX35,"ל")+COUNTIF(AX4:AX35,"L")+COUNTIF(AX4:AX35,"ל2")</f>
        <v>8</v>
      </c>
      <c r="AX37" s="475"/>
      <c r="AY37" s="474">
        <f>COUNTIF(AZ4:AZ35,"ל")+COUNTIF(AZ4:AZ35,"L")+COUNTIF(AZ4:AZ35,"ל2")</f>
        <v>9</v>
      </c>
      <c r="AZ37" s="475"/>
      <c r="BA37" s="474">
        <f>COUNTIF(BB4:BB35,"ל")+COUNTIF(BB4:BB35,"L")+COUNTIF(BB4:BB35,"ל2")</f>
        <v>0</v>
      </c>
      <c r="BB37" s="475"/>
      <c r="BC37" s="474">
        <f>COUNTIF(BD4:BD35,"ל")+COUNTIF(BD4:BD35,"L")+COUNTIF(BD4:BD35,"ל2")</f>
        <v>4</v>
      </c>
      <c r="BD37" s="475"/>
      <c r="BE37" s="474">
        <f>COUNTIF(BF4:BF35,"ל")+COUNTIF(BF4:BF35,"L")+COUNTIF(BF4:BF35,"ל2")</f>
        <v>7</v>
      </c>
      <c r="BF37" s="475"/>
      <c r="BG37" s="474">
        <f>COUNTIF(BH4:BH35,"ל")+COUNTIF(BH4:BH35,"L")+COUNTIF(BH4:BH35,"ל2")</f>
        <v>9</v>
      </c>
      <c r="BH37" s="475"/>
      <c r="BI37" s="474">
        <f>COUNTIF(BJ4:BJ35,"ל")+COUNTIF(BJ4:BJ35,"L")+COUNTIF(BJ4:BJ35,"ל2")</f>
        <v>0</v>
      </c>
      <c r="BJ37" s="475"/>
      <c r="BK37" s="474">
        <f>COUNTIF(BL4:BL35,"ל")+COUNTIF(BL4:BL35,"L")+COUNTIF(BL4:BL35,"ל2")</f>
        <v>7</v>
      </c>
      <c r="BL37" s="475"/>
      <c r="BM37" s="474">
        <f>COUNTIF(BN4:BN35,"ל")+COUNTIF(BN4:BN35,"L")+COUNTIF(BN4:BN35,"ל2")</f>
        <v>0</v>
      </c>
      <c r="BN37" s="475"/>
      <c r="BO37" s="474">
        <f>COUNTIF(BP4:BP35,"ל")+COUNTIF(BP4:BP35,"L")+COUNTIF(BP4:BP35,"ל2")</f>
        <v>6</v>
      </c>
      <c r="BP37" s="475"/>
      <c r="BQ37" s="474">
        <f>COUNTIF(BR4:BR35,"ל")+COUNTIF(BR4:BR35,"L")+COUNTIF(BR4:BR35,"ל2")</f>
        <v>4</v>
      </c>
      <c r="BR37" s="475"/>
      <c r="BS37" s="474">
        <f>COUNTIF(BT4:BT35,"ל")+COUNTIF(BT4:BT35,"L")+COUNTIF(BT4:BT35,"ל2")</f>
        <v>12</v>
      </c>
      <c r="BT37" s="475"/>
      <c r="BU37" s="271"/>
      <c r="BV37" s="271"/>
      <c r="BW37" s="474">
        <f>COUNTIF(BX4:BX35,"ל")+COUNTIF(BX4:BX35,"L")+COUNTIF(BX4:BX35,"ל2")</f>
        <v>7</v>
      </c>
      <c r="BX37" s="475"/>
      <c r="BY37" s="474">
        <f>COUNTIF(BZ4:BZ35,"ל")+COUNTIF(BZ4:BZ35,"L")+COUNTIF(BZ4:BZ35,"ל2")</f>
        <v>7</v>
      </c>
      <c r="BZ37" s="475"/>
      <c r="CA37" s="476">
        <f>COUNTIF(CB4:CB35,"ל")+COUNTIF(CB4:CB35,"L")+COUNTIF(CB4:CB35,"ל2")</f>
        <v>7</v>
      </c>
      <c r="CB37" s="477"/>
      <c r="CC37" s="471"/>
      <c r="CD37" s="472"/>
      <c r="CE37" s="473"/>
    </row>
    <row r="38" spans="1:89" s="63" customFormat="1" ht="15" customHeight="1" thickBot="1">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W38" s="488">
        <f>(AW36*12)+(AW37*12)+(COUNTIF(AX4:AX35,"ק")*8)+(COUNTIF(AX4:AX35,"ח")*8)+(COUNTIF(AX4:AX35,"מ")*8)+(COUNTIF(AX4:AX35,"מיל")*8)</f>
        <v>204</v>
      </c>
      <c r="AX38" s="487"/>
      <c r="AY38" s="486">
        <f>(AY36*12)+(AY37*12)+(COUNTIF(AZ4:AZ35,"ק")*8)+(COUNTIF(AZ4:AZ35,"ח")*8)+(COUNTIF(AZ4:AZ35,"מ")*8)+(COUNTIF(AZ4:AZ35,"מיל")*8)</f>
        <v>168</v>
      </c>
      <c r="AZ38" s="487"/>
      <c r="BA38" s="486">
        <f>(BA36*12)+(BA37*12)+(COUNTIF(BB4:BB35,"ק")*8)+(COUNTIF(BB4:BB35,"ח")*8)+(COUNTIF(BB4:BB35,"מ")*8)+(COUNTIF(BB4:BB35,"מיל")*8)</f>
        <v>196</v>
      </c>
      <c r="BB38" s="487"/>
      <c r="BC38" s="486">
        <f>(BC36*12)+(BC37*12)+(COUNTIF(BD4:BD35,"ק")*8)+(COUNTIF(BD4:BD35,"ח")*8)+(COUNTIF(BD4:BD35,"מ")*8)+(COUNTIF(BD4:BD35,"מיל")*8)</f>
        <v>188</v>
      </c>
      <c r="BD38" s="487"/>
      <c r="BE38" s="486">
        <f>(BE36*12)+(BE37*12)+(COUNTIF(BF4:BF35,"ק")*8)+(COUNTIF(BF4:BF35,"ח")*8)+(COUNTIF(BF4:BF35,"מ")*8)+(COUNTIF(BF4:BF35,"מיל")*8)</f>
        <v>188</v>
      </c>
      <c r="BF38" s="487"/>
      <c r="BG38" s="486">
        <f>(BG36*12)+(BG37*12)+(COUNTIF(BH4:BH35,"ק")*8)+(COUNTIF(BH4:BH35,"ח")*8)+(COUNTIF(BH4:BH35,"מ")*8)+(COUNTIF(BH4:BH35,"מיל")*8)</f>
        <v>204</v>
      </c>
      <c r="BH38" s="487"/>
      <c r="BI38" s="486">
        <f>(BI36*12)+(BI37*12)+(COUNTIF(BJ4:BJ35,"ק")*8)+(COUNTIF(BJ4:BJ35,"ח")*8)+(COUNTIF(BJ4:BJ35,"מ")*8)+(COUNTIF(BJ4:BJ35,"מיל")*8)</f>
        <v>248</v>
      </c>
      <c r="BJ38" s="487"/>
      <c r="BK38" s="486">
        <f>(BK36*12)+(BK37*12)+(COUNTIF(BL4:BL35,"ק")*8)+(COUNTIF(BL4:BL35,"ח")*8)+(COUNTIF(BL4:BL35,"מ")*8)+(COUNTIF(BL4:BL35,"מיל")*8)</f>
        <v>184</v>
      </c>
      <c r="BL38" s="487"/>
      <c r="BM38" s="486">
        <f>(BM36*12)+(BM37*12)+(COUNTIF(BN4:BN35,"ק")*8)+(COUNTIF(BN4:BN35,"ח")*8)+(COUNTIF(BN4:BN35,"מ")*8)+(COUNTIF(BN4:BN35,"מיל")*8)</f>
        <v>248</v>
      </c>
      <c r="BN38" s="487"/>
      <c r="BO38" s="486">
        <f>(BO36*12)+(BO37*12)+(COUNTIF(BP4:BP35,"ק")*8)+(COUNTIF(BP4:BP35,"ח")*8)+(COUNTIF(BP4:BP35,"מ")*8)+(COUNTIF(BP4:BP35,"מיל")*8)</f>
        <v>196</v>
      </c>
      <c r="BP38" s="487"/>
      <c r="BQ38" s="486">
        <f>(BQ36*12)+(BQ37*12)+(COUNTIF(BR4:BR35,"ק")*8)+(COUNTIF(BR4:BR35,"ח")*8)+(COUNTIF(BR4:BR35,"מ")*8)+(COUNTIF(BR4:BR35,"מיל")*8)</f>
        <v>152</v>
      </c>
      <c r="BR38" s="487"/>
      <c r="BS38" s="486">
        <f>(BS36*12)+(BS37*12)+(COUNTIF(BT4:BT35,"ק")*8)+(COUNTIF(BT4:BT35,"ח")*8)+(COUNTIF(BT4:BT35,"מ")*8)+(COUNTIF(BT4:BT35,"מיל")*8)</f>
        <v>200</v>
      </c>
      <c r="BT38" s="487"/>
      <c r="BU38" s="272"/>
      <c r="BV38" s="272"/>
      <c r="BW38" s="486">
        <f>(BW36*12)+(BW37*12)+(COUNTIF(BX4:BX35,"ק")*8)+(COUNTIF(BX4:BX35,"ח")*8)+(COUNTIF(BX4:BX35,"מ")*8)+(COUNTIF(BX4:BX35,"מיל")*8)</f>
        <v>180</v>
      </c>
      <c r="BX38" s="487"/>
      <c r="BY38" s="486">
        <f>(BY36*12)+(BY37*12)+(COUNTIF(BZ4:BZ35,"ק")*8)+(COUNTIF(BZ4:BZ35,"ח")*8)+(COUNTIF(BZ4:BZ35,"מ")*8)+(COUNTIF(BZ4:BZ35,"מיל")*8)</f>
        <v>180</v>
      </c>
      <c r="BZ38" s="487"/>
      <c r="CA38" s="486">
        <f>(CA36*12)+(CA37*12)+(COUNTIF(CB4:CB35,"ק")*8)+(COUNTIF(CB4:CB35,"ח")*8)+(COUNTIF(CB4:CB35,"מ")*8)+(COUNTIF(CB4:CB35,"מיל")*8)</f>
        <v>192</v>
      </c>
      <c r="CB38" s="496"/>
      <c r="CC38" s="497">
        <v>183</v>
      </c>
      <c r="CD38" s="498"/>
      <c r="CE38" s="499"/>
    </row>
    <row r="39" spans="1:89" ht="15" customHeight="1" thickBot="1">
      <c r="AW39" s="500">
        <f>AW38-CC38</f>
        <v>21</v>
      </c>
      <c r="AX39" s="491"/>
      <c r="AY39" s="490">
        <f>AY38-CC38</f>
        <v>-15</v>
      </c>
      <c r="AZ39" s="491"/>
      <c r="BA39" s="490">
        <f>BA38-CC38</f>
        <v>13</v>
      </c>
      <c r="BB39" s="491"/>
      <c r="BC39" s="490"/>
      <c r="BD39" s="491"/>
      <c r="BE39" s="490">
        <f>BE38-CC38</f>
        <v>5</v>
      </c>
      <c r="BF39" s="491"/>
      <c r="BG39" s="490">
        <f>BG38-CC38</f>
        <v>21</v>
      </c>
      <c r="BH39" s="491"/>
      <c r="BI39" s="490">
        <f>BI38-CC38</f>
        <v>65</v>
      </c>
      <c r="BJ39" s="491"/>
      <c r="BK39" s="490">
        <f>BK38-CC38</f>
        <v>1</v>
      </c>
      <c r="BL39" s="491"/>
      <c r="BM39" s="490">
        <f>BM38-CC38</f>
        <v>65</v>
      </c>
      <c r="BN39" s="491"/>
      <c r="BO39" s="490">
        <f>BO38-CC38</f>
        <v>13</v>
      </c>
      <c r="BP39" s="491"/>
      <c r="BQ39" s="490">
        <f>BQ38-CC38</f>
        <v>-31</v>
      </c>
      <c r="BR39" s="491"/>
      <c r="BS39" s="490">
        <f>BS38-CC38</f>
        <v>17</v>
      </c>
      <c r="BT39" s="491"/>
      <c r="BU39" s="273"/>
      <c r="BV39" s="273"/>
      <c r="BW39" s="490">
        <f>BW38-CC38</f>
        <v>-3</v>
      </c>
      <c r="BX39" s="491"/>
      <c r="BY39" s="490">
        <f>BY38-CC38</f>
        <v>-3</v>
      </c>
      <c r="BZ39" s="491"/>
      <c r="CA39" s="492">
        <f>CA38-CC38</f>
        <v>9</v>
      </c>
      <c r="CB39" s="493"/>
      <c r="CC39" s="494" t="s">
        <v>222</v>
      </c>
      <c r="CD39" s="494"/>
      <c r="CE39" s="495"/>
    </row>
  </sheetData>
  <customSheetViews>
    <customSheetView guid="{C6961C98-214A-4770-9A2D-B399A95C6C8B}" scale="90">
      <pane ySplit="4" topLeftCell="A5" activePane="bottomLeft" state="frozen"/>
      <selection pane="bottomLeft" activeCell="D29" sqref="D29"/>
      <pageMargins left="0.7" right="0.7" top="0.75" bottom="0.75" header="0.3" footer="0.3"/>
      <pageSetup paperSize="9" orientation="portrait" r:id="rId1"/>
    </customSheetView>
    <customSheetView guid="{A704065A-5B6F-476C-AE5F-F67C013164B0}" scale="80">
      <pane xSplit="3" ySplit="4" topLeftCell="D5" activePane="bottomRight" state="frozen"/>
      <selection pane="bottomRight" activeCell="AB27" sqref="AB27"/>
      <pageMargins left="0.7" right="0.7" top="0.75" bottom="0.75" header="0.3" footer="0.3"/>
      <pageSetup paperSize="9" orientation="portrait" r:id="rId2"/>
    </customSheetView>
    <customSheetView guid="{319CE2B6-D20C-48B8-B7D9-15D19162A7CD}" scale="90">
      <pane ySplit="4" topLeftCell="A5" activePane="bottomLeft" state="frozen"/>
      <selection pane="bottomLeft" activeCell="D29" sqref="D29"/>
      <pageMargins left="0.7" right="0.7" top="0.75" bottom="0.75" header="0.3" footer="0.3"/>
      <pageSetup paperSize="9" orientation="portrait" r:id="rId3"/>
    </customSheetView>
    <customSheetView guid="{C5360886-767B-4F33-B24F-A6512AA390CC}" scale="90" topLeftCell="AP1">
      <pane ySplit="4" topLeftCell="A5" activePane="bottomLeft" state="frozen"/>
      <selection pane="bottomLeft" activeCell="BQ42" sqref="BQ42"/>
      <pageMargins left="0.7" right="0.7" top="0.75" bottom="0.75" header="0.3" footer="0.3"/>
      <pageSetup paperSize="9" orientation="portrait" r:id="rId4"/>
    </customSheetView>
    <customSheetView guid="{9C777CA9-4E1C-4A90-9032-5D0586052FC8}" scale="90">
      <pane ySplit="4" topLeftCell="A5" activePane="bottomLeft" state="frozen"/>
      <selection pane="bottomLeft" activeCell="D37" sqref="D37"/>
      <pageMargins left="0.7" right="0.7" top="0.75" bottom="0.75" header="0.3" footer="0.3"/>
      <pageSetup paperSize="9" orientation="portrait" r:id="rId5"/>
    </customSheetView>
    <customSheetView guid="{FEBD343F-EB1E-4B3A-B093-25A74DB60DAB}" scale="85">
      <pane xSplit="3" ySplit="4" topLeftCell="H5" activePane="bottomRight" state="frozen"/>
      <selection pane="bottomRight" activeCell="AJ14" sqref="AJ14"/>
      <pageMargins left="0.7" right="0.7" top="0.75" bottom="0.75" header="0.3" footer="0.3"/>
      <pageSetup paperSize="9" orientation="portrait" r:id="rId6"/>
    </customSheetView>
    <customSheetView guid="{1D39CB39-D8E6-4DA4-ABBA-40E2E6F11928}" scale="80">
      <pane ySplit="3" topLeftCell="A4" activePane="bottomLeft" state="frozen"/>
      <selection pane="bottomLeft" activeCell="Y47" sqref="Y47"/>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AL40" sqref="AL40"/>
      <pageMargins left="0.7" right="0.7" top="0.75" bottom="0.75" header="0.3" footer="0.3"/>
      <pageSetup paperSize="9" orientation="portrait" r:id="rId8"/>
    </customSheetView>
    <customSheetView guid="{03543009-41DE-4C7D-B8BE-69526021AF29}" scale="90" topLeftCell="AL1">
      <pane ySplit="4" topLeftCell="A8" activePane="bottomLeft" state="frozen"/>
      <selection pane="bottomLeft" activeCell="AZ41" sqref="AZ41"/>
      <pageMargins left="0.7" right="0.7" top="0.75" bottom="0.75" header="0.3" footer="0.3"/>
      <pageSetup paperSize="9" orientation="portrait" r:id="rId9"/>
    </customSheetView>
    <customSheetView guid="{03CD1AFD-FDA7-4904-966E-FB90CD2C490F}" scale="80">
      <pane ySplit="2" topLeftCell="A4" activePane="bottomLeft" state="frozen"/>
      <selection pane="bottomLeft" activeCell="AB4" sqref="AB4:AC4"/>
      <pageMargins left="0.7" right="0.7" top="0.75" bottom="0.75" header="0.3" footer="0.3"/>
      <pageSetup paperSize="9" orientation="portrait" r:id="rId10"/>
    </customSheetView>
  </customSheetViews>
  <mergeCells count="229">
    <mergeCell ref="BS4:BT4"/>
    <mergeCell ref="BW4:BX4"/>
    <mergeCell ref="BY4:BZ4"/>
    <mergeCell ref="CA4:CB4"/>
    <mergeCell ref="BO37:BP37"/>
    <mergeCell ref="BQ4:BR4"/>
    <mergeCell ref="BU3:BV3"/>
    <mergeCell ref="BU2:CB2"/>
    <mergeCell ref="BU4:BV4"/>
    <mergeCell ref="BY37:BZ37"/>
    <mergeCell ref="BS39:BT39"/>
    <mergeCell ref="BW39:BX39"/>
    <mergeCell ref="BI37:BJ37"/>
    <mergeCell ref="BK37:BL37"/>
    <mergeCell ref="BS37:BT37"/>
    <mergeCell ref="BS36:BT36"/>
    <mergeCell ref="BI36:BJ36"/>
    <mergeCell ref="BQ37:BR37"/>
    <mergeCell ref="BW37:BX37"/>
    <mergeCell ref="BS38:BT38"/>
    <mergeCell ref="BI3:BJ3"/>
    <mergeCell ref="BK3:BL3"/>
    <mergeCell ref="BM3:BN3"/>
    <mergeCell ref="BO3:BP3"/>
    <mergeCell ref="BK36:BL36"/>
    <mergeCell ref="BM36:BN36"/>
    <mergeCell ref="BO36:BP36"/>
    <mergeCell ref="BQ36:BR36"/>
    <mergeCell ref="BQ38:BR38"/>
    <mergeCell ref="BO38:BP38"/>
    <mergeCell ref="BG37:BH37"/>
    <mergeCell ref="AT37:AV37"/>
    <mergeCell ref="AW37:AX37"/>
    <mergeCell ref="AY37:AZ37"/>
    <mergeCell ref="BA37:BB37"/>
    <mergeCell ref="BC37:BD37"/>
    <mergeCell ref="BE37:BF37"/>
    <mergeCell ref="BA38:BB38"/>
    <mergeCell ref="BC38:BD38"/>
    <mergeCell ref="BE38:BF38"/>
    <mergeCell ref="CC38:CE38"/>
    <mergeCell ref="AW39:AX39"/>
    <mergeCell ref="AY39:AZ39"/>
    <mergeCell ref="BA39:BB39"/>
    <mergeCell ref="BC39:BD39"/>
    <mergeCell ref="BE39:BF39"/>
    <mergeCell ref="BG39:BH39"/>
    <mergeCell ref="CC39:CE39"/>
    <mergeCell ref="AY38:AZ38"/>
    <mergeCell ref="AW38:AX38"/>
    <mergeCell ref="BG38:BH38"/>
    <mergeCell ref="BM38:BN38"/>
    <mergeCell ref="BI39:BJ39"/>
    <mergeCell ref="BK39:BL39"/>
    <mergeCell ref="BW38:BX38"/>
    <mergeCell ref="BY38:BZ38"/>
    <mergeCell ref="CA38:CB38"/>
    <mergeCell ref="BY39:BZ39"/>
    <mergeCell ref="CA39:CB39"/>
    <mergeCell ref="BI38:BJ38"/>
    <mergeCell ref="BK38:BL38"/>
    <mergeCell ref="BM39:BN39"/>
    <mergeCell ref="BO39:BP39"/>
    <mergeCell ref="BQ39:BR39"/>
    <mergeCell ref="CJ30:CK30"/>
    <mergeCell ref="AP31:AQ31"/>
    <mergeCell ref="AP27:AQ27"/>
    <mergeCell ref="AP28:AQ28"/>
    <mergeCell ref="AP29:AQ29"/>
    <mergeCell ref="AP30:AQ30"/>
    <mergeCell ref="AT36:AV36"/>
    <mergeCell ref="AW36:AX36"/>
    <mergeCell ref="AY36:AZ36"/>
    <mergeCell ref="BA36:BB36"/>
    <mergeCell ref="BC36:BD36"/>
    <mergeCell ref="BE36:BF36"/>
    <mergeCell ref="CJ33:CK33"/>
    <mergeCell ref="AP35:AQ35"/>
    <mergeCell ref="CJ35:CK35"/>
    <mergeCell ref="CJ34:CK34"/>
    <mergeCell ref="CE33:CE35"/>
    <mergeCell ref="BW36:BX36"/>
    <mergeCell ref="BY36:BZ36"/>
    <mergeCell ref="CA36:CB36"/>
    <mergeCell ref="CC36:CE37"/>
    <mergeCell ref="BG36:BH36"/>
    <mergeCell ref="BM37:BN37"/>
    <mergeCell ref="CA37:CB37"/>
    <mergeCell ref="CJ18:CK18"/>
    <mergeCell ref="AP19:AQ19"/>
    <mergeCell ref="CJ19:CK19"/>
    <mergeCell ref="AP20:AQ20"/>
    <mergeCell ref="CJ20:CK20"/>
    <mergeCell ref="AP21:AQ21"/>
    <mergeCell ref="CE26:CE32"/>
    <mergeCell ref="AP32:AQ32"/>
    <mergeCell ref="CJ32:CK32"/>
    <mergeCell ref="CJ22:CK22"/>
    <mergeCell ref="AP23:AQ23"/>
    <mergeCell ref="CJ21:CK21"/>
    <mergeCell ref="AP18:AQ18"/>
    <mergeCell ref="CE19:CE25"/>
    <mergeCell ref="CJ23:CK23"/>
    <mergeCell ref="CJ24:CK24"/>
    <mergeCell ref="AP25:AQ25"/>
    <mergeCell ref="CJ25:CK25"/>
    <mergeCell ref="AP22:AQ22"/>
    <mergeCell ref="AP24:AQ24"/>
    <mergeCell ref="CJ26:CK26"/>
    <mergeCell ref="CJ27:CK27"/>
    <mergeCell ref="CJ28:CK28"/>
    <mergeCell ref="CJ29:CK29"/>
    <mergeCell ref="CJ10:CK10"/>
    <mergeCell ref="AP11:AQ11"/>
    <mergeCell ref="CJ11:CK11"/>
    <mergeCell ref="AP12:AQ12"/>
    <mergeCell ref="CJ12:CK12"/>
    <mergeCell ref="AP13:AQ13"/>
    <mergeCell ref="CJ13:CK13"/>
    <mergeCell ref="CJ5:CK5"/>
    <mergeCell ref="AP6:AQ6"/>
    <mergeCell ref="CJ6:CK6"/>
    <mergeCell ref="AP7:AQ7"/>
    <mergeCell ref="CJ7:CK7"/>
    <mergeCell ref="AP8:AQ8"/>
    <mergeCell ref="CJ8:CK8"/>
    <mergeCell ref="AP9:AQ9"/>
    <mergeCell ref="CJ9:CK9"/>
    <mergeCell ref="CE5:CE11"/>
    <mergeCell ref="CE12:CE18"/>
    <mergeCell ref="AP14:AQ14"/>
    <mergeCell ref="CJ14:CK14"/>
    <mergeCell ref="CJ15:CK15"/>
    <mergeCell ref="CJ16:CK16"/>
    <mergeCell ref="AP17:AQ17"/>
    <mergeCell ref="CJ17:CK17"/>
    <mergeCell ref="D4:E4"/>
    <mergeCell ref="F4:G4"/>
    <mergeCell ref="H4:I4"/>
    <mergeCell ref="J4:K4"/>
    <mergeCell ref="L4:M4"/>
    <mergeCell ref="AN4:AO4"/>
    <mergeCell ref="AW4:AX4"/>
    <mergeCell ref="AY4:AZ4"/>
    <mergeCell ref="AB4:AC4"/>
    <mergeCell ref="AF4:AG4"/>
    <mergeCell ref="AH4:AI4"/>
    <mergeCell ref="AJ4:AK4"/>
    <mergeCell ref="AL4:AM4"/>
    <mergeCell ref="N4:O4"/>
    <mergeCell ref="P4:Q4"/>
    <mergeCell ref="R4:S4"/>
    <mergeCell ref="T4:U4"/>
    <mergeCell ref="V4:W4"/>
    <mergeCell ref="X4:Y4"/>
    <mergeCell ref="BA4:BB4"/>
    <mergeCell ref="BC4:BD4"/>
    <mergeCell ref="BE4:BF4"/>
    <mergeCell ref="AD4:AE4"/>
    <mergeCell ref="BG4:BH4"/>
    <mergeCell ref="BI4:BJ4"/>
    <mergeCell ref="BK4:BL4"/>
    <mergeCell ref="BM4:BN4"/>
    <mergeCell ref="BO4:BP4"/>
    <mergeCell ref="CF2:CG3"/>
    <mergeCell ref="CH2:CI3"/>
    <mergeCell ref="CJ2:CK4"/>
    <mergeCell ref="AD3:AE3"/>
    <mergeCell ref="D3:E3"/>
    <mergeCell ref="F3:G3"/>
    <mergeCell ref="H3:I3"/>
    <mergeCell ref="J3:K3"/>
    <mergeCell ref="L3:M3"/>
    <mergeCell ref="N3:O3"/>
    <mergeCell ref="AP2:AQ4"/>
    <mergeCell ref="AR2:AS3"/>
    <mergeCell ref="AW2:BD2"/>
    <mergeCell ref="BE2:BL2"/>
    <mergeCell ref="BM2:BT2"/>
    <mergeCell ref="AW3:AX3"/>
    <mergeCell ref="AY3:AZ3"/>
    <mergeCell ref="BA3:BB3"/>
    <mergeCell ref="BC3:BD3"/>
    <mergeCell ref="AB3:AC3"/>
    <mergeCell ref="AF3:AG3"/>
    <mergeCell ref="AH3:AI3"/>
    <mergeCell ref="AJ3:AK3"/>
    <mergeCell ref="BE3:BF3"/>
    <mergeCell ref="A1:C4"/>
    <mergeCell ref="D1:AS1"/>
    <mergeCell ref="AT1:AV4"/>
    <mergeCell ref="AW1:CB1"/>
    <mergeCell ref="CC1:CE4"/>
    <mergeCell ref="D2:W2"/>
    <mergeCell ref="X2:Y2"/>
    <mergeCell ref="Z2:AA2"/>
    <mergeCell ref="AF2:AG2"/>
    <mergeCell ref="AH2:AO2"/>
    <mergeCell ref="AL3:AM3"/>
    <mergeCell ref="AN3:AO3"/>
    <mergeCell ref="P3:Q3"/>
    <mergeCell ref="R3:S3"/>
    <mergeCell ref="T3:U3"/>
    <mergeCell ref="V3:W3"/>
    <mergeCell ref="X3:Y3"/>
    <mergeCell ref="Z3:AA3"/>
    <mergeCell ref="BQ3:BR3"/>
    <mergeCell ref="BS3:BT3"/>
    <mergeCell ref="BW3:BX3"/>
    <mergeCell ref="BY3:BZ3"/>
    <mergeCell ref="CA3:CB3"/>
    <mergeCell ref="BG3:BH3"/>
    <mergeCell ref="C5:C11"/>
    <mergeCell ref="C12:C18"/>
    <mergeCell ref="C19:C25"/>
    <mergeCell ref="C26:C32"/>
    <mergeCell ref="C33:C35"/>
    <mergeCell ref="AV5:AV11"/>
    <mergeCell ref="AV12:AV18"/>
    <mergeCell ref="AV19:AV25"/>
    <mergeCell ref="AV26:AV32"/>
    <mergeCell ref="AV33:AV35"/>
    <mergeCell ref="AP16:AQ16"/>
    <mergeCell ref="AP33:AQ33"/>
    <mergeCell ref="AP15:AQ15"/>
    <mergeCell ref="AP34:AQ34"/>
    <mergeCell ref="AP26:AQ26"/>
    <mergeCell ref="AP5:AQ5"/>
    <mergeCell ref="AP10:AQ10"/>
  </mergeCells>
  <phoneticPr fontId="27" type="noConversion"/>
  <conditionalFormatting sqref="A1:C4 X2:AH2 AP2 AR2 D3:N3 AD3:AE24 D4:Q4 AR4:AS4 C5 AG5:AS5 D5:X13 A5:B35 AH6:AJ6 AL6:AS6 AG6:AG35 AH7:AS11 AH12:AP12 AH13:AL14 AN13:AP14 D14:P15 R14:X15 AH15:AP16 D16:X35 AH17:AO17 AI18:AO18 AJ19:AQ19 AH19:AH20 AJ20 AL20:AQ20 AH21:AP22 AH23:AO23 AI24:AP25 AD25 AD26:AE35 AH32:AQ32 AH33:AS33 AH34:AP34 AR34:AS34 AH35:AS35">
    <cfRule type="cellIs" dxfId="8206" priority="2574" operator="equal">
      <formula>"מ"</formula>
    </cfRule>
    <cfRule type="cellIs" dxfId="8205" priority="2578" operator="equal">
      <formula>"כש"</formula>
    </cfRule>
    <cfRule type="cellIs" dxfId="8204" priority="2576" operator="equal">
      <formula>"מיל"</formula>
    </cfRule>
    <cfRule type="cellIs" dxfId="8203" priority="2575" operator="equal">
      <formula>"מנוחה"</formula>
    </cfRule>
    <cfRule type="cellIs" dxfId="8202" priority="2579" operator="equal">
      <formula>"כ"</formula>
    </cfRule>
    <cfRule type="cellIs" dxfId="8201" priority="2573" operator="equal">
      <formula>"ק"</formula>
    </cfRule>
    <cfRule type="cellIs" dxfId="8200" priority="2572" operator="equal">
      <formula>"כמ"</formula>
    </cfRule>
    <cfRule type="cellIs" dxfId="8199" priority="2571" operator="equal">
      <formula>"כמש"</formula>
    </cfRule>
    <cfRule type="cellIs" dxfId="8198" priority="2569" operator="equal">
      <formula>"י"</formula>
    </cfRule>
    <cfRule type="cellIs" dxfId="8197" priority="2568" operator="equal">
      <formula>"ל"</formula>
    </cfRule>
  </conditionalFormatting>
  <conditionalFormatting sqref="D3:N3 AD3:AE4 D4:S4">
    <cfRule type="cellIs" dxfId="8196" priority="2309" operator="equal">
      <formula>"ח"</formula>
    </cfRule>
  </conditionalFormatting>
  <conditionalFormatting sqref="P3:Q3">
    <cfRule type="cellIs" dxfId="8195" priority="2302" operator="equal">
      <formula>"י"</formula>
    </cfRule>
    <cfRule type="cellIs" dxfId="8194" priority="2303" operator="equal">
      <formula>"כמש"</formula>
    </cfRule>
    <cfRule type="cellIs" dxfId="8193" priority="2305" operator="equal">
      <formula>"ק"</formula>
    </cfRule>
    <cfRule type="cellIs" dxfId="8192" priority="2307" operator="equal">
      <formula>"מנוחה"</formula>
    </cfRule>
    <cfRule type="cellIs" dxfId="8191" priority="2306" operator="equal">
      <formula>"מ"</formula>
    </cfRule>
    <cfRule type="cellIs" dxfId="8190" priority="2308" operator="equal">
      <formula>"מיל"</formula>
    </cfRule>
    <cfRule type="cellIs" dxfId="8189" priority="2310" operator="equal">
      <formula>"כש"</formula>
    </cfRule>
    <cfRule type="cellIs" dxfId="8188" priority="2311" operator="equal">
      <formula>"כ"</formula>
    </cfRule>
    <cfRule type="cellIs" dxfId="8187" priority="2304" operator="equal">
      <formula>"כמ"</formula>
    </cfRule>
    <cfRule type="cellIs" dxfId="8186" priority="2301" operator="equal">
      <formula>"ל"</formula>
    </cfRule>
  </conditionalFormatting>
  <conditionalFormatting sqref="P3:W3">
    <cfRule type="cellIs" dxfId="8185" priority="2276" operator="equal">
      <formula>"ח"</formula>
    </cfRule>
  </conditionalFormatting>
  <conditionalFormatting sqref="R3:AO4">
    <cfRule type="cellIs" dxfId="8184" priority="2128" operator="equal">
      <formula>"כמ"</formula>
    </cfRule>
    <cfRule type="cellIs" dxfId="8183" priority="2125" operator="equal">
      <formula>"ל"</formula>
    </cfRule>
    <cfRule type="cellIs" dxfId="8182" priority="2126" operator="equal">
      <formula>"י"</formula>
    </cfRule>
    <cfRule type="cellIs" dxfId="8181" priority="2127" operator="equal">
      <formula>"כמש"</formula>
    </cfRule>
    <cfRule type="cellIs" dxfId="8180" priority="2129" operator="equal">
      <formula>"ק"</formula>
    </cfRule>
    <cfRule type="cellIs" dxfId="8179" priority="2130" operator="equal">
      <formula>"מ"</formula>
    </cfRule>
    <cfRule type="cellIs" dxfId="8178" priority="2131" operator="equal">
      <formula>"מנוחה"</formula>
    </cfRule>
    <cfRule type="cellIs" dxfId="8177" priority="2132" operator="equal">
      <formula>"מיל"</formula>
    </cfRule>
    <cfRule type="cellIs" dxfId="8176" priority="2134" operator="equal">
      <formula>"כש"</formula>
    </cfRule>
    <cfRule type="cellIs" dxfId="8175" priority="2135" operator="equal">
      <formula>"כ"</formula>
    </cfRule>
  </conditionalFormatting>
  <conditionalFormatting sqref="X4:Y4">
    <cfRule type="cellIs" dxfId="8174" priority="2320" operator="equal">
      <formula>"ח"</formula>
    </cfRule>
  </conditionalFormatting>
  <conditionalFormatting sqref="X3:AO3 Z4:AK4 AY14:AY15 A1:C4 X2:AH2 AP2 AR2 AR4:AS4 C5 AG5:AS5 BO5 BQ5 BS5 BW5:BW6 BY5:BY6 CA5:CA6 BM5:BM7 D5:X13 AD5:AE24 A5:B35 AW5:AW35 BE5:BE35 AH6:AJ6 AL6:AO6 AY6:AY7 BA6:BA7 BC6:BC7 AR6:AS8 AG6:AG35 AH7:AO7 BG7:BG8 BI7:BI8 BK7:BK8 AH8:AQ8 BM8:BO9 BQ8:BQ9 BS8:BS9 BW9:BW10 BY9:BY10 CA9:CA10 AH9:AS11 AY10:AY11 BA10:BA11 BC10:BC11 BM10:BM11 BG11:BG12 BI11:BI12 BK11:BK12 AH12:AO12 AP12:AP13 AR12:AS13 BM12:BO13 BQ12:BQ13 BS12:BS13 AH13:AL14 AN13:AO14 BW13:BW14 BY13:BY14 CA13:CA14 D14:P15 R14:X15 BA14:BA15 BC14:BC15 BM14:BM15 BG15:BG16 BI15:BI16 BK15:BK16 AH15:AO17 BM16:BO17 BQ16:BQ17 BS16:BS17 D16:X35 BW17:BW18 BY17:BY18 CA17:CA18 AI18:AO18 AY18:AY19 BA18:BA19 BC18:BC19 BM18:BM19 AR18:AS32 AJ19:AQ19 AH19:AH20 BG19:BG20 BI19:BI20 BK19:BK20 AJ20 AL20:AQ20 BM20:BO21 BQ20:BQ21 BS20:BS21 AH21:AP22 BW21:BW22 BY21:BY22 CA21:CA22 AY22:AY23 BA22:BA23 BC22:BC23 BM22:BM23 AH23:AO23 BG23:BG24 BI23:BI24 BK23:BK24 AI24:AP25 BM24:BO25 BQ24:BQ25 BS24:BS25 AD25 BW25:BW26 BY25:BY26 CA25:CA26 AH26:AO26 AY26:AY27 BA26:BA27 BC26:BC27 BM26:BM27 AD26:AE35 AH27:AP28 BG27:BG28 BI27:BI28 BK27:BK28 BM28:BO29 BQ28:BQ29 BS28:BS29 AH29:AO30 BW29:BW30 BY29:BY30 CA29:CA30 AY30:AY31 BA30:BA31 BC30:BC31 BM30:BM31 AH31:AP31 BG31:BG32 BI31:BI32 BK31:BK32 AH32:AQ32 BM32:BO33 BQ32:BQ33 BS32:BS33 AH33:AS33 BW33:BW34 BY33:BY34 CA33:CA34 AH34:AP34 AR34:AS34 AY34:AY35 BA34:BA35 BC34:BC35 BM34:BM35 AH35:AS35 BG35 BI35 BK35">
    <cfRule type="cellIs" dxfId="8173" priority="2577" operator="equal">
      <formula>"ח"</formula>
    </cfRule>
  </conditionalFormatting>
  <conditionalFormatting sqref="Y5:AF35">
    <cfRule type="cellIs" dxfId="8172" priority="10" operator="equal">
      <formula>"כש"</formula>
    </cfRule>
    <cfRule type="cellIs" dxfId="8171" priority="9" operator="equal">
      <formula>"ח"</formula>
    </cfRule>
    <cfRule type="cellIs" dxfId="8170" priority="8" operator="equal">
      <formula>"מיל"</formula>
    </cfRule>
    <cfRule type="cellIs" dxfId="8169" priority="7" operator="equal">
      <formula>"מנוחה"</formula>
    </cfRule>
    <cfRule type="cellIs" dxfId="8168" priority="5" operator="equal">
      <formula>"ק"</formula>
    </cfRule>
    <cfRule type="cellIs" dxfId="8167" priority="6" operator="equal">
      <formula>"מ"</formula>
    </cfRule>
    <cfRule type="cellIs" dxfId="8166" priority="4" operator="equal">
      <formula>"כמ"</formula>
    </cfRule>
    <cfRule type="cellIs" dxfId="8165" priority="3" operator="equal">
      <formula>"כמש"</formula>
    </cfRule>
    <cfRule type="cellIs" dxfId="8164" priority="2" operator="equal">
      <formula>"י"</formula>
    </cfRule>
    <cfRule type="cellIs" dxfId="8163" priority="11" operator="equal">
      <formula>"כ"</formula>
    </cfRule>
    <cfRule type="cellIs" dxfId="8162" priority="1" operator="equal">
      <formula>"ל"</formula>
    </cfRule>
  </conditionalFormatting>
  <conditionalFormatting sqref="AH26:AO26 AH27:AP31">
    <cfRule type="cellIs" dxfId="8161" priority="2192" operator="equal">
      <formula>"י"</formula>
    </cfRule>
    <cfRule type="cellIs" dxfId="8160" priority="2191" operator="equal">
      <formula>"ל"</formula>
    </cfRule>
    <cfRule type="cellIs" dxfId="8159" priority="2201" operator="equal">
      <formula>"כ"</formula>
    </cfRule>
    <cfRule type="cellIs" dxfId="8158" priority="2200" operator="equal">
      <formula>"כש"</formula>
    </cfRule>
    <cfRule type="cellIs" dxfId="8157" priority="2198" operator="equal">
      <formula>"מיל"</formula>
    </cfRule>
    <cfRule type="cellIs" dxfId="8156" priority="2197" operator="equal">
      <formula>"מנוחה"</formula>
    </cfRule>
    <cfRule type="cellIs" dxfId="8155" priority="2196" operator="equal">
      <formula>"מ"</formula>
    </cfRule>
    <cfRule type="cellIs" dxfId="8154" priority="2195" operator="equal">
      <formula>"ק"</formula>
    </cfRule>
    <cfRule type="cellIs" dxfId="8153" priority="2194" operator="equal">
      <formula>"כמ"</formula>
    </cfRule>
    <cfRule type="cellIs" dxfId="8152" priority="2193" operator="equal">
      <formula>"כמש"</formula>
    </cfRule>
  </conditionalFormatting>
  <conditionalFormatting sqref="AL4:AO4">
    <cfRule type="cellIs" dxfId="8151" priority="2133" operator="equal">
      <formula>"ח"</formula>
    </cfRule>
  </conditionalFormatting>
  <conditionalFormatting sqref="AP29:AP30">
    <cfRule type="cellIs" dxfId="8150" priority="2199" operator="equal">
      <formula>"ח"</formula>
    </cfRule>
  </conditionalFormatting>
  <conditionalFormatting sqref="AP6:AQ7">
    <cfRule type="cellIs" dxfId="8149" priority="20" operator="equal">
      <formula>"ח"</formula>
    </cfRule>
  </conditionalFormatting>
  <conditionalFormatting sqref="AT1 CC1 AP14:AP16 AR14:AS17">
    <cfRule type="cellIs" dxfId="8148" priority="2565" operator="equal">
      <formula>"ח"</formula>
    </cfRule>
  </conditionalFormatting>
  <conditionalFormatting sqref="AT1 CC1 AR12:AS32">
    <cfRule type="cellIs" dxfId="8147" priority="2567" operator="equal">
      <formula>"כ"</formula>
    </cfRule>
    <cfRule type="cellIs" dxfId="8146" priority="2556" operator="equal">
      <formula>"ל"</formula>
    </cfRule>
    <cfRule type="cellIs" dxfId="8145" priority="2557" operator="equal">
      <formula>"י"</formula>
    </cfRule>
    <cfRule type="cellIs" dxfId="8144" priority="2559" operator="equal">
      <formula>"כמש"</formula>
    </cfRule>
    <cfRule type="cellIs" dxfId="8143" priority="2560" operator="equal">
      <formula>"כמ"</formula>
    </cfRule>
    <cfRule type="cellIs" dxfId="8142" priority="2561" operator="equal">
      <formula>"ק"</formula>
    </cfRule>
    <cfRule type="cellIs" dxfId="8141" priority="2562" operator="equal">
      <formula>"מ"</formula>
    </cfRule>
    <cfRule type="cellIs" dxfId="8140" priority="2563" operator="equal">
      <formula>"מנוחה"</formula>
    </cfRule>
    <cfRule type="cellIs" dxfId="8139" priority="2564" operator="equal">
      <formula>"מיל"</formula>
    </cfRule>
    <cfRule type="cellIs" dxfId="8138" priority="2566" operator="equal">
      <formula>"כש"</formula>
    </cfRule>
  </conditionalFormatting>
  <conditionalFormatting sqref="AT5:AU35">
    <cfRule type="cellIs" dxfId="8137" priority="2118" operator="equal">
      <formula>"ק"</formula>
    </cfRule>
    <cfRule type="cellIs" dxfId="8136" priority="2123" operator="equal">
      <formula>"כש"</formula>
    </cfRule>
    <cfRule type="cellIs" dxfId="8135" priority="2119" operator="equal">
      <formula>"מ"</formula>
    </cfRule>
    <cfRule type="cellIs" dxfId="8134" priority="2120" operator="equal">
      <formula>"מנוחה"</formula>
    </cfRule>
    <cfRule type="cellIs" dxfId="8133" priority="2121" operator="equal">
      <formula>"מיל"</formula>
    </cfRule>
    <cfRule type="cellIs" dxfId="8132" priority="2124" operator="equal">
      <formula>"כ"</formula>
    </cfRule>
    <cfRule type="cellIs" dxfId="8131" priority="2114" operator="equal">
      <formula>"ל"</formula>
    </cfRule>
    <cfRule type="cellIs" dxfId="8130" priority="2115" operator="equal">
      <formula>"י"</formula>
    </cfRule>
    <cfRule type="cellIs" dxfId="8129" priority="2116" operator="equal">
      <formula>"כמש"</formula>
    </cfRule>
    <cfRule type="cellIs" dxfId="8128" priority="2117" operator="equal">
      <formula>"כמ"</formula>
    </cfRule>
  </conditionalFormatting>
  <conditionalFormatting sqref="AV5 AT5:AU35">
    <cfRule type="cellIs" dxfId="8127" priority="2122" operator="equal">
      <formula>"ח"</formula>
    </cfRule>
  </conditionalFormatting>
  <conditionalFormatting sqref="AV5:BB5">
    <cfRule type="cellIs" dxfId="8126" priority="493" operator="equal">
      <formula>"כמ"</formula>
    </cfRule>
    <cfRule type="cellIs" dxfId="8125" priority="492" operator="equal">
      <formula>"כמש"</formula>
    </cfRule>
    <cfRule type="cellIs" dxfId="8124" priority="491" operator="equal">
      <formula>"י"</formula>
    </cfRule>
    <cfRule type="cellIs" dxfId="8123" priority="490" operator="equal">
      <formula>"ל"</formula>
    </cfRule>
    <cfRule type="cellIs" dxfId="8122" priority="494" operator="equal">
      <formula>"ק"</formula>
    </cfRule>
    <cfRule type="cellIs" dxfId="8121" priority="495" operator="equal">
      <formula>"מ"</formula>
    </cfRule>
    <cfRule type="cellIs" dxfId="8120" priority="496" operator="equal">
      <formula>"מנוחה"</formula>
    </cfRule>
    <cfRule type="cellIs" dxfId="8119" priority="497" operator="equal">
      <formula>"מיל"</formula>
    </cfRule>
    <cfRule type="cellIs" dxfId="8118" priority="498" operator="equal">
      <formula>"כש"</formula>
    </cfRule>
    <cfRule type="cellIs" dxfId="8117" priority="499" operator="equal">
      <formula>"כ"</formula>
    </cfRule>
  </conditionalFormatting>
  <conditionalFormatting sqref="AW39 AY39 BA39 BC39 BE39 BG39 BI39 BK39 BM39 BO39 BQ39 BS39 BW39 BY39 CA39:CB39">
    <cfRule type="cellIs" dxfId="8116" priority="2323" operator="lessThan">
      <formula>$CE$39</formula>
    </cfRule>
    <cfRule type="cellIs" dxfId="8115" priority="2324" operator="greaterThan">
      <formula>$CE$39</formula>
    </cfRule>
  </conditionalFormatting>
  <conditionalFormatting sqref="AW3:AZ3 BE3:BO3 AW4:AY4 BE4 BG4 BI4 BK4:BM4 BO4 BS4:BU4 BW4 BY4 CA4">
    <cfRule type="cellIs" dxfId="8114" priority="2243" operator="equal">
      <formula>"ח"</formula>
    </cfRule>
  </conditionalFormatting>
  <conditionalFormatting sqref="AW8:BD9">
    <cfRule type="cellIs" dxfId="8113" priority="416" operator="equal">
      <formula>"כמש"</formula>
    </cfRule>
    <cfRule type="cellIs" dxfId="8112" priority="415" operator="equal">
      <formula>"י"</formula>
    </cfRule>
    <cfRule type="cellIs" dxfId="8111" priority="414" operator="equal">
      <formula>"ל"</formula>
    </cfRule>
    <cfRule type="cellIs" dxfId="8110" priority="417" operator="equal">
      <formula>"כמ"</formula>
    </cfRule>
    <cfRule type="cellIs" dxfId="8109" priority="418" operator="equal">
      <formula>"ק"</formula>
    </cfRule>
    <cfRule type="cellIs" dxfId="8108" priority="419" operator="equal">
      <formula>"מ"</formula>
    </cfRule>
    <cfRule type="cellIs" dxfId="8107" priority="420" operator="equal">
      <formula>"מנוחה"</formula>
    </cfRule>
    <cfRule type="cellIs" dxfId="8106" priority="421" operator="equal">
      <formula>"מיל"</formula>
    </cfRule>
    <cfRule type="cellIs" dxfId="8105" priority="422" operator="equal">
      <formula>"כש"</formula>
    </cfRule>
    <cfRule type="cellIs" dxfId="8104" priority="423" operator="equal">
      <formula>"כ"</formula>
    </cfRule>
  </conditionalFormatting>
  <conditionalFormatting sqref="AW12:BD13">
    <cfRule type="cellIs" dxfId="8103" priority="356" operator="equal">
      <formula>"מיל"</formula>
    </cfRule>
    <cfRule type="cellIs" dxfId="8102" priority="350" operator="equal">
      <formula>"י"</formula>
    </cfRule>
    <cfRule type="cellIs" dxfId="8101" priority="349" operator="equal">
      <formula>"ל"</formula>
    </cfRule>
    <cfRule type="cellIs" dxfId="8100" priority="355" operator="equal">
      <formula>"מנוחה"</formula>
    </cfRule>
    <cfRule type="cellIs" dxfId="8099" priority="354" operator="equal">
      <formula>"מ"</formula>
    </cfRule>
    <cfRule type="cellIs" dxfId="8098" priority="353" operator="equal">
      <formula>"ק"</formula>
    </cfRule>
    <cfRule type="cellIs" dxfId="8097" priority="352" operator="equal">
      <formula>"כמ"</formula>
    </cfRule>
    <cfRule type="cellIs" dxfId="8096" priority="351" operator="equal">
      <formula>"כמש"</formula>
    </cfRule>
    <cfRule type="cellIs" dxfId="8095" priority="358" operator="equal">
      <formula>"כ"</formula>
    </cfRule>
    <cfRule type="cellIs" dxfId="8094" priority="357" operator="equal">
      <formula>"כש"</formula>
    </cfRule>
  </conditionalFormatting>
  <conditionalFormatting sqref="AW16:BD17">
    <cfRule type="cellIs" dxfId="8093" priority="288" operator="equal">
      <formula>"ק"</formula>
    </cfRule>
    <cfRule type="cellIs" dxfId="8092" priority="289" operator="equal">
      <formula>"מ"</formula>
    </cfRule>
    <cfRule type="cellIs" dxfId="8091" priority="290" operator="equal">
      <formula>"מנוחה"</formula>
    </cfRule>
    <cfRule type="cellIs" dxfId="8090" priority="291" operator="equal">
      <formula>"מיל"</formula>
    </cfRule>
    <cfRule type="cellIs" dxfId="8089" priority="292" operator="equal">
      <formula>"כש"</formula>
    </cfRule>
    <cfRule type="cellIs" dxfId="8088" priority="293" operator="equal">
      <formula>"כ"</formula>
    </cfRule>
    <cfRule type="cellIs" dxfId="8087" priority="287" operator="equal">
      <formula>"כמ"</formula>
    </cfRule>
    <cfRule type="cellIs" dxfId="8086" priority="284" operator="equal">
      <formula>"ל"</formula>
    </cfRule>
    <cfRule type="cellIs" dxfId="8085" priority="285" operator="equal">
      <formula>"י"</formula>
    </cfRule>
    <cfRule type="cellIs" dxfId="8084" priority="286" operator="equal">
      <formula>"כמש"</formula>
    </cfRule>
  </conditionalFormatting>
  <conditionalFormatting sqref="AW20:BD21">
    <cfRule type="cellIs" dxfId="8083" priority="225" operator="equal">
      <formula>"מנוחה"</formula>
    </cfRule>
    <cfRule type="cellIs" dxfId="8082" priority="228" operator="equal">
      <formula>"כ"</formula>
    </cfRule>
    <cfRule type="cellIs" dxfId="8081" priority="227" operator="equal">
      <formula>"כש"</formula>
    </cfRule>
    <cfRule type="cellIs" dxfId="8080" priority="226" operator="equal">
      <formula>"מיל"</formula>
    </cfRule>
    <cfRule type="cellIs" dxfId="8079" priority="224" operator="equal">
      <formula>"מ"</formula>
    </cfRule>
    <cfRule type="cellIs" dxfId="8078" priority="222" operator="equal">
      <formula>"כמ"</formula>
    </cfRule>
    <cfRule type="cellIs" dxfId="8077" priority="221" operator="equal">
      <formula>"כמש"</formula>
    </cfRule>
    <cfRule type="cellIs" dxfId="8076" priority="220" operator="equal">
      <formula>"י"</formula>
    </cfRule>
    <cfRule type="cellIs" dxfId="8075" priority="219" operator="equal">
      <formula>"ל"</formula>
    </cfRule>
    <cfRule type="cellIs" dxfId="8074" priority="223" operator="equal">
      <formula>"ק"</formula>
    </cfRule>
  </conditionalFormatting>
  <conditionalFormatting sqref="AW24:BD25">
    <cfRule type="cellIs" dxfId="8073" priority="157" operator="equal">
      <formula>"כמ"</formula>
    </cfRule>
    <cfRule type="cellIs" dxfId="8072" priority="158" operator="equal">
      <formula>"ק"</formula>
    </cfRule>
    <cfRule type="cellIs" dxfId="8071" priority="159" operator="equal">
      <formula>"מ"</formula>
    </cfRule>
    <cfRule type="cellIs" dxfId="8070" priority="161" operator="equal">
      <formula>"מיל"</formula>
    </cfRule>
    <cfRule type="cellIs" dxfId="8069" priority="163" operator="equal">
      <formula>"כ"</formula>
    </cfRule>
    <cfRule type="cellIs" dxfId="8068" priority="160" operator="equal">
      <formula>"מנוחה"</formula>
    </cfRule>
    <cfRule type="cellIs" dxfId="8067" priority="162" operator="equal">
      <formula>"כש"</formula>
    </cfRule>
    <cfRule type="cellIs" dxfId="8066" priority="154" operator="equal">
      <formula>"ל"</formula>
    </cfRule>
    <cfRule type="cellIs" dxfId="8065" priority="155" operator="equal">
      <formula>"י"</formula>
    </cfRule>
    <cfRule type="cellIs" dxfId="8064" priority="156" operator="equal">
      <formula>"כמש"</formula>
    </cfRule>
  </conditionalFormatting>
  <conditionalFormatting sqref="AW28:BD29">
    <cfRule type="cellIs" dxfId="8063" priority="97" operator="equal">
      <formula>"כש"</formula>
    </cfRule>
    <cfRule type="cellIs" dxfId="8062" priority="98" operator="equal">
      <formula>"כ"</formula>
    </cfRule>
    <cfRule type="cellIs" dxfId="8061" priority="91" operator="equal">
      <formula>"כמש"</formula>
    </cfRule>
    <cfRule type="cellIs" dxfId="8060" priority="89" operator="equal">
      <formula>"ל"</formula>
    </cfRule>
    <cfRule type="cellIs" dxfId="8059" priority="90" operator="equal">
      <formula>"י"</formula>
    </cfRule>
    <cfRule type="cellIs" dxfId="8058" priority="92" operator="equal">
      <formula>"כמ"</formula>
    </cfRule>
    <cfRule type="cellIs" dxfId="8057" priority="93" operator="equal">
      <formula>"ק"</formula>
    </cfRule>
    <cfRule type="cellIs" dxfId="8056" priority="94" operator="equal">
      <formula>"מ"</formula>
    </cfRule>
    <cfRule type="cellIs" dxfId="8055" priority="95" operator="equal">
      <formula>"מנוחה"</formula>
    </cfRule>
    <cfRule type="cellIs" dxfId="8054" priority="96" operator="equal">
      <formula>"מיל"</formula>
    </cfRule>
  </conditionalFormatting>
  <conditionalFormatting sqref="AW32:BD33">
    <cfRule type="cellIs" dxfId="8053" priority="24" operator="equal">
      <formula>"ל"</formula>
    </cfRule>
    <cfRule type="cellIs" dxfId="8052" priority="25" operator="equal">
      <formula>"י"</formula>
    </cfRule>
    <cfRule type="cellIs" dxfId="8051" priority="26" operator="equal">
      <formula>"כמש"</formula>
    </cfRule>
    <cfRule type="cellIs" dxfId="8050" priority="31" operator="equal">
      <formula>"מיל"</formula>
    </cfRule>
    <cfRule type="cellIs" dxfId="8049" priority="27" operator="equal">
      <formula>"כמ"</formula>
    </cfRule>
    <cfRule type="cellIs" dxfId="8048" priority="33" operator="equal">
      <formula>"כ"</formula>
    </cfRule>
    <cfRule type="cellIs" dxfId="8047" priority="32" operator="equal">
      <formula>"כש"</formula>
    </cfRule>
    <cfRule type="cellIs" dxfId="8046" priority="30" operator="equal">
      <formula>"מנוחה"</formula>
    </cfRule>
    <cfRule type="cellIs" dxfId="8045" priority="29" operator="equal">
      <formula>"מ"</formula>
    </cfRule>
    <cfRule type="cellIs" dxfId="8044" priority="28" operator="equal">
      <formula>"ק"</formula>
    </cfRule>
  </conditionalFormatting>
  <conditionalFormatting sqref="AW6:BE6 AW7:BL7 BU7 BE8:BL8 BE9 AW10:BE10 AW11:BL11 BE12:BL12 BE13 BT13:BW13 AW14:AY14 BA14:BE14 BQ14:BW14 BE17 AW18:BE18 AW19:BL19 BE20:BL20 BE21 BT21:BW21 AW22:BE22 BQ22:BW22 BE24:BL24 BE25 AW26:BE26 AW27:BL27 BE28:BL28 BE29 AW30:BE30 AW31:BL31 BE32:BL32 BE33 AW34:BE34 AW35:BL35">
    <cfRule type="cellIs" dxfId="8043" priority="2434" operator="equal">
      <formula>"כ"</formula>
    </cfRule>
    <cfRule type="cellIs" dxfId="8042" priority="2433" operator="equal">
      <formula>"כש"</formula>
    </cfRule>
  </conditionalFormatting>
  <conditionalFormatting sqref="AW2:BU2 T4:W4 AZ5:AZ13 AY15 AZ15:AZ35">
    <cfRule type="cellIs" dxfId="8041" priority="2155" operator="equal">
      <formula>"ח"</formula>
    </cfRule>
  </conditionalFormatting>
  <conditionalFormatting sqref="AW2:BU2 AW3:AZ3 BE3:BO3 AW4:AY4 BG4 BK4:BM4 BO4 BS4:BU4 BW4 BY4 CA4 BE4:BE5">
    <cfRule type="cellIs" dxfId="8040" priority="2244" operator="equal">
      <formula>"כש"</formula>
    </cfRule>
    <cfRule type="cellIs" dxfId="8039" priority="2245" operator="equal">
      <formula>"כ"</formula>
    </cfRule>
  </conditionalFormatting>
  <conditionalFormatting sqref="AW2:BU2 AW3:AZ3 BE3:BO3 AW4:AY4 BG4 BK4:BM4 BO4 BS4:BU4 BW4 BY4 CA4 BM5:BT5 BW5:CB12 BU7 BM9:BV9 BQ13:CB14 AW14:AY14 BA14:BE14 BW15:CB20 BM17:BV17 BQ21:CB22 BW23:CB32 BM25:BV25 BM33:CB33 BN34:CB35">
    <cfRule type="cellIs" dxfId="8038" priority="2238" operator="equal">
      <formula>"כמ"</formula>
    </cfRule>
    <cfRule type="cellIs" dxfId="8037" priority="2239" operator="equal">
      <formula>"ק"</formula>
    </cfRule>
    <cfRule type="cellIs" dxfId="8036" priority="2240" operator="equal">
      <formula>"מ"</formula>
    </cfRule>
    <cfRule type="cellIs" dxfId="8035" priority="2242" operator="equal">
      <formula>"מיל"</formula>
    </cfRule>
    <cfRule type="cellIs" dxfId="8034" priority="2241" operator="equal">
      <formula>"מנוחה"</formula>
    </cfRule>
    <cfRule type="cellIs" dxfId="8033" priority="2235" operator="equal">
      <formula>"ל"</formula>
    </cfRule>
    <cfRule type="cellIs" dxfId="8032" priority="2236" operator="equal">
      <formula>"י"</formula>
    </cfRule>
    <cfRule type="cellIs" dxfId="8031" priority="2237" operator="equal">
      <formula>"כמש"</formula>
    </cfRule>
  </conditionalFormatting>
  <conditionalFormatting sqref="AX5:AX35">
    <cfRule type="cellIs" dxfId="8030" priority="86" operator="equal">
      <formula>"ח"</formula>
    </cfRule>
  </conditionalFormatting>
  <conditionalFormatting sqref="AY5 BA5 BC5">
    <cfRule type="cellIs" dxfId="8029" priority="542" operator="equal">
      <formula>"ח"</formula>
    </cfRule>
  </conditionalFormatting>
  <conditionalFormatting sqref="AY8:AY9 BA8:BA9 BC8:BC9">
    <cfRule type="cellIs" dxfId="8028" priority="477" operator="equal">
      <formula>"ח"</formula>
    </cfRule>
  </conditionalFormatting>
  <conditionalFormatting sqref="AY12:AY13 BA12:BA13 BC12:BC13">
    <cfRule type="cellIs" dxfId="8027" priority="412" operator="equal">
      <formula>"ח"</formula>
    </cfRule>
  </conditionalFormatting>
  <conditionalFormatting sqref="AY16:AY17 BA16:BA17 BC16:BC17">
    <cfRule type="cellIs" dxfId="8026" priority="347" operator="equal">
      <formula>"ח"</formula>
    </cfRule>
  </conditionalFormatting>
  <conditionalFormatting sqref="AY20:AY21 BA20:BA21 BC20:BC21">
    <cfRule type="cellIs" dxfId="8025" priority="282" operator="equal">
      <formula>"ח"</formula>
    </cfRule>
  </conditionalFormatting>
  <conditionalFormatting sqref="AY24:AY25 BA24:BA25 BC24:BC25">
    <cfRule type="cellIs" dxfId="8024" priority="217" operator="equal">
      <formula>"ח"</formula>
    </cfRule>
  </conditionalFormatting>
  <conditionalFormatting sqref="AY28:AY29 BA28:BA29 BC28:BC29">
    <cfRule type="cellIs" dxfId="8023" priority="152" operator="equal">
      <formula>"ח"</formula>
    </cfRule>
  </conditionalFormatting>
  <conditionalFormatting sqref="AY32:AY33 BA32:BA33 BC32:BC33">
    <cfRule type="cellIs" dxfId="8022" priority="87" operator="equal">
      <formula>"ח"</formula>
    </cfRule>
  </conditionalFormatting>
  <conditionalFormatting sqref="BB5:BB35">
    <cfRule type="cellIs" dxfId="8021" priority="34" operator="equal">
      <formula>"ח"</formula>
    </cfRule>
  </conditionalFormatting>
  <conditionalFormatting sqref="BC3:BC4">
    <cfRule type="cellIs" dxfId="8020" priority="2221" operator="equal">
      <formula>"ח"</formula>
    </cfRule>
  </conditionalFormatting>
  <conditionalFormatting sqref="BC3:BC5">
    <cfRule type="cellIs" dxfId="8019" priority="534" operator="equal">
      <formula>"כמ"</formula>
    </cfRule>
    <cfRule type="cellIs" dxfId="8018" priority="531" operator="equal">
      <formula>"ל"</formula>
    </cfRule>
    <cfRule type="cellIs" dxfId="8017" priority="532" operator="equal">
      <formula>"י"</formula>
    </cfRule>
    <cfRule type="cellIs" dxfId="8016" priority="533" operator="equal">
      <formula>"כמש"</formula>
    </cfRule>
    <cfRule type="cellIs" dxfId="8015" priority="535" operator="equal">
      <formula>"ק"</formula>
    </cfRule>
    <cfRule type="cellIs" dxfId="8014" priority="536" operator="equal">
      <formula>"מ"</formula>
    </cfRule>
    <cfRule type="cellIs" dxfId="8013" priority="537" operator="equal">
      <formula>"מנוחה"</formula>
    </cfRule>
    <cfRule type="cellIs" dxfId="8012" priority="538" operator="equal">
      <formula>"מיל"</formula>
    </cfRule>
    <cfRule type="cellIs" dxfId="8011" priority="539" operator="equal">
      <formula>"כש"</formula>
    </cfRule>
    <cfRule type="cellIs" dxfId="8010" priority="540" operator="equal">
      <formula>"כ"</formula>
    </cfRule>
  </conditionalFormatting>
  <conditionalFormatting sqref="BD5">
    <cfRule type="cellIs" dxfId="8009" priority="483" operator="equal">
      <formula>"ק"</formula>
    </cfRule>
    <cfRule type="cellIs" dxfId="8008" priority="479" operator="equal">
      <formula>"ל"</formula>
    </cfRule>
    <cfRule type="cellIs" dxfId="8007" priority="480" operator="equal">
      <formula>"י"</formula>
    </cfRule>
    <cfRule type="cellIs" dxfId="8006" priority="481" operator="equal">
      <formula>"כמש"</formula>
    </cfRule>
    <cfRule type="cellIs" dxfId="8005" priority="482" operator="equal">
      <formula>"כמ"</formula>
    </cfRule>
    <cfRule type="cellIs" dxfId="8004" priority="488" operator="equal">
      <formula>"כ"</formula>
    </cfRule>
    <cfRule type="cellIs" dxfId="8003" priority="484" operator="equal">
      <formula>"מ"</formula>
    </cfRule>
    <cfRule type="cellIs" dxfId="8002" priority="485" operator="equal">
      <formula>"מנוחה"</formula>
    </cfRule>
    <cfRule type="cellIs" dxfId="8001" priority="486" operator="equal">
      <formula>"מיל"</formula>
    </cfRule>
    <cfRule type="cellIs" dxfId="8000" priority="487" operator="equal">
      <formula>"כש"</formula>
    </cfRule>
  </conditionalFormatting>
  <conditionalFormatting sqref="BD5:BD35">
    <cfRule type="cellIs" dxfId="7999" priority="23" operator="equal">
      <formula>"ח"</formula>
    </cfRule>
  </conditionalFormatting>
  <conditionalFormatting sqref="BE4:BE5 AW6:BE6 BM6 AW7:BM7 BE8:BV8 BE9 AW10:BE10 BM10 AW11:BM11 BE12:BO12 BQ12:BV12 BE13 BE17 AW18:BE18 BM18 AW19:BM19 BE20:BO20 BQ20:BV20 BE21 AW22:BE22 BE24:BV24 BE25 AW26:BE26 BM26 AW27:BM27 BE28:BO28 BE29 BM29:BO29 AW30:BE30 BM30 AW31:BM31 BE32:BV32 BE33 AW34:BE34 BM34 AW35:BM35">
    <cfRule type="cellIs" dxfId="7998" priority="2175" operator="equal">
      <formula>"מנוחה"</formula>
    </cfRule>
    <cfRule type="cellIs" dxfId="7997" priority="2176" operator="equal">
      <formula>"מיל"</formula>
    </cfRule>
    <cfRule type="cellIs" dxfId="7996" priority="2169" operator="equal">
      <formula>"ל"</formula>
    </cfRule>
    <cfRule type="cellIs" dxfId="7995" priority="2170" operator="equal">
      <formula>"י"</formula>
    </cfRule>
    <cfRule type="cellIs" dxfId="7994" priority="2174" operator="equal">
      <formula>"מ"</formula>
    </cfRule>
    <cfRule type="cellIs" dxfId="7993" priority="2171" operator="equal">
      <formula>"כמש"</formula>
    </cfRule>
    <cfRule type="cellIs" dxfId="7992" priority="2172" operator="equal">
      <formula>"כמ"</formula>
    </cfRule>
    <cfRule type="cellIs" dxfId="7991" priority="2173" operator="equal">
      <formula>"ק"</formula>
    </cfRule>
  </conditionalFormatting>
  <conditionalFormatting sqref="BF5:BF35">
    <cfRule type="cellIs" dxfId="7990" priority="1646" operator="equal">
      <formula>"ח"</formula>
    </cfRule>
  </conditionalFormatting>
  <conditionalFormatting sqref="BF5:BH6">
    <cfRule type="cellIs" dxfId="7989" priority="2070" operator="equal">
      <formula>"כ"</formula>
    </cfRule>
    <cfRule type="cellIs" dxfId="7988" priority="2062" operator="equal">
      <formula>"י"</formula>
    </cfRule>
    <cfRule type="cellIs" dxfId="7987" priority="2063" operator="equal">
      <formula>"כמש"</formula>
    </cfRule>
    <cfRule type="cellIs" dxfId="7986" priority="2064" operator="equal">
      <formula>"כמ"</formula>
    </cfRule>
    <cfRule type="cellIs" dxfId="7985" priority="2065" operator="equal">
      <formula>"ק"</formula>
    </cfRule>
    <cfRule type="cellIs" dxfId="7984" priority="2066" operator="equal">
      <formula>"מ"</formula>
    </cfRule>
    <cfRule type="cellIs" dxfId="7983" priority="2067" operator="equal">
      <formula>"מנוחה"</formula>
    </cfRule>
    <cfRule type="cellIs" dxfId="7982" priority="2068" operator="equal">
      <formula>"מיל"</formula>
    </cfRule>
    <cfRule type="cellIs" dxfId="7981" priority="2061" operator="equal">
      <formula>"ל"</formula>
    </cfRule>
    <cfRule type="cellIs" dxfId="7980" priority="2069" operator="equal">
      <formula>"כש"</formula>
    </cfRule>
  </conditionalFormatting>
  <conditionalFormatting sqref="BF9:BL10">
    <cfRule type="cellIs" dxfId="7979" priority="1974" operator="equal">
      <formula>"ל"</formula>
    </cfRule>
    <cfRule type="cellIs" dxfId="7978" priority="1975" operator="equal">
      <formula>"י"</formula>
    </cfRule>
    <cfRule type="cellIs" dxfId="7977" priority="1976" operator="equal">
      <formula>"כמש"</formula>
    </cfRule>
    <cfRule type="cellIs" dxfId="7976" priority="1983" operator="equal">
      <formula>"כ"</formula>
    </cfRule>
    <cfRule type="cellIs" dxfId="7975" priority="1982" operator="equal">
      <formula>"כש"</formula>
    </cfRule>
    <cfRule type="cellIs" dxfId="7974" priority="1981" operator="equal">
      <formula>"מיל"</formula>
    </cfRule>
    <cfRule type="cellIs" dxfId="7973" priority="1980" operator="equal">
      <formula>"מנוחה"</formula>
    </cfRule>
    <cfRule type="cellIs" dxfId="7972" priority="1977" operator="equal">
      <formula>"כמ"</formula>
    </cfRule>
    <cfRule type="cellIs" dxfId="7971" priority="1979" operator="equal">
      <formula>"מ"</formula>
    </cfRule>
    <cfRule type="cellIs" dxfId="7970" priority="1978" operator="equal">
      <formula>"ק"</formula>
    </cfRule>
  </conditionalFormatting>
  <conditionalFormatting sqref="BF13:BL14">
    <cfRule type="cellIs" dxfId="7969" priority="1917" operator="equal">
      <formula>"כש"</formula>
    </cfRule>
    <cfRule type="cellIs" dxfId="7968" priority="1918" operator="equal">
      <formula>"כ"</formula>
    </cfRule>
  </conditionalFormatting>
  <conditionalFormatting sqref="BF17:BL18">
    <cfRule type="cellIs" dxfId="7967" priority="1847" operator="equal">
      <formula>"כמ"</formula>
    </cfRule>
    <cfRule type="cellIs" dxfId="7966" priority="1846" operator="equal">
      <formula>"כמש"</formula>
    </cfRule>
    <cfRule type="cellIs" dxfId="7965" priority="1845" operator="equal">
      <formula>"י"</formula>
    </cfRule>
    <cfRule type="cellIs" dxfId="7964" priority="1850" operator="equal">
      <formula>"מנוחה"</formula>
    </cfRule>
    <cfRule type="cellIs" dxfId="7963" priority="1844" operator="equal">
      <formula>"ל"</formula>
    </cfRule>
    <cfRule type="cellIs" dxfId="7962" priority="1851" operator="equal">
      <formula>"מיל"</formula>
    </cfRule>
    <cfRule type="cellIs" dxfId="7961" priority="1852" operator="equal">
      <formula>"כש"</formula>
    </cfRule>
    <cfRule type="cellIs" dxfId="7960" priority="1853" operator="equal">
      <formula>"כ"</formula>
    </cfRule>
    <cfRule type="cellIs" dxfId="7959" priority="1849" operator="equal">
      <formula>"מ"</formula>
    </cfRule>
    <cfRule type="cellIs" dxfId="7958" priority="1848" operator="equal">
      <formula>"ק"</formula>
    </cfRule>
  </conditionalFormatting>
  <conditionalFormatting sqref="BF21:BL22">
    <cfRule type="cellIs" dxfId="7957" priority="1788" operator="equal">
      <formula>"כ"</formula>
    </cfRule>
    <cfRule type="cellIs" dxfId="7956" priority="1787" operator="equal">
      <formula>"כש"</formula>
    </cfRule>
  </conditionalFormatting>
  <conditionalFormatting sqref="BF25:BL26">
    <cfRule type="cellIs" dxfId="7955" priority="1715" operator="equal">
      <formula>"י"</formula>
    </cfRule>
    <cfRule type="cellIs" dxfId="7954" priority="1721" operator="equal">
      <formula>"מיל"</formula>
    </cfRule>
    <cfRule type="cellIs" dxfId="7953" priority="1723" operator="equal">
      <formula>"כ"</formula>
    </cfRule>
    <cfRule type="cellIs" dxfId="7952" priority="1720" operator="equal">
      <formula>"מנוחה"</formula>
    </cfRule>
    <cfRule type="cellIs" dxfId="7951" priority="1722" operator="equal">
      <formula>"כש"</formula>
    </cfRule>
    <cfRule type="cellIs" dxfId="7950" priority="1714" operator="equal">
      <formula>"ל"</formula>
    </cfRule>
    <cfRule type="cellIs" dxfId="7949" priority="1716" operator="equal">
      <formula>"כמש"</formula>
    </cfRule>
    <cfRule type="cellIs" dxfId="7948" priority="1717" operator="equal">
      <formula>"כמ"</formula>
    </cfRule>
    <cfRule type="cellIs" dxfId="7947" priority="1718" operator="equal">
      <formula>"ק"</formula>
    </cfRule>
    <cfRule type="cellIs" dxfId="7946" priority="1719" operator="equal">
      <formula>"מ"</formula>
    </cfRule>
  </conditionalFormatting>
  <conditionalFormatting sqref="BF29:BL30">
    <cfRule type="cellIs" dxfId="7945" priority="1655" operator="equal">
      <formula>"מנוחה"</formula>
    </cfRule>
    <cfRule type="cellIs" dxfId="7944" priority="1654" operator="equal">
      <formula>"מ"</formula>
    </cfRule>
    <cfRule type="cellIs" dxfId="7943" priority="1653" operator="equal">
      <formula>"ק"</formula>
    </cfRule>
    <cfRule type="cellIs" dxfId="7942" priority="1656" operator="equal">
      <formula>"מיל"</formula>
    </cfRule>
    <cfRule type="cellIs" dxfId="7941" priority="1652" operator="equal">
      <formula>"כמ"</formula>
    </cfRule>
    <cfRule type="cellIs" dxfId="7940" priority="1650" operator="equal">
      <formula>"י"</formula>
    </cfRule>
    <cfRule type="cellIs" dxfId="7939" priority="1649" operator="equal">
      <formula>"ל"</formula>
    </cfRule>
    <cfRule type="cellIs" dxfId="7938" priority="1651" operator="equal">
      <formula>"כמש"</formula>
    </cfRule>
    <cfRule type="cellIs" dxfId="7937" priority="1657" operator="equal">
      <formula>"כש"</formula>
    </cfRule>
    <cfRule type="cellIs" dxfId="7936" priority="1658" operator="equal">
      <formula>"כ"</formula>
    </cfRule>
  </conditionalFormatting>
  <conditionalFormatting sqref="BF33:BL34">
    <cfRule type="cellIs" dxfId="7935" priority="1585" operator="equal">
      <formula>"י"</formula>
    </cfRule>
    <cfRule type="cellIs" dxfId="7934" priority="1586" operator="equal">
      <formula>"כמש"</formula>
    </cfRule>
    <cfRule type="cellIs" dxfId="7933" priority="1587" operator="equal">
      <formula>"כמ"</formula>
    </cfRule>
    <cfRule type="cellIs" dxfId="7932" priority="1588" operator="equal">
      <formula>"ק"</formula>
    </cfRule>
    <cfRule type="cellIs" dxfId="7931" priority="1590" operator="equal">
      <formula>"מנוחה"</formula>
    </cfRule>
    <cfRule type="cellIs" dxfId="7930" priority="1589" operator="equal">
      <formula>"מ"</formula>
    </cfRule>
    <cfRule type="cellIs" dxfId="7929" priority="1591" operator="equal">
      <formula>"מיל"</formula>
    </cfRule>
    <cfRule type="cellIs" dxfId="7928" priority="1592" operator="equal">
      <formula>"כש"</formula>
    </cfRule>
    <cfRule type="cellIs" dxfId="7927" priority="1584" operator="equal">
      <formula>"ל"</formula>
    </cfRule>
    <cfRule type="cellIs" dxfId="7926" priority="1593" operator="equal">
      <formula>"כ"</formula>
    </cfRule>
  </conditionalFormatting>
  <conditionalFormatting sqref="BF21:BO22 AW23:BV23">
    <cfRule type="cellIs" dxfId="7925" priority="1260" operator="equal">
      <formula>"י"</formula>
    </cfRule>
    <cfRule type="cellIs" dxfId="7924" priority="1263" operator="equal">
      <formula>"ק"</formula>
    </cfRule>
    <cfRule type="cellIs" dxfId="7923" priority="1261" operator="equal">
      <formula>"כמש"</formula>
    </cfRule>
    <cfRule type="cellIs" dxfId="7922" priority="1262" operator="equal">
      <formula>"כמ"</formula>
    </cfRule>
    <cfRule type="cellIs" dxfId="7921" priority="1264" operator="equal">
      <formula>"מ"</formula>
    </cfRule>
    <cfRule type="cellIs" dxfId="7920" priority="1265" operator="equal">
      <formula>"מנוחה"</formula>
    </cfRule>
    <cfRule type="cellIs" dxfId="7919" priority="1266" operator="equal">
      <formula>"מיל"</formula>
    </cfRule>
    <cfRule type="cellIs" dxfId="7918" priority="1259" operator="equal">
      <formula>"ל"</formula>
    </cfRule>
  </conditionalFormatting>
  <conditionalFormatting sqref="BG5:BG6 BI5:BI6 BK5:BK6">
    <cfRule type="cellIs" dxfId="7917" priority="2102" operator="equal">
      <formula>"ח"</formula>
    </cfRule>
  </conditionalFormatting>
  <conditionalFormatting sqref="BG9:BG10 BI9:BI10 BK9:BK10">
    <cfRule type="cellIs" dxfId="7916" priority="2037" operator="equal">
      <formula>"ח"</formula>
    </cfRule>
  </conditionalFormatting>
  <conditionalFormatting sqref="BG13:BG14 BI13:BI14 BK13:BK14">
    <cfRule type="cellIs" dxfId="7915" priority="1972" operator="equal">
      <formula>"ח"</formula>
    </cfRule>
  </conditionalFormatting>
  <conditionalFormatting sqref="BG17:BG18 BI17:BI18 BK17:BK18">
    <cfRule type="cellIs" dxfId="7914" priority="1907" operator="equal">
      <formula>"ח"</formula>
    </cfRule>
  </conditionalFormatting>
  <conditionalFormatting sqref="BG21:BG22 BI21:BI22 BK21:BK22">
    <cfRule type="cellIs" dxfId="7913" priority="1842" operator="equal">
      <formula>"ח"</formula>
    </cfRule>
  </conditionalFormatting>
  <conditionalFormatting sqref="BG25:BG26 BI25:BI26 BK25:BK26">
    <cfRule type="cellIs" dxfId="7912" priority="1777" operator="equal">
      <formula>"ח"</formula>
    </cfRule>
  </conditionalFormatting>
  <conditionalFormatting sqref="BG29:BG30 BI29:BI30 BK29:BK30">
    <cfRule type="cellIs" dxfId="7911" priority="1712" operator="equal">
      <formula>"ח"</formula>
    </cfRule>
  </conditionalFormatting>
  <conditionalFormatting sqref="BG33:BG34 BI33:BI34 BK33:BK34">
    <cfRule type="cellIs" dxfId="7910" priority="1647" operator="equal">
      <formula>"ח"</formula>
    </cfRule>
  </conditionalFormatting>
  <conditionalFormatting sqref="BH5:BH35">
    <cfRule type="cellIs" dxfId="7909" priority="1605" operator="equal">
      <formula>"ח"</formula>
    </cfRule>
  </conditionalFormatting>
  <conditionalFormatting sqref="BI4:BI6">
    <cfRule type="cellIs" dxfId="7908" priority="2073" operator="equal">
      <formula>"כמש"</formula>
    </cfRule>
    <cfRule type="cellIs" dxfId="7907" priority="2075" operator="equal">
      <formula>"ק"</formula>
    </cfRule>
    <cfRule type="cellIs" dxfId="7906" priority="2071" operator="equal">
      <formula>"ל"</formula>
    </cfRule>
    <cfRule type="cellIs" dxfId="7905" priority="2080" operator="equal">
      <formula>"כ"</formula>
    </cfRule>
    <cfRule type="cellIs" dxfId="7904" priority="2079" operator="equal">
      <formula>"כש"</formula>
    </cfRule>
    <cfRule type="cellIs" dxfId="7903" priority="2072" operator="equal">
      <formula>"י"</formula>
    </cfRule>
    <cfRule type="cellIs" dxfId="7902" priority="2078" operator="equal">
      <formula>"מיל"</formula>
    </cfRule>
    <cfRule type="cellIs" dxfId="7901" priority="2077" operator="equal">
      <formula>"מנוחה"</formula>
    </cfRule>
    <cfRule type="cellIs" dxfId="7900" priority="2076" operator="equal">
      <formula>"מ"</formula>
    </cfRule>
    <cfRule type="cellIs" dxfId="7899" priority="2074" operator="equal">
      <formula>"כמ"</formula>
    </cfRule>
  </conditionalFormatting>
  <conditionalFormatting sqref="BJ5:BJ35">
    <cfRule type="cellIs" dxfId="7898" priority="1594" operator="equal">
      <formula>"ח"</formula>
    </cfRule>
  </conditionalFormatting>
  <conditionalFormatting sqref="BJ5:BL6">
    <cfRule type="cellIs" dxfId="7897" priority="2042" operator="equal">
      <formula>"כמ"</formula>
    </cfRule>
    <cfRule type="cellIs" dxfId="7896" priority="2043" operator="equal">
      <formula>"ק"</formula>
    </cfRule>
    <cfRule type="cellIs" dxfId="7895" priority="2044" operator="equal">
      <formula>"מ"</formula>
    </cfRule>
    <cfRule type="cellIs" dxfId="7894" priority="2045" operator="equal">
      <formula>"מנוחה"</formula>
    </cfRule>
    <cfRule type="cellIs" dxfId="7893" priority="2046" operator="equal">
      <formula>"מיל"</formula>
    </cfRule>
    <cfRule type="cellIs" dxfId="7892" priority="2047" operator="equal">
      <formula>"כש"</formula>
    </cfRule>
    <cfRule type="cellIs" dxfId="7891" priority="2048" operator="equal">
      <formula>"כ"</formula>
    </cfRule>
    <cfRule type="cellIs" dxfId="7890" priority="2041" operator="equal">
      <formula>"כמש"</formula>
    </cfRule>
    <cfRule type="cellIs" dxfId="7889" priority="2039" operator="equal">
      <formula>"ל"</formula>
    </cfRule>
    <cfRule type="cellIs" dxfId="7888" priority="2040" operator="equal">
      <formula>"י"</formula>
    </cfRule>
  </conditionalFormatting>
  <conditionalFormatting sqref="BL5:BL35">
    <cfRule type="cellIs" dxfId="7887" priority="1583" operator="equal">
      <formula>"ח"</formula>
    </cfRule>
  </conditionalFormatting>
  <conditionalFormatting sqref="BM5:BO5">
    <cfRule type="cellIs" dxfId="7886" priority="2500" operator="equal">
      <formula>"כ"</formula>
    </cfRule>
    <cfRule type="cellIs" dxfId="7885" priority="2499" operator="equal">
      <formula>"כש"</formula>
    </cfRule>
  </conditionalFormatting>
  <conditionalFormatting sqref="BM12:BP14 AW15:BV15 BE16:BV16">
    <cfRule type="cellIs" dxfId="7884" priority="1397" operator="equal">
      <formula>"כש"</formula>
    </cfRule>
    <cfRule type="cellIs" dxfId="7883" priority="1398" operator="equal">
      <formula>"כ"</formula>
    </cfRule>
  </conditionalFormatting>
  <conditionalFormatting sqref="BM20:BP22 AW23:BV23">
    <cfRule type="cellIs" dxfId="7882" priority="1268" operator="equal">
      <formula>"כ"</formula>
    </cfRule>
    <cfRule type="cellIs" dxfId="7881" priority="1267" operator="equal">
      <formula>"כש"</formula>
    </cfRule>
  </conditionalFormatting>
  <conditionalFormatting sqref="BM6:BV11">
    <cfRule type="cellIs" dxfId="7880" priority="1462" operator="equal">
      <formula>"כש"</formula>
    </cfRule>
    <cfRule type="cellIs" dxfId="7879" priority="1463" operator="equal">
      <formula>"כ"</formula>
    </cfRule>
  </conditionalFormatting>
  <conditionalFormatting sqref="BM17:BV19">
    <cfRule type="cellIs" dxfId="7878" priority="1332" operator="equal">
      <formula>"כש"</formula>
    </cfRule>
    <cfRule type="cellIs" dxfId="7877" priority="1333" operator="equal">
      <formula>"כ"</formula>
    </cfRule>
  </conditionalFormatting>
  <conditionalFormatting sqref="BM24:BV35">
    <cfRule type="cellIs" dxfId="7876" priority="1072" operator="equal">
      <formula>"כש"</formula>
    </cfRule>
    <cfRule type="cellIs" dxfId="7875" priority="1073" operator="equal">
      <formula>"כ"</formula>
    </cfRule>
  </conditionalFormatting>
  <conditionalFormatting sqref="BN6:BN7">
    <cfRule type="cellIs" dxfId="7874" priority="1581" operator="equal">
      <formula>"ח"</formula>
    </cfRule>
  </conditionalFormatting>
  <conditionalFormatting sqref="BN10:BN11">
    <cfRule type="cellIs" dxfId="7873" priority="1516" operator="equal">
      <formula>"ח"</formula>
    </cfRule>
  </conditionalFormatting>
  <conditionalFormatting sqref="BN14:BN15">
    <cfRule type="cellIs" dxfId="7872" priority="1451" operator="equal">
      <formula>"ח"</formula>
    </cfRule>
  </conditionalFormatting>
  <conditionalFormatting sqref="BN18:BN19">
    <cfRule type="cellIs" dxfId="7871" priority="1386" operator="equal">
      <formula>"ח"</formula>
    </cfRule>
  </conditionalFormatting>
  <conditionalFormatting sqref="BN22:BN23">
    <cfRule type="cellIs" dxfId="7870" priority="1321" operator="equal">
      <formula>"ח"</formula>
    </cfRule>
  </conditionalFormatting>
  <conditionalFormatting sqref="BN26:BN27">
    <cfRule type="cellIs" dxfId="7869" priority="1256" operator="equal">
      <formula>"ח"</formula>
    </cfRule>
  </conditionalFormatting>
  <conditionalFormatting sqref="BN30:BN31">
    <cfRule type="cellIs" dxfId="7868" priority="1191" operator="equal">
      <formula>"ח"</formula>
    </cfRule>
  </conditionalFormatting>
  <conditionalFormatting sqref="BN34:BN35">
    <cfRule type="cellIs" dxfId="7867" priority="1126" operator="equal">
      <formula>"ח"</formula>
    </cfRule>
  </conditionalFormatting>
  <conditionalFormatting sqref="BN6:BV7">
    <cfRule type="cellIs" dxfId="7866" priority="1524" operator="equal">
      <formula>"מ"</formula>
    </cfRule>
    <cfRule type="cellIs" dxfId="7865" priority="1525" operator="equal">
      <formula>"מנוחה"</formula>
    </cfRule>
    <cfRule type="cellIs" dxfId="7864" priority="1521" operator="equal">
      <formula>"כמש"</formula>
    </cfRule>
    <cfRule type="cellIs" dxfId="7863" priority="1526" operator="equal">
      <formula>"מיל"</formula>
    </cfRule>
    <cfRule type="cellIs" dxfId="7862" priority="1523" operator="equal">
      <formula>"ק"</formula>
    </cfRule>
    <cfRule type="cellIs" dxfId="7861" priority="1522" operator="equal">
      <formula>"כמ"</formula>
    </cfRule>
    <cfRule type="cellIs" dxfId="7860" priority="1520" operator="equal">
      <formula>"י"</formula>
    </cfRule>
    <cfRule type="cellIs" dxfId="7859" priority="1519" operator="equal">
      <formula>"ל"</formula>
    </cfRule>
  </conditionalFormatting>
  <conditionalFormatting sqref="BN10:BV11">
    <cfRule type="cellIs" dxfId="7858" priority="1454" operator="equal">
      <formula>"ל"</formula>
    </cfRule>
    <cfRule type="cellIs" dxfId="7857" priority="1456" operator="equal">
      <formula>"כמש"</formula>
    </cfRule>
    <cfRule type="cellIs" dxfId="7856" priority="1455" operator="equal">
      <formula>"י"</formula>
    </cfRule>
    <cfRule type="cellIs" dxfId="7855" priority="1457" operator="equal">
      <formula>"כמ"</formula>
    </cfRule>
    <cfRule type="cellIs" dxfId="7854" priority="1458" operator="equal">
      <formula>"ק"</formula>
    </cfRule>
    <cfRule type="cellIs" dxfId="7853" priority="1459" operator="equal">
      <formula>"מ"</formula>
    </cfRule>
    <cfRule type="cellIs" dxfId="7852" priority="1460" operator="equal">
      <formula>"מנוחה"</formula>
    </cfRule>
    <cfRule type="cellIs" dxfId="7851" priority="1461" operator="equal">
      <formula>"מיל"</formula>
    </cfRule>
  </conditionalFormatting>
  <conditionalFormatting sqref="BN18:BV19 BP20:BP22">
    <cfRule type="cellIs" dxfId="7850" priority="1328" operator="equal">
      <formula>"ק"</formula>
    </cfRule>
    <cfRule type="cellIs" dxfId="7849" priority="1324" operator="equal">
      <formula>"ל"</formula>
    </cfRule>
    <cfRule type="cellIs" dxfId="7848" priority="1325" operator="equal">
      <formula>"י"</formula>
    </cfRule>
    <cfRule type="cellIs" dxfId="7847" priority="1326" operator="equal">
      <formula>"כמש"</formula>
    </cfRule>
    <cfRule type="cellIs" dxfId="7846" priority="1327" operator="equal">
      <formula>"כמ"</formula>
    </cfRule>
    <cfRule type="cellIs" dxfId="7845" priority="1329" operator="equal">
      <formula>"מ"</formula>
    </cfRule>
    <cfRule type="cellIs" dxfId="7844" priority="1330" operator="equal">
      <formula>"מנוחה"</formula>
    </cfRule>
    <cfRule type="cellIs" dxfId="7843" priority="1331" operator="equal">
      <formula>"מיל"</formula>
    </cfRule>
  </conditionalFormatting>
  <conditionalFormatting sqref="BN26:BV27 BP28:BV29">
    <cfRule type="cellIs" dxfId="7842" priority="1198" operator="equal">
      <formula>"ק"</formula>
    </cfRule>
    <cfRule type="cellIs" dxfId="7841" priority="1201" operator="equal">
      <formula>"מיל"</formula>
    </cfRule>
    <cfRule type="cellIs" dxfId="7840" priority="1196" operator="equal">
      <formula>"כמש"</formula>
    </cfRule>
    <cfRule type="cellIs" dxfId="7839" priority="1200" operator="equal">
      <formula>"מנוחה"</formula>
    </cfRule>
    <cfRule type="cellIs" dxfId="7838" priority="1199" operator="equal">
      <formula>"מ"</formula>
    </cfRule>
    <cfRule type="cellIs" dxfId="7837" priority="1195" operator="equal">
      <formula>"י"</formula>
    </cfRule>
    <cfRule type="cellIs" dxfId="7836" priority="1194" operator="equal">
      <formula>"ל"</formula>
    </cfRule>
    <cfRule type="cellIs" dxfId="7835" priority="1197" operator="equal">
      <formula>"כמ"</formula>
    </cfRule>
  </conditionalFormatting>
  <conditionalFormatting sqref="BN30:BV31">
    <cfRule type="cellIs" dxfId="7834" priority="1130" operator="equal">
      <formula>"י"</formula>
    </cfRule>
    <cfRule type="cellIs" dxfId="7833" priority="1135" operator="equal">
      <formula>"מנוחה"</formula>
    </cfRule>
    <cfRule type="cellIs" dxfId="7832" priority="1129" operator="equal">
      <formula>"ל"</formula>
    </cfRule>
    <cfRule type="cellIs" dxfId="7831" priority="1131" operator="equal">
      <formula>"כמש"</formula>
    </cfRule>
    <cfRule type="cellIs" dxfId="7830" priority="1132" operator="equal">
      <formula>"כמ"</formula>
    </cfRule>
    <cfRule type="cellIs" dxfId="7829" priority="1133" operator="equal">
      <formula>"ק"</formula>
    </cfRule>
    <cfRule type="cellIs" dxfId="7828" priority="1134" operator="equal">
      <formula>"מ"</formula>
    </cfRule>
    <cfRule type="cellIs" dxfId="7827" priority="1136" operator="equal">
      <formula>"מיל"</formula>
    </cfRule>
  </conditionalFormatting>
  <conditionalFormatting sqref="BO6:BO7 BQ6:BQ7 BS6:BS7">
    <cfRule type="cellIs" dxfId="7826" priority="1582" operator="equal">
      <formula>"ח"</formula>
    </cfRule>
  </conditionalFormatting>
  <conditionalFormatting sqref="BO10:BO11 BQ10:BQ11 BS10:BS11">
    <cfRule type="cellIs" dxfId="7825" priority="1517" operator="equal">
      <formula>"ח"</formula>
    </cfRule>
  </conditionalFormatting>
  <conditionalFormatting sqref="BO14:BO15 BQ14:BQ15 BS14:BS15">
    <cfRule type="cellIs" dxfId="7824" priority="1452" operator="equal">
      <formula>"ח"</formula>
    </cfRule>
  </conditionalFormatting>
  <conditionalFormatting sqref="BO18:BO19 BQ18:BQ19 BS18:BS19">
    <cfRule type="cellIs" dxfId="7823" priority="1387" operator="equal">
      <formula>"ח"</formula>
    </cfRule>
  </conditionalFormatting>
  <conditionalFormatting sqref="BO22:BO23 BQ22:BQ23 BS22:BS23">
    <cfRule type="cellIs" dxfId="7822" priority="1322" operator="equal">
      <formula>"ח"</formula>
    </cfRule>
  </conditionalFormatting>
  <conditionalFormatting sqref="BO26:BO27 BQ26:BQ27 BS26:BS27">
    <cfRule type="cellIs" dxfId="7821" priority="1257" operator="equal">
      <formula>"ח"</formula>
    </cfRule>
  </conditionalFormatting>
  <conditionalFormatting sqref="BO30:BO31 BQ30:BQ31 BS30:BS31">
    <cfRule type="cellIs" dxfId="7820" priority="1192" operator="equal">
      <formula>"ח"</formula>
    </cfRule>
  </conditionalFormatting>
  <conditionalFormatting sqref="BO34:BO35 BQ34:BQ35 BS34:BS35">
    <cfRule type="cellIs" dxfId="7819" priority="1127" operator="equal">
      <formula>"ח"</formula>
    </cfRule>
  </conditionalFormatting>
  <conditionalFormatting sqref="BP5">
    <cfRule type="cellIs" dxfId="7818" priority="2410" stopIfTrue="1" operator="equal">
      <formula>"ח"</formula>
    </cfRule>
  </conditionalFormatting>
  <conditionalFormatting sqref="BP6:BP7">
    <cfRule type="cellIs" dxfId="7817" priority="1540" operator="equal">
      <formula>"ח"</formula>
    </cfRule>
  </conditionalFormatting>
  <conditionalFormatting sqref="BP8:BP9 BP17 BP24:BP25 BP32:BP33">
    <cfRule type="cellIs" dxfId="7816" priority="2421" operator="equal">
      <formula>"ח"</formula>
    </cfRule>
  </conditionalFormatting>
  <conditionalFormatting sqref="BP10:BP16">
    <cfRule type="cellIs" dxfId="7815" priority="1410" operator="equal">
      <formula>"ח"</formula>
    </cfRule>
  </conditionalFormatting>
  <conditionalFormatting sqref="BP12:BP14 BF13:BO14 AW15:BV15 BE16:BV16">
    <cfRule type="cellIs" dxfId="7814" priority="1389" operator="equal">
      <formula>"ל"</formula>
    </cfRule>
    <cfRule type="cellIs" dxfId="7813" priority="1396" operator="equal">
      <formula>"מיל"</formula>
    </cfRule>
    <cfRule type="cellIs" dxfId="7812" priority="1395" operator="equal">
      <formula>"מנוחה"</formula>
    </cfRule>
    <cfRule type="cellIs" dxfId="7811" priority="1394" operator="equal">
      <formula>"מ"</formula>
    </cfRule>
    <cfRule type="cellIs" dxfId="7810" priority="1392" operator="equal">
      <formula>"כמ"</formula>
    </cfRule>
    <cfRule type="cellIs" dxfId="7809" priority="1391" operator="equal">
      <formula>"כמש"</formula>
    </cfRule>
    <cfRule type="cellIs" dxfId="7808" priority="1390" operator="equal">
      <formula>"י"</formula>
    </cfRule>
    <cfRule type="cellIs" dxfId="7807" priority="1393" operator="equal">
      <formula>"ק"</formula>
    </cfRule>
  </conditionalFormatting>
  <conditionalFormatting sqref="BP18:BP23">
    <cfRule type="cellIs" dxfId="7806" priority="1280" operator="equal">
      <formula>"ח"</formula>
    </cfRule>
  </conditionalFormatting>
  <conditionalFormatting sqref="BP26:BP31">
    <cfRule type="cellIs" dxfId="7805" priority="1150" operator="equal">
      <formula>"ח"</formula>
    </cfRule>
  </conditionalFormatting>
  <conditionalFormatting sqref="BP34:BP35">
    <cfRule type="cellIs" dxfId="7804" priority="1085" operator="equal">
      <formula>"ח"</formula>
    </cfRule>
  </conditionalFormatting>
  <conditionalFormatting sqref="BP5:BT5">
    <cfRule type="cellIs" dxfId="7803" priority="2411" operator="equal">
      <formula>"כש"</formula>
    </cfRule>
    <cfRule type="cellIs" dxfId="7802" priority="2412" operator="equal">
      <formula>"כ"</formula>
    </cfRule>
  </conditionalFormatting>
  <conditionalFormatting sqref="BQ4">
    <cfRule type="cellIs" dxfId="7801" priority="2234" operator="equal">
      <formula>"כ"</formula>
    </cfRule>
    <cfRule type="cellIs" dxfId="7800" priority="2226" operator="equal">
      <formula>"כמש"</formula>
    </cfRule>
    <cfRule type="cellIs" dxfId="7799" priority="2233" operator="equal">
      <formula>"כש"</formula>
    </cfRule>
    <cfRule type="cellIs" dxfId="7798" priority="2232" operator="equal">
      <formula>"ח"</formula>
    </cfRule>
    <cfRule type="cellIs" dxfId="7797" priority="2231" operator="equal">
      <formula>"מיל"</formula>
    </cfRule>
    <cfRule type="cellIs" dxfId="7796" priority="2230" operator="equal">
      <formula>"מנוחה"</formula>
    </cfRule>
    <cfRule type="cellIs" dxfId="7795" priority="2227" operator="equal">
      <formula>"כמ"</formula>
    </cfRule>
    <cfRule type="cellIs" dxfId="7794" priority="2224" operator="equal">
      <formula>"ל"</formula>
    </cfRule>
    <cfRule type="cellIs" dxfId="7793" priority="2228" operator="equal">
      <formula>"ק"</formula>
    </cfRule>
    <cfRule type="cellIs" dxfId="7792" priority="2225" operator="equal">
      <formula>"י"</formula>
    </cfRule>
    <cfRule type="cellIs" dxfId="7791" priority="2229" operator="equal">
      <formula>"מ"</formula>
    </cfRule>
  </conditionalFormatting>
  <conditionalFormatting sqref="BQ12:BS13 BQ20:BS21">
    <cfRule type="cellIs" dxfId="7790" priority="2390" operator="equal">
      <formula>"כ"</formula>
    </cfRule>
    <cfRule type="cellIs" dxfId="7789" priority="2389" operator="equal">
      <formula>"כש"</formula>
    </cfRule>
  </conditionalFormatting>
  <conditionalFormatting sqref="BQ3:BU3 BW3:CA3 AP17:AQ18">
    <cfRule type="cellIs" dxfId="7788" priority="2554" operator="equal">
      <formula>"כש"</formula>
    </cfRule>
    <cfRule type="cellIs" dxfId="7787" priority="2555" operator="equal">
      <formula>"כ"</formula>
    </cfRule>
    <cfRule type="cellIs" dxfId="7786" priority="2545" operator="equal">
      <formula>"ל"</formula>
    </cfRule>
    <cfRule type="cellIs" dxfId="7785" priority="2546" operator="equal">
      <formula>"י"</formula>
    </cfRule>
    <cfRule type="cellIs" dxfId="7784" priority="2547" operator="equal">
      <formula>"כמש"</formula>
    </cfRule>
    <cfRule type="cellIs" dxfId="7783" priority="2548" operator="equal">
      <formula>"כמ"</formula>
    </cfRule>
    <cfRule type="cellIs" dxfId="7782" priority="2549" operator="equal">
      <formula>"ק"</formula>
    </cfRule>
    <cfRule type="cellIs" dxfId="7781" priority="2553" operator="equal">
      <formula>"ח"</formula>
    </cfRule>
    <cfRule type="cellIs" dxfId="7780" priority="2552" operator="equal">
      <formula>"מיל"</formula>
    </cfRule>
    <cfRule type="cellIs" dxfId="7779" priority="2550" operator="equal">
      <formula>"מ"</formula>
    </cfRule>
    <cfRule type="cellIs" dxfId="7778" priority="2551" operator="equal">
      <formula>"מנוחה"</formula>
    </cfRule>
  </conditionalFormatting>
  <conditionalFormatting sqref="BR5">
    <cfRule type="cellIs" dxfId="7777" priority="2388" stopIfTrue="1" operator="equal">
      <formula>"ח"</formula>
    </cfRule>
  </conditionalFormatting>
  <conditionalFormatting sqref="BR6:BR7">
    <cfRule type="cellIs" dxfId="7776" priority="1529" operator="equal">
      <formula>"ח"</formula>
    </cfRule>
  </conditionalFormatting>
  <conditionalFormatting sqref="BR8:BR9 BR12:BR13 BR16:BR17 BR20:BR21 BR24:BR25 BR28:BR29 BR32:BR33">
    <cfRule type="cellIs" dxfId="7775" priority="2399" operator="equal">
      <formula>"ח"</formula>
    </cfRule>
  </conditionalFormatting>
  <conditionalFormatting sqref="BR10:BR11">
    <cfRule type="cellIs" dxfId="7774" priority="1464" operator="equal">
      <formula>"ח"</formula>
    </cfRule>
  </conditionalFormatting>
  <conditionalFormatting sqref="BR14:BR15">
    <cfRule type="cellIs" dxfId="7773" priority="1399" operator="equal">
      <formula>"ח"</formula>
    </cfRule>
  </conditionalFormatting>
  <conditionalFormatting sqref="BR18:BR19">
    <cfRule type="cellIs" dxfId="7772" priority="1334" operator="equal">
      <formula>"ח"</formula>
    </cfRule>
  </conditionalFormatting>
  <conditionalFormatting sqref="BR22:BR23">
    <cfRule type="cellIs" dxfId="7771" priority="1269" operator="equal">
      <formula>"ח"</formula>
    </cfRule>
  </conditionalFormatting>
  <conditionalFormatting sqref="BR26:BR27">
    <cfRule type="cellIs" dxfId="7770" priority="1204" operator="equal">
      <formula>"ח"</formula>
    </cfRule>
  </conditionalFormatting>
  <conditionalFormatting sqref="BR30:BR31">
    <cfRule type="cellIs" dxfId="7769" priority="1139" operator="equal">
      <formula>"ח"</formula>
    </cfRule>
  </conditionalFormatting>
  <conditionalFormatting sqref="BR34:BR35">
    <cfRule type="cellIs" dxfId="7768" priority="1074" operator="equal">
      <formula>"ח"</formula>
    </cfRule>
  </conditionalFormatting>
  <conditionalFormatting sqref="BT6:BV7">
    <cfRule type="cellIs" dxfId="7767" priority="1518" operator="equal">
      <formula>"ח"</formula>
    </cfRule>
  </conditionalFormatting>
  <conditionalFormatting sqref="BT8:BV9 BT12:BV13 BT16:BV17 BT20:BV21 BT24:BV25 BT28:BV29 BT32:BV33">
    <cfRule type="cellIs" dxfId="7766" priority="2377" operator="equal">
      <formula>"ח"</formula>
    </cfRule>
  </conditionalFormatting>
  <conditionalFormatting sqref="BT10:BV11">
    <cfRule type="cellIs" dxfId="7765" priority="1453" operator="equal">
      <formula>"ח"</formula>
    </cfRule>
  </conditionalFormatting>
  <conditionalFormatting sqref="BT12:BV12 BT20:BV20">
    <cfRule type="cellIs" dxfId="7764" priority="2368" operator="equal">
      <formula>"כ"</formula>
    </cfRule>
    <cfRule type="cellIs" dxfId="7763" priority="2367" operator="equal">
      <formula>"כש"</formula>
    </cfRule>
  </conditionalFormatting>
  <conditionalFormatting sqref="BT14:BV15">
    <cfRule type="cellIs" dxfId="7762" priority="1388" operator="equal">
      <formula>"ח"</formula>
    </cfRule>
  </conditionalFormatting>
  <conditionalFormatting sqref="BT18:BV19">
    <cfRule type="cellIs" dxfId="7761" priority="1323" operator="equal">
      <formula>"ח"</formula>
    </cfRule>
  </conditionalFormatting>
  <conditionalFormatting sqref="BT22:BV23">
    <cfRule type="cellIs" dxfId="7760" priority="1258" operator="equal">
      <formula>"ח"</formula>
    </cfRule>
  </conditionalFormatting>
  <conditionalFormatting sqref="BT26:BV27">
    <cfRule type="cellIs" dxfId="7759" priority="1193" operator="equal">
      <formula>"ח"</formula>
    </cfRule>
  </conditionalFormatting>
  <conditionalFormatting sqref="BT30:BV31">
    <cfRule type="cellIs" dxfId="7758" priority="1128" operator="equal">
      <formula>"ח"</formula>
    </cfRule>
  </conditionalFormatting>
  <conditionalFormatting sqref="BT34:BV35">
    <cfRule type="cellIs" dxfId="7757" priority="1063" operator="equal">
      <formula>"ח"</formula>
    </cfRule>
  </conditionalFormatting>
  <conditionalFormatting sqref="BU7 BT5 BN5">
    <cfRule type="cellIs" dxfId="7756" priority="2498" stopIfTrue="1" operator="equal">
      <formula>"ח"</formula>
    </cfRule>
  </conditionalFormatting>
  <conditionalFormatting sqref="BW7:BW8 BY7:BY8 CA7:CA8">
    <cfRule type="cellIs" dxfId="7755" priority="1062" operator="equal">
      <formula>"ח"</formula>
    </cfRule>
  </conditionalFormatting>
  <conditionalFormatting sqref="BW11:BW12 BY11:BY12 CA11:CA12">
    <cfRule type="cellIs" dxfId="7754" priority="997" operator="equal">
      <formula>"ח"</formula>
    </cfRule>
  </conditionalFormatting>
  <conditionalFormatting sqref="BW15:BW16 BY15:BY16 CA15:CA16">
    <cfRule type="cellIs" dxfId="7753" priority="932" operator="equal">
      <formula>"ח"</formula>
    </cfRule>
  </conditionalFormatting>
  <conditionalFormatting sqref="BW19:BW20 BY19:BY20 CA19:CA20">
    <cfRule type="cellIs" dxfId="7752" priority="867" operator="equal">
      <formula>"ח"</formula>
    </cfRule>
  </conditionalFormatting>
  <conditionalFormatting sqref="BW23:BW24 BY23:BY24 CA23:CA24">
    <cfRule type="cellIs" dxfId="7751" priority="802" operator="equal">
      <formula>"ח"</formula>
    </cfRule>
  </conditionalFormatting>
  <conditionalFormatting sqref="BW27:BW28 BY27:BY28 CA27:CA28">
    <cfRule type="cellIs" dxfId="7750" priority="737" operator="equal">
      <formula>"ח"</formula>
    </cfRule>
  </conditionalFormatting>
  <conditionalFormatting sqref="BW31:BW32 BY31:BY32 CA31:CA32">
    <cfRule type="cellIs" dxfId="7749" priority="672" operator="equal">
      <formula>"ח"</formula>
    </cfRule>
  </conditionalFormatting>
  <conditionalFormatting sqref="BW35 BY35 CA35">
    <cfRule type="cellIs" dxfId="7748" priority="607" operator="equal">
      <formula>"ח"</formula>
    </cfRule>
  </conditionalFormatting>
  <conditionalFormatting sqref="BW5:CB12 BX13:CB14 BW15:CB20 BX21:CB22 BW23:CB35">
    <cfRule type="cellIs" dxfId="7747" priority="2179" operator="equal">
      <formula>"כ"</formula>
    </cfRule>
    <cfRule type="cellIs" dxfId="7746" priority="2178" operator="equal">
      <formula>"כש"</formula>
    </cfRule>
  </conditionalFormatting>
  <conditionalFormatting sqref="BX5:BX6 BX9:BX10 BX13:BX14 BX17:BX18 BX21:BX22 BX25:BX26 BX29:BX30 BX33:BX34">
    <cfRule type="cellIs" dxfId="7745" priority="2355" operator="equal">
      <formula>"ח"</formula>
    </cfRule>
  </conditionalFormatting>
  <conditionalFormatting sqref="BX7:BX8">
    <cfRule type="cellIs" dxfId="7744" priority="1020" operator="equal">
      <formula>"ח"</formula>
    </cfRule>
  </conditionalFormatting>
  <conditionalFormatting sqref="BX11:BX12">
    <cfRule type="cellIs" dxfId="7743" priority="955" operator="equal">
      <formula>"ח"</formula>
    </cfRule>
  </conditionalFormatting>
  <conditionalFormatting sqref="BX15:BX16">
    <cfRule type="cellIs" dxfId="7742" priority="890" operator="equal">
      <formula>"ח"</formula>
    </cfRule>
  </conditionalFormatting>
  <conditionalFormatting sqref="BX19:BX20">
    <cfRule type="cellIs" dxfId="7741" priority="825" operator="equal">
      <formula>"ח"</formula>
    </cfRule>
  </conditionalFormatting>
  <conditionalFormatting sqref="BX23:BX24">
    <cfRule type="cellIs" dxfId="7740" priority="760" operator="equal">
      <formula>"ח"</formula>
    </cfRule>
  </conditionalFormatting>
  <conditionalFormatting sqref="BX27:BX28">
    <cfRule type="cellIs" dxfId="7739" priority="695" operator="equal">
      <formula>"ח"</formula>
    </cfRule>
  </conditionalFormatting>
  <conditionalFormatting sqref="BX31:BX32">
    <cfRule type="cellIs" dxfId="7738" priority="630" operator="equal">
      <formula>"ח"</formula>
    </cfRule>
  </conditionalFormatting>
  <conditionalFormatting sqref="BX35">
    <cfRule type="cellIs" dxfId="7737" priority="565" operator="equal">
      <formula>"ח"</formula>
    </cfRule>
  </conditionalFormatting>
  <conditionalFormatting sqref="BZ5:BZ6 BZ9:BZ10 BZ13:BZ14 BZ17:BZ18 BZ21:BZ22 BZ25:BZ26 BZ29:BZ30 BZ33:BZ34">
    <cfRule type="cellIs" dxfId="7736" priority="2344" operator="equal">
      <formula>"ח"</formula>
    </cfRule>
  </conditionalFormatting>
  <conditionalFormatting sqref="BZ7:BZ8">
    <cfRule type="cellIs" dxfId="7735" priority="1009" operator="equal">
      <formula>"ח"</formula>
    </cfRule>
  </conditionalFormatting>
  <conditionalFormatting sqref="BZ11:BZ12">
    <cfRule type="cellIs" dxfId="7734" priority="944" operator="equal">
      <formula>"ח"</formula>
    </cfRule>
  </conditionalFormatting>
  <conditionalFormatting sqref="BZ15:BZ16">
    <cfRule type="cellIs" dxfId="7733" priority="879" operator="equal">
      <formula>"ח"</formula>
    </cfRule>
  </conditionalFormatting>
  <conditionalFormatting sqref="BZ19:BZ20">
    <cfRule type="cellIs" dxfId="7732" priority="814" operator="equal">
      <formula>"ח"</formula>
    </cfRule>
  </conditionalFormatting>
  <conditionalFormatting sqref="BZ23:BZ24">
    <cfRule type="cellIs" dxfId="7731" priority="749" operator="equal">
      <formula>"ח"</formula>
    </cfRule>
  </conditionalFormatting>
  <conditionalFormatting sqref="BZ27:BZ28">
    <cfRule type="cellIs" dxfId="7730" priority="684" operator="equal">
      <formula>"ח"</formula>
    </cfRule>
  </conditionalFormatting>
  <conditionalFormatting sqref="BZ31:BZ32">
    <cfRule type="cellIs" dxfId="7729" priority="619" operator="equal">
      <formula>"ח"</formula>
    </cfRule>
  </conditionalFormatting>
  <conditionalFormatting sqref="BZ35">
    <cfRule type="cellIs" dxfId="7728" priority="554" operator="equal">
      <formula>"ח"</formula>
    </cfRule>
  </conditionalFormatting>
  <conditionalFormatting sqref="CB5:CB6 CB9:CB10 CB13:CB14 CB17:CB18 CB21:CB22 CB25:CB26 CB29:CB30 CB33:CB34">
    <cfRule type="cellIs" dxfId="7727" priority="2177" operator="equal">
      <formula>"ח"</formula>
    </cfRule>
  </conditionalFormatting>
  <conditionalFormatting sqref="CB7:CB8">
    <cfRule type="cellIs" dxfId="7726" priority="998" operator="equal">
      <formula>"ח"</formula>
    </cfRule>
  </conditionalFormatting>
  <conditionalFormatting sqref="CB11:CB12">
    <cfRule type="cellIs" dxfId="7725" priority="933" operator="equal">
      <formula>"ח"</formula>
    </cfRule>
  </conditionalFormatting>
  <conditionalFormatting sqref="CB15:CB16">
    <cfRule type="cellIs" dxfId="7724" priority="868" operator="equal">
      <formula>"ח"</formula>
    </cfRule>
  </conditionalFormatting>
  <conditionalFormatting sqref="CB19:CB20">
    <cfRule type="cellIs" dxfId="7723" priority="803" operator="equal">
      <formula>"ח"</formula>
    </cfRule>
  </conditionalFormatting>
  <conditionalFormatting sqref="CB23:CB24">
    <cfRule type="cellIs" dxfId="7722" priority="738" operator="equal">
      <formula>"ח"</formula>
    </cfRule>
  </conditionalFormatting>
  <conditionalFormatting sqref="CB27:CB28">
    <cfRule type="cellIs" dxfId="7721" priority="673" operator="equal">
      <formula>"ח"</formula>
    </cfRule>
  </conditionalFormatting>
  <conditionalFormatting sqref="CB31:CB32">
    <cfRule type="cellIs" dxfId="7720" priority="608" operator="equal">
      <formula>"ח"</formula>
    </cfRule>
  </conditionalFormatting>
  <conditionalFormatting sqref="CB35">
    <cfRule type="cellIs" dxfId="7719" priority="543" operator="equal">
      <formula>"ח"</formula>
    </cfRule>
  </conditionalFormatting>
  <conditionalFormatting sqref="CE5 CC5:CD35">
    <cfRule type="cellIs" dxfId="7718" priority="2107" operator="equal">
      <formula>"ק"</formula>
    </cfRule>
    <cfRule type="cellIs" dxfId="7717" priority="2106" operator="equal">
      <formula>"כמ"</formula>
    </cfRule>
    <cfRule type="cellIs" dxfId="7716" priority="2111" operator="equal">
      <formula>"ח"</formula>
    </cfRule>
    <cfRule type="cellIs" dxfId="7715" priority="2110" operator="equal">
      <formula>"מיל"</formula>
    </cfRule>
    <cfRule type="cellIs" dxfId="7714" priority="2109" operator="equal">
      <formula>"מנוחה"</formula>
    </cfRule>
    <cfRule type="cellIs" dxfId="7713" priority="2103" operator="equal">
      <formula>"ל"</formula>
    </cfRule>
    <cfRule type="cellIs" dxfId="7712" priority="2108" operator="equal">
      <formula>"מ"</formula>
    </cfRule>
    <cfRule type="cellIs" dxfId="7711" priority="2104" operator="equal">
      <formula>"י"</formula>
    </cfRule>
    <cfRule type="cellIs" dxfId="7710" priority="2113" operator="equal">
      <formula>"כ"</formula>
    </cfRule>
    <cfRule type="cellIs" dxfId="7709" priority="2112" operator="equal">
      <formula>"כש"</formula>
    </cfRule>
    <cfRule type="cellIs" dxfId="7708" priority="2105" operator="equal">
      <formula>"כמש"</formula>
    </cfRule>
  </conditionalFormatting>
  <conditionalFormatting sqref="CF5:CG35">
    <cfRule type="cellIs" dxfId="7707" priority="2558" operator="lessThan">
      <formula>4</formula>
    </cfRule>
  </conditionalFormatting>
  <hyperlinks>
    <hyperlink ref="X4:Y4" r:id="rId11" tooltip="עדכון במייל" display="עדכון במייל" xr:uid="{00000000-0004-0000-02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200-000000000000}">
          <x14:formula1>
            <xm:f>מיילים!$M$2:$M$38</xm:f>
          </x14:formula1>
          <xm:sqref>BQ3:BR3 BC3</xm:sqref>
        </x14:dataValidation>
        <x14:dataValidation type="list" allowBlank="1" showInputMessage="1" showErrorMessage="1" xr:uid="{00000000-0002-0000-0200-000001000000}">
          <x14:formula1>
            <xm:f>מיילים!$M$2:$M$31</xm:f>
          </x14:formula1>
          <xm:sqref>P3:Q3 AW3:AZ3 BE3:BO3 AD3:AE3 D3:N3 BS3:BU3 BW3:CA3</xm:sqref>
        </x14:dataValidation>
        <x14:dataValidation type="list" allowBlank="1" showInputMessage="1" showErrorMessage="1" xr:uid="{00000000-0002-0000-0200-000002000000}">
          <x14:formula1>
            <xm:f>מיילים!$M$3:$M$37</xm:f>
          </x14:formula1>
          <xm:sqref>R3:S3 V3:W3</xm:sqref>
        </x14:dataValidation>
        <x14:dataValidation type="list" allowBlank="1" showInputMessage="1" showErrorMessage="1" xr:uid="{00000000-0002-0000-0200-000003000000}">
          <x14:formula1>
            <xm:f>מיילים!$M$2:$M$36</xm:f>
          </x14:formula1>
          <xm:sqref>T3:U3</xm:sqref>
        </x14:dataValidation>
        <x14:dataValidation type="list" allowBlank="1" showInputMessage="1" showErrorMessage="1" xr:uid="{00000000-0002-0000-0200-000004000000}">
          <x14:formula1>
            <xm:f>מקרא!$B$5:$B$60</xm:f>
          </x14:formula1>
          <xm:sqref>BP5 BR5 BN5 BU7 BT5</xm:sqref>
        </x14:dataValidation>
        <x14:dataValidation type="list" allowBlank="1" showInputMessage="1" xr:uid="{00000000-0002-0000-0200-000005000000}">
          <x14:formula1>
            <xm:f>מקרא!$B$5:$B$60</xm:f>
          </x14:formula1>
          <xm:sqref>Y24:AG24 AI18:AO18 AI24:AO25 D14:P15 R14:X15 BS5 BO5 BQ5 Y5:Y23 Z21:AO23 Z19:AH20 D25:AG25 Z18:AG18 D26:AO35 D16:X24 D5:X13 AD5:AE24 BN6:BV35 Z5:AO5 Z6:AJ6 AL6:AO6 Z7:AO12 AJ20 AJ19:AO19 AL20:AO20 Z15:AO17 AN13:AO14 Z13:AL14 AW5:BM13 AW14:AY14 BA14:BM14 AW15:BM35 BW5:CB35</xm:sqref>
        </x14:dataValidation>
        <x14:dataValidation type="list" allowBlank="1" showInputMessage="1" showErrorMessage="1" xr:uid="{00000000-0002-0000-0200-000006000000}">
          <x14:formula1>
            <xm:f>מיילים!$M$2:$M$40</xm:f>
          </x14:formula1>
          <xm:sqref>X3:AO3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K38"/>
  <sheetViews>
    <sheetView rightToLeft="1" zoomScale="85" zoomScaleNormal="80" workbookViewId="0">
      <pane ySplit="4" topLeftCell="A11" activePane="bottomLeft" state="frozen"/>
      <selection pane="bottomLeft" activeCell="D11" sqref="D11"/>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29" width="4.625" style="1" customWidth="1"/>
    <col min="30" max="30" width="8.625" style="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283</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0">
        <v>4</v>
      </c>
      <c r="AU1" s="341"/>
      <c r="AV1" s="342"/>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366">
        <v>4</v>
      </c>
      <c r="CD1" s="367"/>
      <c r="CE1" s="368"/>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69"/>
      <c r="CD2" s="370"/>
      <c r="CE2" s="371"/>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557"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5"/>
      <c r="BO3" s="533" t="s">
        <v>21</v>
      </c>
      <c r="BP3" s="534"/>
      <c r="BQ3" s="533" t="s">
        <v>23</v>
      </c>
      <c r="BR3" s="534"/>
      <c r="BS3" s="535" t="s">
        <v>28</v>
      </c>
      <c r="BT3" s="536"/>
      <c r="BU3" s="393"/>
      <c r="BV3" s="394"/>
      <c r="BW3" s="395" t="s">
        <v>30</v>
      </c>
      <c r="BX3" s="395"/>
      <c r="BY3" s="395" t="s">
        <v>31</v>
      </c>
      <c r="BZ3" s="395"/>
      <c r="CA3" s="396" t="s">
        <v>227</v>
      </c>
      <c r="CB3" s="397"/>
      <c r="CC3" s="369"/>
      <c r="CD3" s="370"/>
      <c r="CE3" s="371"/>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384"/>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6"/>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72"/>
      <c r="CD4" s="373"/>
      <c r="CE4" s="374"/>
      <c r="CF4" s="24" t="s">
        <v>38</v>
      </c>
      <c r="CG4" s="23" t="s">
        <v>39</v>
      </c>
      <c r="CH4" s="95" t="s">
        <v>36</v>
      </c>
      <c r="CI4" s="95" t="s">
        <v>37</v>
      </c>
      <c r="CJ4" s="412"/>
      <c r="CK4" s="413"/>
    </row>
    <row r="5" spans="1:89" ht="15" customHeight="1">
      <c r="A5" s="142">
        <v>1</v>
      </c>
      <c r="B5" s="143" t="s">
        <v>128</v>
      </c>
      <c r="C5" s="506">
        <v>14</v>
      </c>
      <c r="D5" s="157"/>
      <c r="E5" s="171"/>
      <c r="F5" s="157"/>
      <c r="G5" s="171"/>
      <c r="H5" s="172"/>
      <c r="I5" s="171"/>
      <c r="J5" s="157"/>
      <c r="K5" s="171"/>
      <c r="L5" s="172"/>
      <c r="M5" s="171"/>
      <c r="N5" s="157"/>
      <c r="O5" s="162" t="s">
        <v>53</v>
      </c>
      <c r="P5" s="157"/>
      <c r="Q5" s="171"/>
      <c r="R5" s="172"/>
      <c r="S5" s="171"/>
      <c r="T5" s="172"/>
      <c r="U5" s="171"/>
      <c r="V5" s="172"/>
      <c r="W5" s="171"/>
      <c r="X5" s="169"/>
      <c r="Y5" s="171"/>
      <c r="Z5" s="157"/>
      <c r="AA5" s="171"/>
      <c r="AB5" s="157"/>
      <c r="AC5" s="171"/>
      <c r="AD5" s="169"/>
      <c r="AE5" s="171"/>
      <c r="AF5" s="157"/>
      <c r="AG5" s="171"/>
      <c r="AH5" s="157"/>
      <c r="AI5" s="171" t="s">
        <v>137</v>
      </c>
      <c r="AJ5" s="157"/>
      <c r="AK5" s="171"/>
      <c r="AL5" s="157"/>
      <c r="AM5" s="171"/>
      <c r="AN5" s="157" t="s">
        <v>57</v>
      </c>
      <c r="AO5" s="171"/>
      <c r="AP5" s="558" t="s">
        <v>252</v>
      </c>
      <c r="AQ5" s="559"/>
      <c r="AR5" s="173"/>
      <c r="AS5" s="174"/>
      <c r="AT5" s="142">
        <v>1</v>
      </c>
      <c r="AU5" s="143" t="s">
        <v>128</v>
      </c>
      <c r="AV5" s="506">
        <v>14</v>
      </c>
      <c r="AW5" s="157"/>
      <c r="AX5" s="158" t="s">
        <v>33</v>
      </c>
      <c r="AY5" s="159"/>
      <c r="AZ5" s="158" t="s">
        <v>33</v>
      </c>
      <c r="BA5" s="159"/>
      <c r="BB5" s="73" t="s">
        <v>33</v>
      </c>
      <c r="BC5" s="159"/>
      <c r="BD5" s="158" t="s">
        <v>33</v>
      </c>
      <c r="BE5" s="157"/>
      <c r="BF5" s="161"/>
      <c r="BG5" s="159"/>
      <c r="BH5" s="161"/>
      <c r="BI5" s="159"/>
      <c r="BJ5" s="159" t="s">
        <v>57</v>
      </c>
      <c r="BK5" s="162"/>
      <c r="BL5" s="161"/>
      <c r="BM5" s="163"/>
      <c r="BN5" s="298" t="s">
        <v>57</v>
      </c>
      <c r="BO5" s="160"/>
      <c r="BP5" s="164"/>
      <c r="BQ5" s="160"/>
      <c r="BR5" s="160"/>
      <c r="BS5" s="165"/>
      <c r="BT5" s="164"/>
      <c r="BU5" s="166"/>
      <c r="BV5" s="158"/>
      <c r="BW5" s="159"/>
      <c r="BX5" s="161" t="s">
        <v>34</v>
      </c>
      <c r="BY5" s="159"/>
      <c r="BZ5" s="159" t="s">
        <v>34</v>
      </c>
      <c r="CA5" s="162"/>
      <c r="CB5" s="161" t="s">
        <v>34</v>
      </c>
      <c r="CC5" s="142">
        <v>1</v>
      </c>
      <c r="CD5" s="143" t="s">
        <v>128</v>
      </c>
      <c r="CE5" s="506">
        <v>13</v>
      </c>
      <c r="CF5" s="311">
        <f t="shared" ref="CF5:CF34" si="0">COUNTIF(AX5:CB5,"י")+COUNTIF(AX5:CB5,"Y")+COUNTIF(AX5:CB5,"2")</f>
        <v>4</v>
      </c>
      <c r="CG5" s="76">
        <f t="shared" ref="CG5:CG34" si="1">COUNTIF(AW5:CB5,"ל")+COUNTIF(AW5:CB5,"L")+COUNTIF(AW5:CB5,"ל2")</f>
        <v>3</v>
      </c>
      <c r="CH5" s="93"/>
      <c r="CI5" s="94"/>
      <c r="CJ5" s="449"/>
      <c r="CK5" s="450"/>
    </row>
    <row r="6" spans="1:89" ht="15" customHeight="1">
      <c r="A6" s="142">
        <v>2</v>
      </c>
      <c r="B6" s="143" t="s">
        <v>129</v>
      </c>
      <c r="C6" s="507"/>
      <c r="D6" s="167"/>
      <c r="E6" s="175"/>
      <c r="F6" s="167"/>
      <c r="G6" s="175"/>
      <c r="H6" s="167"/>
      <c r="I6" s="175"/>
      <c r="J6" s="167"/>
      <c r="K6" s="175"/>
      <c r="L6" s="167"/>
      <c r="M6" s="175"/>
      <c r="N6" s="167"/>
      <c r="O6" s="170"/>
      <c r="P6" s="167"/>
      <c r="Q6" s="175"/>
      <c r="R6" s="168"/>
      <c r="S6" s="175"/>
      <c r="T6" s="168"/>
      <c r="U6" s="175"/>
      <c r="V6" s="168" t="s">
        <v>57</v>
      </c>
      <c r="W6" s="175"/>
      <c r="X6" s="168"/>
      <c r="Y6" s="171"/>
      <c r="Z6" s="167"/>
      <c r="AA6" s="175"/>
      <c r="AB6" s="167"/>
      <c r="AC6" s="175"/>
      <c r="AD6" s="168"/>
      <c r="AE6" s="175" t="s">
        <v>53</v>
      </c>
      <c r="AF6" s="167"/>
      <c r="AG6" s="171"/>
      <c r="AH6" s="167"/>
      <c r="AI6" s="175"/>
      <c r="AJ6" s="167"/>
      <c r="AK6" s="175" t="s">
        <v>137</v>
      </c>
      <c r="AL6" s="167"/>
      <c r="AM6" s="175"/>
      <c r="AN6" s="157" t="s">
        <v>57</v>
      </c>
      <c r="AO6" s="175"/>
      <c r="AP6" s="560" t="s">
        <v>253</v>
      </c>
      <c r="AQ6" s="561"/>
      <c r="AR6" s="173"/>
      <c r="AS6" s="174"/>
      <c r="AT6" s="142">
        <v>2</v>
      </c>
      <c r="AU6" s="143" t="s">
        <v>129</v>
      </c>
      <c r="AV6" s="507"/>
      <c r="AW6" s="167"/>
      <c r="AX6" s="161" t="s">
        <v>34</v>
      </c>
      <c r="AY6" s="159"/>
      <c r="AZ6" s="161" t="s">
        <v>34</v>
      </c>
      <c r="BA6" s="159"/>
      <c r="BB6" s="159" t="s">
        <v>41</v>
      </c>
      <c r="BC6" s="162"/>
      <c r="BD6" s="161" t="s">
        <v>34</v>
      </c>
      <c r="BE6" s="167"/>
      <c r="BF6" s="158" t="s">
        <v>33</v>
      </c>
      <c r="BG6" s="159"/>
      <c r="BH6" s="188" t="s">
        <v>47</v>
      </c>
      <c r="BI6" s="159"/>
      <c r="BJ6" s="159" t="s">
        <v>57</v>
      </c>
      <c r="BK6" s="159"/>
      <c r="BL6" s="158" t="s">
        <v>33</v>
      </c>
      <c r="BM6" s="163"/>
      <c r="BN6" s="298" t="s">
        <v>57</v>
      </c>
      <c r="BO6" s="160"/>
      <c r="BP6" s="158"/>
      <c r="BQ6" s="160"/>
      <c r="BR6" s="160"/>
      <c r="BS6" s="168"/>
      <c r="BT6" s="158"/>
      <c r="BU6" s="166"/>
      <c r="BV6" s="158"/>
      <c r="BW6" s="159"/>
      <c r="BX6" s="161"/>
      <c r="BY6" s="159"/>
      <c r="BZ6" s="159"/>
      <c r="CA6" s="169"/>
      <c r="CB6" s="161"/>
      <c r="CC6" s="142">
        <v>2</v>
      </c>
      <c r="CD6" s="143" t="s">
        <v>129</v>
      </c>
      <c r="CE6" s="507"/>
      <c r="CF6" s="311">
        <f t="shared" si="0"/>
        <v>2</v>
      </c>
      <c r="CG6" s="76">
        <f t="shared" si="1"/>
        <v>4</v>
      </c>
      <c r="CH6" s="27"/>
      <c r="CI6" s="28"/>
      <c r="CJ6" s="449"/>
      <c r="CK6" s="450"/>
    </row>
    <row r="7" spans="1:89" ht="15" customHeight="1">
      <c r="A7" s="22">
        <v>3</v>
      </c>
      <c r="B7" s="13" t="s">
        <v>130</v>
      </c>
      <c r="C7" s="507"/>
      <c r="D7" s="167"/>
      <c r="E7" s="175"/>
      <c r="F7" s="167"/>
      <c r="G7" s="175"/>
      <c r="H7" s="176"/>
      <c r="I7" s="175"/>
      <c r="J7" s="167"/>
      <c r="K7" s="175"/>
      <c r="L7" s="176"/>
      <c r="M7" s="175"/>
      <c r="N7" s="167"/>
      <c r="O7" s="170"/>
      <c r="P7" s="167"/>
      <c r="Q7" s="175"/>
      <c r="R7" s="176"/>
      <c r="S7" s="175"/>
      <c r="T7" s="176"/>
      <c r="U7" s="175"/>
      <c r="V7" s="168" t="s">
        <v>57</v>
      </c>
      <c r="W7" s="175"/>
      <c r="X7" s="168"/>
      <c r="Y7" s="171" t="s">
        <v>53</v>
      </c>
      <c r="Z7" s="167"/>
      <c r="AA7" s="175"/>
      <c r="AB7" s="167"/>
      <c r="AC7" s="175"/>
      <c r="AD7" s="168"/>
      <c r="AE7" s="175"/>
      <c r="AF7" s="167"/>
      <c r="AG7" s="171" t="s">
        <v>137</v>
      </c>
      <c r="AH7" s="167"/>
      <c r="AI7" s="175"/>
      <c r="AJ7" s="167"/>
      <c r="AK7" s="175"/>
      <c r="AL7" s="167"/>
      <c r="AM7" s="175"/>
      <c r="AN7" s="157" t="s">
        <v>57</v>
      </c>
      <c r="AO7" s="175"/>
      <c r="AP7" s="560" t="s">
        <v>253</v>
      </c>
      <c r="AQ7" s="561"/>
      <c r="AR7" s="173"/>
      <c r="AS7" s="174"/>
      <c r="AT7" s="22">
        <v>3</v>
      </c>
      <c r="AU7" s="13" t="s">
        <v>130</v>
      </c>
      <c r="AV7" s="507"/>
      <c r="AW7" s="16"/>
      <c r="AX7" s="71"/>
      <c r="AY7" s="73"/>
      <c r="AZ7" s="71"/>
      <c r="BA7" s="73"/>
      <c r="BB7" s="73"/>
      <c r="BC7" s="59"/>
      <c r="BD7" s="71"/>
      <c r="BE7" s="16"/>
      <c r="BF7" s="66" t="s">
        <v>34</v>
      </c>
      <c r="BG7" s="68"/>
      <c r="BH7" s="66" t="s">
        <v>34</v>
      </c>
      <c r="BI7" s="68"/>
      <c r="BJ7" s="159" t="s">
        <v>57</v>
      </c>
      <c r="BK7" s="110"/>
      <c r="BL7" s="66" t="s">
        <v>34</v>
      </c>
      <c r="BM7" s="38"/>
      <c r="BN7" s="298" t="s">
        <v>57</v>
      </c>
      <c r="BO7" s="68"/>
      <c r="BP7" s="71" t="s">
        <v>33</v>
      </c>
      <c r="BQ7" s="68"/>
      <c r="BR7" s="73" t="s">
        <v>33</v>
      </c>
      <c r="BS7" s="68"/>
      <c r="BT7" s="71" t="s">
        <v>33</v>
      </c>
      <c r="BU7" s="108"/>
      <c r="BV7" s="71"/>
      <c r="BW7" s="68"/>
      <c r="BX7" s="66"/>
      <c r="BY7" s="68"/>
      <c r="BZ7" s="68"/>
      <c r="CA7" s="83"/>
      <c r="CB7" s="66"/>
      <c r="CC7" s="22">
        <v>3</v>
      </c>
      <c r="CD7" s="13" t="s">
        <v>130</v>
      </c>
      <c r="CE7" s="507"/>
      <c r="CF7" s="311">
        <f t="shared" si="0"/>
        <v>3</v>
      </c>
      <c r="CG7" s="76">
        <f t="shared" si="1"/>
        <v>3</v>
      </c>
      <c r="CH7" s="27"/>
      <c r="CI7" s="28"/>
      <c r="CJ7" s="449"/>
      <c r="CK7" s="450"/>
    </row>
    <row r="8" spans="1:89" ht="15" customHeight="1">
      <c r="A8" s="22">
        <v>4</v>
      </c>
      <c r="B8" s="13" t="s">
        <v>131</v>
      </c>
      <c r="C8" s="508"/>
      <c r="D8" s="167"/>
      <c r="E8" s="175"/>
      <c r="F8" s="167"/>
      <c r="G8" s="175"/>
      <c r="H8" s="167"/>
      <c r="I8" s="175"/>
      <c r="J8" s="167"/>
      <c r="K8" s="175"/>
      <c r="L8" s="167"/>
      <c r="M8" s="175"/>
      <c r="N8" s="167"/>
      <c r="O8" s="170"/>
      <c r="P8" s="167"/>
      <c r="Q8" s="175"/>
      <c r="R8" s="168"/>
      <c r="S8" s="175"/>
      <c r="T8" s="168"/>
      <c r="U8" s="175"/>
      <c r="V8" s="168" t="s">
        <v>57</v>
      </c>
      <c r="W8" s="175"/>
      <c r="X8" s="168"/>
      <c r="Y8" s="171" t="s">
        <v>53</v>
      </c>
      <c r="Z8" s="167"/>
      <c r="AA8" s="175"/>
      <c r="AB8" s="167"/>
      <c r="AC8" s="175"/>
      <c r="AD8" s="168"/>
      <c r="AE8" s="175"/>
      <c r="AF8" s="167"/>
      <c r="AG8" s="171" t="s">
        <v>137</v>
      </c>
      <c r="AH8" s="167"/>
      <c r="AI8" s="175"/>
      <c r="AJ8" s="167"/>
      <c r="AK8" s="175"/>
      <c r="AL8" s="167"/>
      <c r="AM8" s="175"/>
      <c r="AN8" s="157" t="s">
        <v>57</v>
      </c>
      <c r="AO8" s="175"/>
      <c r="AP8" s="560" t="s">
        <v>253</v>
      </c>
      <c r="AQ8" s="561"/>
      <c r="AR8" s="173"/>
      <c r="AS8" s="174"/>
      <c r="AT8" s="22">
        <v>4</v>
      </c>
      <c r="AU8" s="13" t="s">
        <v>131</v>
      </c>
      <c r="AV8" s="508"/>
      <c r="AW8" s="16"/>
      <c r="AX8" s="71"/>
      <c r="AY8" s="73"/>
      <c r="AZ8" s="71"/>
      <c r="BA8" s="73"/>
      <c r="BB8" s="73"/>
      <c r="BC8" s="59"/>
      <c r="BD8" s="71"/>
      <c r="BE8" s="16"/>
      <c r="BF8" s="71"/>
      <c r="BG8" s="73"/>
      <c r="BH8" s="71"/>
      <c r="BI8" s="73"/>
      <c r="BJ8" s="159" t="s">
        <v>57</v>
      </c>
      <c r="BK8" s="59"/>
      <c r="BL8" s="71"/>
      <c r="BM8" s="38"/>
      <c r="BN8" s="298" t="s">
        <v>57</v>
      </c>
      <c r="BO8" s="68"/>
      <c r="BP8" s="66" t="s">
        <v>34</v>
      </c>
      <c r="BQ8" s="68"/>
      <c r="BR8" s="68" t="s">
        <v>34</v>
      </c>
      <c r="BS8" s="110"/>
      <c r="BT8" s="75" t="s">
        <v>34</v>
      </c>
      <c r="BU8" s="108"/>
      <c r="BV8" s="71"/>
      <c r="BW8" s="68"/>
      <c r="BX8" s="71" t="s">
        <v>33</v>
      </c>
      <c r="BY8" s="68"/>
      <c r="BZ8" s="73" t="s">
        <v>33</v>
      </c>
      <c r="CA8" s="68"/>
      <c r="CB8" s="71" t="s">
        <v>33</v>
      </c>
      <c r="CC8" s="22">
        <v>4</v>
      </c>
      <c r="CD8" s="13" t="s">
        <v>131</v>
      </c>
      <c r="CE8" s="508"/>
      <c r="CF8" s="311">
        <f t="shared" si="0"/>
        <v>3</v>
      </c>
      <c r="CG8" s="76">
        <f t="shared" si="1"/>
        <v>3</v>
      </c>
      <c r="CH8" s="27"/>
      <c r="CI8" s="28"/>
      <c r="CJ8" s="449"/>
      <c r="CK8" s="450"/>
    </row>
    <row r="9" spans="1:89" ht="15" customHeight="1">
      <c r="A9" s="142">
        <v>5</v>
      </c>
      <c r="B9" s="143" t="s">
        <v>132</v>
      </c>
      <c r="C9" s="506">
        <v>15</v>
      </c>
      <c r="D9" s="167"/>
      <c r="E9" s="175"/>
      <c r="F9" s="167"/>
      <c r="G9" s="175"/>
      <c r="H9" s="167"/>
      <c r="I9" s="175"/>
      <c r="J9" s="167"/>
      <c r="K9" s="175"/>
      <c r="L9" s="167"/>
      <c r="M9" s="175"/>
      <c r="N9" s="167"/>
      <c r="O9" s="170"/>
      <c r="P9" s="167"/>
      <c r="Q9" s="175"/>
      <c r="R9" s="168"/>
      <c r="S9" s="175"/>
      <c r="T9" s="168"/>
      <c r="U9" s="175"/>
      <c r="V9" s="168" t="s">
        <v>57</v>
      </c>
      <c r="W9" s="175"/>
      <c r="X9" s="168"/>
      <c r="Y9" s="171"/>
      <c r="Z9" s="167"/>
      <c r="AA9" s="175"/>
      <c r="AB9" s="167"/>
      <c r="AC9" s="175" t="s">
        <v>53</v>
      </c>
      <c r="AD9" s="168"/>
      <c r="AE9" s="175"/>
      <c r="AF9" s="167"/>
      <c r="AG9" s="171"/>
      <c r="AH9" s="167"/>
      <c r="AI9" s="175"/>
      <c r="AJ9" s="167"/>
      <c r="AK9" s="175" t="s">
        <v>137</v>
      </c>
      <c r="AL9" s="167"/>
      <c r="AM9" s="175"/>
      <c r="AN9" s="157" t="s">
        <v>57</v>
      </c>
      <c r="AO9" s="175"/>
      <c r="AP9" s="560" t="s">
        <v>253</v>
      </c>
      <c r="AQ9" s="561"/>
      <c r="AR9" s="173"/>
      <c r="AS9" s="174"/>
      <c r="AT9" s="142">
        <v>5</v>
      </c>
      <c r="AU9" s="143" t="s">
        <v>132</v>
      </c>
      <c r="AV9" s="506">
        <v>15</v>
      </c>
      <c r="AW9" s="167"/>
      <c r="AX9" s="158" t="s">
        <v>33</v>
      </c>
      <c r="AY9" s="159"/>
      <c r="AZ9" s="158" t="s">
        <v>33</v>
      </c>
      <c r="BA9" s="159"/>
      <c r="BB9" s="159" t="s">
        <v>41</v>
      </c>
      <c r="BC9" s="159"/>
      <c r="BD9" s="158" t="s">
        <v>33</v>
      </c>
      <c r="BE9" s="167"/>
      <c r="BF9" s="158"/>
      <c r="BG9" s="160"/>
      <c r="BH9" s="158"/>
      <c r="BI9" s="160"/>
      <c r="BJ9" s="159" t="s">
        <v>57</v>
      </c>
      <c r="BK9" s="170"/>
      <c r="BL9" s="158"/>
      <c r="BM9" s="163"/>
      <c r="BN9" s="298" t="s">
        <v>57</v>
      </c>
      <c r="BO9" s="160"/>
      <c r="BP9" s="158"/>
      <c r="BQ9" s="160"/>
      <c r="BR9" s="160"/>
      <c r="BS9" s="168"/>
      <c r="BT9" s="158"/>
      <c r="BU9" s="166"/>
      <c r="BV9" s="158"/>
      <c r="BW9" s="159"/>
      <c r="BX9" s="161" t="s">
        <v>34</v>
      </c>
      <c r="BY9" s="159"/>
      <c r="BZ9" s="159" t="s">
        <v>34</v>
      </c>
      <c r="CA9" s="162"/>
      <c r="CB9" s="161" t="s">
        <v>34</v>
      </c>
      <c r="CC9" s="142">
        <v>5</v>
      </c>
      <c r="CD9" s="143" t="s">
        <v>132</v>
      </c>
      <c r="CE9" s="506">
        <v>14</v>
      </c>
      <c r="CF9" s="311">
        <f t="shared" si="0"/>
        <v>3</v>
      </c>
      <c r="CG9" s="76">
        <f t="shared" si="1"/>
        <v>3</v>
      </c>
      <c r="CH9" s="27"/>
      <c r="CI9" s="28"/>
      <c r="CJ9" s="449"/>
      <c r="CK9" s="450"/>
    </row>
    <row r="10" spans="1:89" ht="15" customHeight="1">
      <c r="A10" s="142">
        <v>6</v>
      </c>
      <c r="B10" s="143" t="s">
        <v>133</v>
      </c>
      <c r="C10" s="507"/>
      <c r="D10" s="167"/>
      <c r="E10" s="175"/>
      <c r="F10" s="167"/>
      <c r="G10" s="175"/>
      <c r="H10" s="167"/>
      <c r="I10" s="175"/>
      <c r="J10" s="167"/>
      <c r="K10" s="175"/>
      <c r="L10" s="167"/>
      <c r="M10" s="175"/>
      <c r="N10" s="167"/>
      <c r="O10" s="170"/>
      <c r="P10" s="167"/>
      <c r="Q10" s="175"/>
      <c r="R10" s="168"/>
      <c r="S10" s="175"/>
      <c r="T10" s="168"/>
      <c r="U10" s="175" t="s">
        <v>137</v>
      </c>
      <c r="V10" s="168" t="s">
        <v>57</v>
      </c>
      <c r="W10" s="175"/>
      <c r="X10" s="168"/>
      <c r="Y10" s="171"/>
      <c r="Z10" s="167"/>
      <c r="AA10" s="175"/>
      <c r="AB10" s="167"/>
      <c r="AC10" s="175" t="s">
        <v>53</v>
      </c>
      <c r="AD10" s="168"/>
      <c r="AE10" s="175"/>
      <c r="AF10" s="167"/>
      <c r="AG10" s="171"/>
      <c r="AH10" s="167"/>
      <c r="AI10" s="175"/>
      <c r="AJ10" s="167"/>
      <c r="AK10" s="175"/>
      <c r="AL10" s="167"/>
      <c r="AM10" s="175"/>
      <c r="AN10" s="157" t="s">
        <v>57</v>
      </c>
      <c r="AO10" s="175"/>
      <c r="AP10" s="560" t="s">
        <v>253</v>
      </c>
      <c r="AQ10" s="561"/>
      <c r="AR10" s="173"/>
      <c r="AS10" s="174"/>
      <c r="AT10" s="142">
        <v>6</v>
      </c>
      <c r="AU10" s="143" t="s">
        <v>133</v>
      </c>
      <c r="AV10" s="507"/>
      <c r="AW10" s="167"/>
      <c r="AX10" s="161" t="s">
        <v>34</v>
      </c>
      <c r="AY10" s="159"/>
      <c r="AZ10" s="161" t="s">
        <v>34</v>
      </c>
      <c r="BA10" s="159"/>
      <c r="BB10" s="159" t="s">
        <v>41</v>
      </c>
      <c r="BC10" s="162"/>
      <c r="BD10" s="161" t="s">
        <v>34</v>
      </c>
      <c r="BE10" s="167"/>
      <c r="BF10" s="158" t="s">
        <v>33</v>
      </c>
      <c r="BG10" s="159"/>
      <c r="BH10" s="161" t="s">
        <v>41</v>
      </c>
      <c r="BI10" s="159"/>
      <c r="BJ10" s="159" t="s">
        <v>57</v>
      </c>
      <c r="BK10" s="159"/>
      <c r="BL10" s="158" t="s">
        <v>33</v>
      </c>
      <c r="BM10" s="163"/>
      <c r="BN10" s="298" t="s">
        <v>57</v>
      </c>
      <c r="BO10" s="160"/>
      <c r="BP10" s="158"/>
      <c r="BQ10" s="160"/>
      <c r="BR10" s="160"/>
      <c r="BS10" s="168"/>
      <c r="BT10" s="158"/>
      <c r="BU10" s="166"/>
      <c r="BV10" s="158"/>
      <c r="BW10" s="159"/>
      <c r="BX10" s="161"/>
      <c r="BY10" s="159"/>
      <c r="BZ10" s="159"/>
      <c r="CA10" s="169"/>
      <c r="CB10" s="161"/>
      <c r="CC10" s="142">
        <v>6</v>
      </c>
      <c r="CD10" s="143" t="s">
        <v>133</v>
      </c>
      <c r="CE10" s="507"/>
      <c r="CF10" s="311">
        <f t="shared" si="0"/>
        <v>2</v>
      </c>
      <c r="CG10" s="76">
        <f t="shared" si="1"/>
        <v>3</v>
      </c>
      <c r="CH10" s="27"/>
      <c r="CI10" s="28"/>
      <c r="CJ10" s="449"/>
      <c r="CK10" s="450"/>
    </row>
    <row r="11" spans="1:89" ht="15" customHeight="1">
      <c r="A11" s="142">
        <v>7</v>
      </c>
      <c r="B11" s="143" t="s">
        <v>127</v>
      </c>
      <c r="C11" s="507"/>
      <c r="D11" s="167"/>
      <c r="E11" s="175"/>
      <c r="F11" s="167"/>
      <c r="G11" s="175" t="s">
        <v>53</v>
      </c>
      <c r="H11" s="167"/>
      <c r="I11" s="175"/>
      <c r="J11" s="167"/>
      <c r="K11" s="175"/>
      <c r="L11" s="167"/>
      <c r="M11" s="175"/>
      <c r="N11" s="167"/>
      <c r="O11" s="170"/>
      <c r="P11" s="167"/>
      <c r="Q11" s="175" t="s">
        <v>137</v>
      </c>
      <c r="R11" s="168"/>
      <c r="S11" s="175"/>
      <c r="T11" s="168"/>
      <c r="U11" s="175"/>
      <c r="V11" s="168" t="s">
        <v>57</v>
      </c>
      <c r="W11" s="175"/>
      <c r="X11" s="168"/>
      <c r="Y11" s="171"/>
      <c r="Z11" s="167"/>
      <c r="AA11" s="175"/>
      <c r="AB11" s="167"/>
      <c r="AC11" s="175"/>
      <c r="AD11" s="168"/>
      <c r="AE11" s="175"/>
      <c r="AF11" s="167"/>
      <c r="AG11" s="171"/>
      <c r="AH11" s="167"/>
      <c r="AI11" s="175"/>
      <c r="AJ11" s="167"/>
      <c r="AK11" s="175"/>
      <c r="AL11" s="167"/>
      <c r="AM11" s="175"/>
      <c r="AN11" s="157" t="s">
        <v>57</v>
      </c>
      <c r="AO11" s="175"/>
      <c r="AP11" s="560" t="s">
        <v>253</v>
      </c>
      <c r="AQ11" s="561"/>
      <c r="AR11" s="173"/>
      <c r="AS11" s="174"/>
      <c r="AT11" s="142">
        <v>7</v>
      </c>
      <c r="AU11" s="143" t="s">
        <v>127</v>
      </c>
      <c r="AV11" s="507"/>
      <c r="AW11" s="167"/>
      <c r="AX11" s="158"/>
      <c r="AY11" s="160"/>
      <c r="AZ11" s="158"/>
      <c r="BA11" s="160"/>
      <c r="BB11" s="159" t="s">
        <v>41</v>
      </c>
      <c r="BC11" s="170"/>
      <c r="BD11" s="158"/>
      <c r="BE11" s="167"/>
      <c r="BF11" s="161" t="s">
        <v>34</v>
      </c>
      <c r="BG11" s="159"/>
      <c r="BH11" s="161" t="s">
        <v>41</v>
      </c>
      <c r="BI11" s="159"/>
      <c r="BJ11" s="159" t="s">
        <v>57</v>
      </c>
      <c r="BK11" s="162"/>
      <c r="BL11" s="161" t="s">
        <v>34</v>
      </c>
      <c r="BM11" s="163"/>
      <c r="BN11" s="298" t="s">
        <v>57</v>
      </c>
      <c r="BO11" s="159"/>
      <c r="BP11" s="158" t="s">
        <v>33</v>
      </c>
      <c r="BQ11" s="159"/>
      <c r="BR11" s="160" t="s">
        <v>41</v>
      </c>
      <c r="BS11" s="159"/>
      <c r="BT11" s="158" t="s">
        <v>33</v>
      </c>
      <c r="BU11" s="166"/>
      <c r="BV11" s="158"/>
      <c r="BW11" s="159"/>
      <c r="BX11" s="161"/>
      <c r="BY11" s="159"/>
      <c r="BZ11" s="159"/>
      <c r="CA11" s="169"/>
      <c r="CB11" s="161"/>
      <c r="CC11" s="142">
        <v>7</v>
      </c>
      <c r="CD11" s="143" t="s">
        <v>127</v>
      </c>
      <c r="CE11" s="507"/>
      <c r="CF11" s="311">
        <f t="shared" si="0"/>
        <v>2</v>
      </c>
      <c r="CG11" s="76">
        <f t="shared" si="1"/>
        <v>2</v>
      </c>
      <c r="CH11" s="27"/>
      <c r="CI11" s="28"/>
      <c r="CJ11" s="449"/>
      <c r="CK11" s="450"/>
    </row>
    <row r="12" spans="1:89" ht="15" customHeight="1">
      <c r="A12" s="142">
        <v>8</v>
      </c>
      <c r="B12" s="143" t="s">
        <v>128</v>
      </c>
      <c r="C12" s="507"/>
      <c r="D12" s="167"/>
      <c r="E12" s="175" t="s">
        <v>137</v>
      </c>
      <c r="F12" s="167"/>
      <c r="G12" s="175"/>
      <c r="H12" s="176"/>
      <c r="I12" s="175"/>
      <c r="J12" s="167"/>
      <c r="K12" s="175"/>
      <c r="L12" s="176"/>
      <c r="M12" s="175"/>
      <c r="N12" s="167"/>
      <c r="O12" s="170"/>
      <c r="P12" s="167"/>
      <c r="Q12" s="175"/>
      <c r="R12" s="176"/>
      <c r="S12" s="175"/>
      <c r="T12" s="176"/>
      <c r="U12" s="175"/>
      <c r="V12" s="168" t="s">
        <v>57</v>
      </c>
      <c r="W12" s="175"/>
      <c r="X12" s="168"/>
      <c r="Y12" s="171" t="s">
        <v>53</v>
      </c>
      <c r="Z12" s="167"/>
      <c r="AA12" s="175"/>
      <c r="AB12" s="167"/>
      <c r="AC12" s="175"/>
      <c r="AD12" s="168"/>
      <c r="AE12" s="175"/>
      <c r="AF12" s="167"/>
      <c r="AG12" s="171"/>
      <c r="AH12" s="167"/>
      <c r="AI12" s="175"/>
      <c r="AJ12" s="167"/>
      <c r="AK12" s="175"/>
      <c r="AL12" s="167"/>
      <c r="AM12" s="175"/>
      <c r="AN12" s="157" t="s">
        <v>57</v>
      </c>
      <c r="AO12" s="175"/>
      <c r="AP12" s="560" t="s">
        <v>253</v>
      </c>
      <c r="AQ12" s="561"/>
      <c r="AR12" s="173"/>
      <c r="AS12" s="174"/>
      <c r="AT12" s="142">
        <v>8</v>
      </c>
      <c r="AU12" s="143" t="s">
        <v>128</v>
      </c>
      <c r="AV12" s="507"/>
      <c r="AW12" s="167"/>
      <c r="AX12" s="158"/>
      <c r="AY12" s="160"/>
      <c r="AZ12" s="158"/>
      <c r="BA12" s="160"/>
      <c r="BB12" s="159" t="s">
        <v>41</v>
      </c>
      <c r="BC12" s="170"/>
      <c r="BD12" s="158"/>
      <c r="BE12" s="167"/>
      <c r="BF12" s="158"/>
      <c r="BG12" s="160"/>
      <c r="BH12" s="161" t="s">
        <v>41</v>
      </c>
      <c r="BI12" s="160"/>
      <c r="BJ12" s="159" t="s">
        <v>57</v>
      </c>
      <c r="BK12" s="170"/>
      <c r="BL12" s="158"/>
      <c r="BM12" s="163"/>
      <c r="BN12" s="298" t="s">
        <v>57</v>
      </c>
      <c r="BO12" s="159"/>
      <c r="BP12" s="161" t="s">
        <v>34</v>
      </c>
      <c r="BQ12" s="159"/>
      <c r="BR12" s="159" t="s">
        <v>34</v>
      </c>
      <c r="BS12" s="162"/>
      <c r="BT12" s="161" t="s">
        <v>34</v>
      </c>
      <c r="BU12" s="166"/>
      <c r="BV12" s="158"/>
      <c r="BW12" s="159"/>
      <c r="BX12" s="158" t="s">
        <v>33</v>
      </c>
      <c r="BY12" s="159"/>
      <c r="BZ12" s="160" t="s">
        <v>33</v>
      </c>
      <c r="CA12" s="159"/>
      <c r="CB12" s="158" t="s">
        <v>33</v>
      </c>
      <c r="CC12" s="142">
        <v>8</v>
      </c>
      <c r="CD12" s="143" t="s">
        <v>128</v>
      </c>
      <c r="CE12" s="507"/>
      <c r="CF12" s="311">
        <f t="shared" si="0"/>
        <v>3</v>
      </c>
      <c r="CG12" s="76">
        <f t="shared" si="1"/>
        <v>3</v>
      </c>
      <c r="CH12" s="27"/>
      <c r="CI12" s="28"/>
      <c r="CJ12" s="449"/>
      <c r="CK12" s="450"/>
    </row>
    <row r="13" spans="1:89" ht="15" customHeight="1">
      <c r="A13" s="142">
        <v>9</v>
      </c>
      <c r="B13" s="143" t="s">
        <v>129</v>
      </c>
      <c r="C13" s="507"/>
      <c r="D13" s="14"/>
      <c r="E13" s="65" t="s">
        <v>51</v>
      </c>
      <c r="F13" s="14"/>
      <c r="G13" s="65"/>
      <c r="H13" s="14"/>
      <c r="I13" s="65"/>
      <c r="J13" s="14"/>
      <c r="K13" s="65"/>
      <c r="L13" s="14"/>
      <c r="M13" s="65"/>
      <c r="N13" s="14"/>
      <c r="O13" s="58"/>
      <c r="P13" s="14"/>
      <c r="Q13" s="65"/>
      <c r="R13" s="15"/>
      <c r="S13" s="65"/>
      <c r="T13" s="15"/>
      <c r="U13" s="65"/>
      <c r="V13" s="168"/>
      <c r="W13" s="65"/>
      <c r="X13" s="15"/>
      <c r="Y13" s="80"/>
      <c r="Z13" s="14"/>
      <c r="AA13" s="65"/>
      <c r="AB13" s="14"/>
      <c r="AC13" s="65"/>
      <c r="AD13" s="15" t="s">
        <v>41</v>
      </c>
      <c r="AE13" s="65"/>
      <c r="AF13" s="14"/>
      <c r="AG13" s="80"/>
      <c r="AH13" s="14"/>
      <c r="AI13" s="65"/>
      <c r="AJ13" s="14"/>
      <c r="AK13" s="65"/>
      <c r="AL13" s="14"/>
      <c r="AM13" s="65" t="s">
        <v>136</v>
      </c>
      <c r="AN13" s="157" t="s">
        <v>57</v>
      </c>
      <c r="AO13" s="65"/>
      <c r="AP13" s="558"/>
      <c r="AQ13" s="559"/>
      <c r="AR13" s="33"/>
      <c r="AS13" s="34"/>
      <c r="AT13" s="142">
        <v>9</v>
      </c>
      <c r="AU13" s="143" t="s">
        <v>129</v>
      </c>
      <c r="AV13" s="507"/>
      <c r="AW13" s="14"/>
      <c r="AX13" s="71" t="s">
        <v>33</v>
      </c>
      <c r="AY13" s="69"/>
      <c r="AZ13" s="71" t="s">
        <v>41</v>
      </c>
      <c r="BA13" s="69"/>
      <c r="BB13" s="159" t="s">
        <v>41</v>
      </c>
      <c r="BC13" s="69"/>
      <c r="BD13" s="71" t="s">
        <v>33</v>
      </c>
      <c r="BE13" s="14"/>
      <c r="BF13" s="70"/>
      <c r="BG13" s="72"/>
      <c r="BH13" s="161" t="s">
        <v>41</v>
      </c>
      <c r="BI13" s="72"/>
      <c r="BJ13" s="159" t="s">
        <v>57</v>
      </c>
      <c r="BK13" s="58"/>
      <c r="BL13" s="70"/>
      <c r="BM13" s="37"/>
      <c r="BN13" s="298" t="s">
        <v>57</v>
      </c>
      <c r="BO13" s="72"/>
      <c r="BP13" s="70"/>
      <c r="BQ13" s="72"/>
      <c r="BR13" s="72"/>
      <c r="BS13" s="15"/>
      <c r="BT13" s="188" t="s">
        <v>47</v>
      </c>
      <c r="BU13" s="96"/>
      <c r="BV13" s="67"/>
      <c r="BW13" s="69"/>
      <c r="BX13" s="67" t="s">
        <v>34</v>
      </c>
      <c r="BY13" s="69"/>
      <c r="BZ13" s="69" t="s">
        <v>34</v>
      </c>
      <c r="CA13" s="87"/>
      <c r="CB13" s="67" t="s">
        <v>34</v>
      </c>
      <c r="CC13" s="142">
        <v>9</v>
      </c>
      <c r="CD13" s="143" t="s">
        <v>129</v>
      </c>
      <c r="CE13" s="507"/>
      <c r="CF13" s="311">
        <f t="shared" si="0"/>
        <v>2</v>
      </c>
      <c r="CG13" s="76">
        <f t="shared" si="1"/>
        <v>4</v>
      </c>
      <c r="CH13" s="27"/>
      <c r="CI13" s="28"/>
      <c r="CJ13" s="449"/>
      <c r="CK13" s="450"/>
    </row>
    <row r="14" spans="1:89" ht="15" customHeight="1">
      <c r="A14" s="22">
        <v>10</v>
      </c>
      <c r="B14" s="13" t="s">
        <v>130</v>
      </c>
      <c r="C14" s="507"/>
      <c r="D14" s="16"/>
      <c r="E14" s="17"/>
      <c r="F14" s="16"/>
      <c r="G14" s="17"/>
      <c r="H14" s="109"/>
      <c r="I14" s="17"/>
      <c r="J14" s="16"/>
      <c r="K14" s="17"/>
      <c r="L14" s="109"/>
      <c r="M14" s="17"/>
      <c r="N14" s="16"/>
      <c r="O14" s="59" t="s">
        <v>53</v>
      </c>
      <c r="P14" s="16"/>
      <c r="Q14" s="17"/>
      <c r="R14" s="109"/>
      <c r="S14" s="17"/>
      <c r="T14" s="109"/>
      <c r="U14" s="17"/>
      <c r="V14" s="109"/>
      <c r="W14" s="17"/>
      <c r="X14" s="18"/>
      <c r="Y14" s="82"/>
      <c r="Z14" s="16"/>
      <c r="AA14" s="17"/>
      <c r="AB14" s="16"/>
      <c r="AC14" s="17"/>
      <c r="AD14" s="18"/>
      <c r="AE14" s="17"/>
      <c r="AF14" s="16"/>
      <c r="AG14" s="82" t="s">
        <v>137</v>
      </c>
      <c r="AH14" s="16"/>
      <c r="AI14" s="17"/>
      <c r="AJ14" s="16"/>
      <c r="AK14" s="17"/>
      <c r="AL14" s="16"/>
      <c r="AM14" s="17"/>
      <c r="AN14" s="157" t="s">
        <v>57</v>
      </c>
      <c r="AO14" s="17"/>
      <c r="AP14" s="529"/>
      <c r="AQ14" s="530"/>
      <c r="AR14" s="104"/>
      <c r="AS14" s="105"/>
      <c r="AT14" s="22">
        <v>10</v>
      </c>
      <c r="AU14" s="13" t="s">
        <v>130</v>
      </c>
      <c r="AV14" s="507"/>
      <c r="AW14" s="16"/>
      <c r="AX14" s="66" t="s">
        <v>34</v>
      </c>
      <c r="AY14" s="68"/>
      <c r="AZ14" s="66" t="s">
        <v>34</v>
      </c>
      <c r="BA14" s="68"/>
      <c r="BB14" s="69" t="s">
        <v>61</v>
      </c>
      <c r="BC14" s="110"/>
      <c r="BD14" s="66" t="s">
        <v>34</v>
      </c>
      <c r="BE14" s="16"/>
      <c r="BF14" s="71" t="s">
        <v>33</v>
      </c>
      <c r="BG14" s="68"/>
      <c r="BH14" s="67" t="s">
        <v>61</v>
      </c>
      <c r="BI14" s="68"/>
      <c r="BJ14" s="159" t="s">
        <v>57</v>
      </c>
      <c r="BK14" s="68"/>
      <c r="BL14" s="71" t="s">
        <v>33</v>
      </c>
      <c r="BM14" s="38"/>
      <c r="BN14" s="298" t="s">
        <v>57</v>
      </c>
      <c r="BO14" s="73"/>
      <c r="BP14" s="71"/>
      <c r="BQ14" s="73"/>
      <c r="BR14" s="73"/>
      <c r="BS14" s="18"/>
      <c r="BT14" s="71"/>
      <c r="BU14" s="108"/>
      <c r="BV14" s="66"/>
      <c r="BW14" s="68"/>
      <c r="BX14" s="66"/>
      <c r="BY14" s="68"/>
      <c r="BZ14" s="68"/>
      <c r="CA14" s="83"/>
      <c r="CB14" s="66"/>
      <c r="CC14" s="22">
        <v>10</v>
      </c>
      <c r="CD14" s="13" t="s">
        <v>130</v>
      </c>
      <c r="CE14" s="507"/>
      <c r="CF14" s="311">
        <f t="shared" si="0"/>
        <v>2</v>
      </c>
      <c r="CG14" s="76">
        <f t="shared" si="1"/>
        <v>3</v>
      </c>
      <c r="CH14" s="27"/>
      <c r="CI14" s="28"/>
      <c r="CJ14" s="449"/>
      <c r="CK14" s="450"/>
    </row>
    <row r="15" spans="1:89" ht="15" customHeight="1">
      <c r="A15" s="22">
        <v>11</v>
      </c>
      <c r="B15" s="13" t="s">
        <v>131</v>
      </c>
      <c r="C15" s="508"/>
      <c r="D15" s="16"/>
      <c r="E15" s="17"/>
      <c r="F15" s="16"/>
      <c r="G15" s="17"/>
      <c r="H15" s="16"/>
      <c r="I15" s="17"/>
      <c r="J15" s="16"/>
      <c r="K15" s="17"/>
      <c r="L15" s="16"/>
      <c r="M15" s="17"/>
      <c r="N15" s="16"/>
      <c r="O15" s="59"/>
      <c r="P15" s="16"/>
      <c r="Q15" s="17"/>
      <c r="R15" s="18"/>
      <c r="S15" s="17"/>
      <c r="T15" s="18"/>
      <c r="U15" s="17"/>
      <c r="V15" s="18"/>
      <c r="W15" s="17"/>
      <c r="X15" s="18"/>
      <c r="Y15" s="82"/>
      <c r="Z15" s="16"/>
      <c r="AA15" s="17"/>
      <c r="AB15" s="16"/>
      <c r="AC15" s="17"/>
      <c r="AD15" s="18"/>
      <c r="AE15" s="17" t="s">
        <v>53</v>
      </c>
      <c r="AF15" s="16"/>
      <c r="AG15" s="82"/>
      <c r="AH15" s="16"/>
      <c r="AI15" s="17" t="s">
        <v>137</v>
      </c>
      <c r="AJ15" s="16"/>
      <c r="AK15" s="17"/>
      <c r="AL15" s="16"/>
      <c r="AM15" s="17"/>
      <c r="AN15" s="157" t="s">
        <v>57</v>
      </c>
      <c r="AO15" s="17"/>
      <c r="AP15" s="529"/>
      <c r="AQ15" s="530"/>
      <c r="AR15" s="104"/>
      <c r="AS15" s="105"/>
      <c r="AT15" s="22">
        <v>11</v>
      </c>
      <c r="AU15" s="13" t="s">
        <v>131</v>
      </c>
      <c r="AV15" s="508"/>
      <c r="AW15" s="16"/>
      <c r="AX15" s="71"/>
      <c r="AY15" s="73"/>
      <c r="AZ15" s="188" t="s">
        <v>47</v>
      </c>
      <c r="BA15" s="73"/>
      <c r="BB15" s="73"/>
      <c r="BC15" s="59"/>
      <c r="BD15" s="71"/>
      <c r="BE15" s="16"/>
      <c r="BF15" s="66" t="s">
        <v>34</v>
      </c>
      <c r="BG15" s="68"/>
      <c r="BH15" s="67" t="s">
        <v>61</v>
      </c>
      <c r="BI15" s="68"/>
      <c r="BJ15" s="159" t="s">
        <v>57</v>
      </c>
      <c r="BK15" s="110"/>
      <c r="BL15" s="66" t="s">
        <v>34</v>
      </c>
      <c r="BM15" s="38"/>
      <c r="BN15" s="298" t="s">
        <v>57</v>
      </c>
      <c r="BO15" s="68"/>
      <c r="BP15" s="71" t="s">
        <v>33</v>
      </c>
      <c r="BQ15" s="68"/>
      <c r="BR15" s="73" t="s">
        <v>33</v>
      </c>
      <c r="BS15" s="68"/>
      <c r="BT15" s="188" t="s">
        <v>47</v>
      </c>
      <c r="BU15" s="108"/>
      <c r="BV15" s="66"/>
      <c r="BW15" s="68"/>
      <c r="BX15" s="66"/>
      <c r="BY15" s="68"/>
      <c r="BZ15" s="68"/>
      <c r="CA15" s="83"/>
      <c r="CB15" s="66"/>
      <c r="CC15" s="22">
        <v>11</v>
      </c>
      <c r="CD15" s="13" t="s">
        <v>131</v>
      </c>
      <c r="CE15" s="508"/>
      <c r="CF15" s="311">
        <f t="shared" si="0"/>
        <v>2</v>
      </c>
      <c r="CG15" s="76">
        <f t="shared" si="1"/>
        <v>4</v>
      </c>
      <c r="CH15" s="27"/>
      <c r="CI15" s="28"/>
      <c r="CJ15" s="449"/>
      <c r="CK15" s="450"/>
    </row>
    <row r="16" spans="1:89" ht="15" customHeight="1">
      <c r="A16" s="142">
        <v>12</v>
      </c>
      <c r="B16" s="143" t="s">
        <v>132</v>
      </c>
      <c r="C16" s="506">
        <v>16</v>
      </c>
      <c r="D16" s="14" t="s">
        <v>57</v>
      </c>
      <c r="E16" s="65"/>
      <c r="F16" s="14"/>
      <c r="G16" s="65"/>
      <c r="H16" s="14" t="s">
        <v>42</v>
      </c>
      <c r="I16" s="65"/>
      <c r="J16" s="14"/>
      <c r="K16" s="65"/>
      <c r="L16" s="14"/>
      <c r="M16" s="65"/>
      <c r="N16" s="14"/>
      <c r="O16" s="65"/>
      <c r="P16" s="14"/>
      <c r="Q16" s="65"/>
      <c r="R16" s="15"/>
      <c r="S16" s="65" t="s">
        <v>51</v>
      </c>
      <c r="T16" s="15" t="s">
        <v>41</v>
      </c>
      <c r="U16" s="65"/>
      <c r="V16" s="15"/>
      <c r="W16" s="65" t="s">
        <v>136</v>
      </c>
      <c r="X16" s="15"/>
      <c r="Y16" s="80"/>
      <c r="Z16" s="14"/>
      <c r="AA16" s="65"/>
      <c r="AB16" s="14"/>
      <c r="AC16" s="65"/>
      <c r="AD16" s="15"/>
      <c r="AE16" s="65"/>
      <c r="AF16" s="14"/>
      <c r="AG16" s="80"/>
      <c r="AH16" s="14"/>
      <c r="AI16" s="65"/>
      <c r="AJ16" s="14"/>
      <c r="AK16" s="65"/>
      <c r="AL16" s="14"/>
      <c r="AM16" s="65"/>
      <c r="AN16" s="157" t="s">
        <v>57</v>
      </c>
      <c r="AO16" s="65"/>
      <c r="AP16" s="523"/>
      <c r="AQ16" s="524"/>
      <c r="AR16" s="33"/>
      <c r="AS16" s="34"/>
      <c r="AT16" s="142">
        <v>12</v>
      </c>
      <c r="AU16" s="143" t="s">
        <v>132</v>
      </c>
      <c r="AV16" s="506">
        <v>16</v>
      </c>
      <c r="AW16" s="14"/>
      <c r="AX16" s="70"/>
      <c r="AY16" s="72"/>
      <c r="AZ16" s="70"/>
      <c r="BA16" s="72"/>
      <c r="BB16" s="159" t="s">
        <v>41</v>
      </c>
      <c r="BC16" s="58"/>
      <c r="BD16" s="70"/>
      <c r="BE16" s="14"/>
      <c r="BF16" s="70"/>
      <c r="BG16" s="72"/>
      <c r="BH16" s="161" t="s">
        <v>41</v>
      </c>
      <c r="BI16" s="72"/>
      <c r="BJ16" s="159" t="s">
        <v>57</v>
      </c>
      <c r="BK16" s="58"/>
      <c r="BL16" s="70"/>
      <c r="BM16" s="37"/>
      <c r="BN16" s="298" t="s">
        <v>57</v>
      </c>
      <c r="BO16" s="69"/>
      <c r="BP16" s="67" t="s">
        <v>34</v>
      </c>
      <c r="BQ16" s="69"/>
      <c r="BR16" s="69" t="s">
        <v>34</v>
      </c>
      <c r="BS16" s="87"/>
      <c r="BT16" s="67" t="s">
        <v>34</v>
      </c>
      <c r="BU16" s="96"/>
      <c r="BV16" s="67"/>
      <c r="BW16" s="69"/>
      <c r="BX16" s="71" t="s">
        <v>33</v>
      </c>
      <c r="BY16" s="69"/>
      <c r="BZ16" s="73" t="s">
        <v>33</v>
      </c>
      <c r="CA16" s="69"/>
      <c r="CB16" s="71" t="s">
        <v>33</v>
      </c>
      <c r="CC16" s="142">
        <v>12</v>
      </c>
      <c r="CD16" s="143" t="s">
        <v>132</v>
      </c>
      <c r="CE16" s="506">
        <v>15</v>
      </c>
      <c r="CF16" s="311">
        <f t="shared" si="0"/>
        <v>3</v>
      </c>
      <c r="CG16" s="76">
        <f t="shared" si="1"/>
        <v>3</v>
      </c>
      <c r="CH16" s="27"/>
      <c r="CI16" s="28"/>
      <c r="CJ16" s="449"/>
      <c r="CK16" s="450"/>
    </row>
    <row r="17" spans="1:89" ht="15" customHeight="1">
      <c r="A17" s="142">
        <v>13</v>
      </c>
      <c r="B17" s="143" t="s">
        <v>133</v>
      </c>
      <c r="C17" s="507"/>
      <c r="D17" s="14" t="s">
        <v>57</v>
      </c>
      <c r="E17" s="65"/>
      <c r="F17" s="14"/>
      <c r="G17" s="65"/>
      <c r="H17" s="14"/>
      <c r="I17" s="65"/>
      <c r="J17" s="14"/>
      <c r="K17" s="65"/>
      <c r="L17" s="14"/>
      <c r="M17" s="65"/>
      <c r="N17" s="14"/>
      <c r="O17" s="65"/>
      <c r="P17" s="14"/>
      <c r="Q17" s="65"/>
      <c r="R17" s="15" t="s">
        <v>320</v>
      </c>
      <c r="S17" s="65"/>
      <c r="T17" s="15" t="s">
        <v>41</v>
      </c>
      <c r="U17" s="65"/>
      <c r="V17" s="15" t="s">
        <v>41</v>
      </c>
      <c r="W17" s="65"/>
      <c r="X17" s="15"/>
      <c r="Y17" s="80"/>
      <c r="Z17" s="14"/>
      <c r="AA17" s="65"/>
      <c r="AB17" s="14"/>
      <c r="AC17" s="65" t="s">
        <v>51</v>
      </c>
      <c r="AD17" s="15"/>
      <c r="AE17" s="65"/>
      <c r="AF17" s="14"/>
      <c r="AG17" s="80"/>
      <c r="AH17" s="14"/>
      <c r="AI17" s="65"/>
      <c r="AJ17" s="14" t="s">
        <v>41</v>
      </c>
      <c r="AK17" s="65"/>
      <c r="AL17" s="14"/>
      <c r="AM17" s="65" t="s">
        <v>136</v>
      </c>
      <c r="AN17" s="157" t="s">
        <v>57</v>
      </c>
      <c r="AO17" s="65"/>
      <c r="AP17" s="509"/>
      <c r="AQ17" s="510"/>
      <c r="AR17" s="33"/>
      <c r="AS17" s="34"/>
      <c r="AT17" s="142">
        <v>13</v>
      </c>
      <c r="AU17" s="143" t="s">
        <v>133</v>
      </c>
      <c r="AV17" s="507"/>
      <c r="AW17" s="14"/>
      <c r="AX17" s="71" t="s">
        <v>33</v>
      </c>
      <c r="AY17" s="69"/>
      <c r="AZ17" s="71" t="s">
        <v>33</v>
      </c>
      <c r="BA17" s="69"/>
      <c r="BB17" s="159" t="s">
        <v>41</v>
      </c>
      <c r="BC17" s="69"/>
      <c r="BD17" s="71" t="s">
        <v>33</v>
      </c>
      <c r="BE17" s="14"/>
      <c r="BF17" s="70" t="s">
        <v>41</v>
      </c>
      <c r="BG17" s="72"/>
      <c r="BH17" s="161" t="s">
        <v>41</v>
      </c>
      <c r="BI17" s="72"/>
      <c r="BJ17" s="159" t="s">
        <v>57</v>
      </c>
      <c r="BK17" s="58"/>
      <c r="BL17" s="70"/>
      <c r="BM17" s="37"/>
      <c r="BN17" s="298" t="s">
        <v>57</v>
      </c>
      <c r="BO17" s="72"/>
      <c r="BP17" s="70"/>
      <c r="BQ17" s="72"/>
      <c r="BR17" s="72"/>
      <c r="BS17" s="15"/>
      <c r="BT17" s="70"/>
      <c r="BU17" s="96"/>
      <c r="BV17" s="67"/>
      <c r="BW17" s="69"/>
      <c r="BX17" s="67" t="s">
        <v>34</v>
      </c>
      <c r="BY17" s="69"/>
      <c r="BZ17" s="69" t="s">
        <v>34</v>
      </c>
      <c r="CA17" s="87"/>
      <c r="CB17" s="67" t="s">
        <v>34</v>
      </c>
      <c r="CC17" s="142">
        <v>13</v>
      </c>
      <c r="CD17" s="143" t="s">
        <v>133</v>
      </c>
      <c r="CE17" s="507"/>
      <c r="CF17" s="311">
        <f t="shared" si="0"/>
        <v>3</v>
      </c>
      <c r="CG17" s="76">
        <f t="shared" si="1"/>
        <v>3</v>
      </c>
      <c r="CH17" s="197" t="s">
        <v>306</v>
      </c>
      <c r="CI17" s="207" t="s">
        <v>306</v>
      </c>
      <c r="CJ17" s="449"/>
      <c r="CK17" s="450"/>
    </row>
    <row r="18" spans="1:89" ht="15" customHeight="1">
      <c r="A18" s="142">
        <v>14</v>
      </c>
      <c r="B18" s="143" t="s">
        <v>127</v>
      </c>
      <c r="C18" s="507"/>
      <c r="D18" s="14"/>
      <c r="E18" s="65"/>
      <c r="F18" s="14"/>
      <c r="G18" s="65"/>
      <c r="H18" s="14"/>
      <c r="I18" s="65"/>
      <c r="J18" s="14"/>
      <c r="K18" s="65"/>
      <c r="L18" s="14"/>
      <c r="M18" s="65"/>
      <c r="N18" s="14"/>
      <c r="O18" s="58"/>
      <c r="P18" s="215" t="s">
        <v>333</v>
      </c>
      <c r="Q18" s="65"/>
      <c r="R18" s="15" t="s">
        <v>320</v>
      </c>
      <c r="S18" s="65"/>
      <c r="T18" s="15"/>
      <c r="U18" s="65"/>
      <c r="V18" s="15"/>
      <c r="W18" s="65"/>
      <c r="X18" s="15"/>
      <c r="Y18" s="80"/>
      <c r="Z18" s="14"/>
      <c r="AA18" s="65"/>
      <c r="AB18" s="14"/>
      <c r="AC18" s="65" t="s">
        <v>51</v>
      </c>
      <c r="AD18" s="15"/>
      <c r="AE18" s="65"/>
      <c r="AF18" s="14"/>
      <c r="AG18" s="80"/>
      <c r="AH18" s="14"/>
      <c r="AI18" s="65" t="s">
        <v>136</v>
      </c>
      <c r="AJ18" s="14"/>
      <c r="AK18" s="65"/>
      <c r="AL18" s="14"/>
      <c r="AM18" s="65"/>
      <c r="AN18" s="157" t="s">
        <v>57</v>
      </c>
      <c r="AO18" s="65"/>
      <c r="AP18" s="523" t="s">
        <v>254</v>
      </c>
      <c r="AQ18" s="524"/>
      <c r="AR18" s="33"/>
      <c r="AS18" s="34"/>
      <c r="AT18" s="142">
        <v>14</v>
      </c>
      <c r="AU18" s="143" t="s">
        <v>127</v>
      </c>
      <c r="AV18" s="507"/>
      <c r="AW18" s="14"/>
      <c r="AX18" s="67" t="s">
        <v>34</v>
      </c>
      <c r="AY18" s="69"/>
      <c r="AZ18" s="67" t="s">
        <v>34</v>
      </c>
      <c r="BA18" s="69"/>
      <c r="BB18" s="159" t="s">
        <v>41</v>
      </c>
      <c r="BC18" s="87"/>
      <c r="BD18" s="67" t="s">
        <v>34</v>
      </c>
      <c r="BE18" s="14"/>
      <c r="BF18" s="71" t="s">
        <v>33</v>
      </c>
      <c r="BG18" s="69"/>
      <c r="BH18" s="161" t="s">
        <v>41</v>
      </c>
      <c r="BI18" s="69"/>
      <c r="BJ18" s="159" t="s">
        <v>57</v>
      </c>
      <c r="BK18" s="69"/>
      <c r="BL18" s="71" t="s">
        <v>33</v>
      </c>
      <c r="BM18" s="37"/>
      <c r="BN18" s="298" t="s">
        <v>57</v>
      </c>
      <c r="BO18" s="72"/>
      <c r="BP18" s="70"/>
      <c r="BQ18" s="72"/>
      <c r="BR18" s="72"/>
      <c r="BS18" s="15"/>
      <c r="BT18" s="70"/>
      <c r="BU18" s="96"/>
      <c r="BV18" s="67"/>
      <c r="BW18" s="69"/>
      <c r="BX18" s="67"/>
      <c r="BY18" s="69"/>
      <c r="BZ18" s="69"/>
      <c r="CA18" s="97"/>
      <c r="CB18" s="67"/>
      <c r="CC18" s="142">
        <v>14</v>
      </c>
      <c r="CD18" s="143" t="s">
        <v>127</v>
      </c>
      <c r="CE18" s="507"/>
      <c r="CF18" s="311">
        <f t="shared" si="0"/>
        <v>2</v>
      </c>
      <c r="CG18" s="76">
        <f t="shared" si="1"/>
        <v>3</v>
      </c>
      <c r="CH18" s="197" t="s">
        <v>306</v>
      </c>
      <c r="CI18" s="207" t="s">
        <v>306</v>
      </c>
      <c r="CJ18" s="449"/>
      <c r="CK18" s="450"/>
    </row>
    <row r="19" spans="1:89" ht="15" customHeight="1">
      <c r="A19" s="142">
        <v>15</v>
      </c>
      <c r="B19" s="143" t="s">
        <v>128</v>
      </c>
      <c r="C19" s="507"/>
      <c r="D19" s="14"/>
      <c r="E19" s="65"/>
      <c r="F19" s="300" t="s">
        <v>147</v>
      </c>
      <c r="G19" s="65"/>
      <c r="H19" s="14" t="s">
        <v>41</v>
      </c>
      <c r="I19" s="65"/>
      <c r="J19" s="295" t="s">
        <v>65</v>
      </c>
      <c r="K19" s="65"/>
      <c r="L19" s="14"/>
      <c r="M19" s="65" t="s">
        <v>51</v>
      </c>
      <c r="N19" s="300" t="s">
        <v>147</v>
      </c>
      <c r="O19" s="58"/>
      <c r="P19" s="14"/>
      <c r="Q19" s="65"/>
      <c r="R19" s="15" t="s">
        <v>320</v>
      </c>
      <c r="S19" s="65" t="s">
        <v>136</v>
      </c>
      <c r="T19" s="15"/>
      <c r="U19" s="65"/>
      <c r="V19" s="300" t="s">
        <v>147</v>
      </c>
      <c r="W19" s="65"/>
      <c r="X19" s="15" t="s">
        <v>65</v>
      </c>
      <c r="Y19" s="80"/>
      <c r="Z19" s="295"/>
      <c r="AA19" s="65"/>
      <c r="AB19" s="14"/>
      <c r="AC19" s="65"/>
      <c r="AD19" s="15"/>
      <c r="AE19" s="65"/>
      <c r="AF19" s="295"/>
      <c r="AG19" s="80"/>
      <c r="AH19" s="14"/>
      <c r="AI19" s="65"/>
      <c r="AJ19" s="14" t="s">
        <v>41</v>
      </c>
      <c r="AK19" s="65"/>
      <c r="AL19" s="300" t="s">
        <v>147</v>
      </c>
      <c r="AM19" s="65"/>
      <c r="AN19" s="157" t="s">
        <v>57</v>
      </c>
      <c r="AO19" s="65"/>
      <c r="AP19" s="509"/>
      <c r="AQ19" s="510"/>
      <c r="AR19" s="33"/>
      <c r="AS19" s="34"/>
      <c r="AT19" s="142">
        <v>15</v>
      </c>
      <c r="AU19" s="143" t="s">
        <v>128</v>
      </c>
      <c r="AV19" s="507"/>
      <c r="AW19" s="14"/>
      <c r="AX19" s="70"/>
      <c r="AY19" s="72"/>
      <c r="AZ19" s="70"/>
      <c r="BA19" s="72"/>
      <c r="BB19" s="159" t="s">
        <v>41</v>
      </c>
      <c r="BC19" s="58"/>
      <c r="BD19" s="70"/>
      <c r="BE19" s="14"/>
      <c r="BF19" s="67" t="s">
        <v>34</v>
      </c>
      <c r="BG19" s="69"/>
      <c r="BH19" s="161" t="s">
        <v>41</v>
      </c>
      <c r="BI19" s="69"/>
      <c r="BJ19" s="69" t="s">
        <v>34</v>
      </c>
      <c r="BK19" s="87"/>
      <c r="BL19" s="67" t="s">
        <v>34</v>
      </c>
      <c r="BM19" s="37"/>
      <c r="BN19" s="71" t="s">
        <v>33</v>
      </c>
      <c r="BO19" s="69"/>
      <c r="BP19" s="71" t="s">
        <v>33</v>
      </c>
      <c r="BQ19" s="69"/>
      <c r="BR19" s="73" t="s">
        <v>33</v>
      </c>
      <c r="BS19" s="69"/>
      <c r="BT19" s="71" t="s">
        <v>33</v>
      </c>
      <c r="BU19" s="96"/>
      <c r="BV19" s="67"/>
      <c r="BW19" s="69"/>
      <c r="BX19" s="67"/>
      <c r="BY19" s="69"/>
      <c r="BZ19" s="69"/>
      <c r="CA19" s="97"/>
      <c r="CB19" s="67"/>
      <c r="CC19" s="142">
        <v>15</v>
      </c>
      <c r="CD19" s="143" t="s">
        <v>128</v>
      </c>
      <c r="CE19" s="507"/>
      <c r="CF19" s="311">
        <f t="shared" si="0"/>
        <v>4</v>
      </c>
      <c r="CG19" s="76">
        <f t="shared" si="1"/>
        <v>3</v>
      </c>
      <c r="CH19" s="197" t="s">
        <v>306</v>
      </c>
      <c r="CI19" s="28"/>
      <c r="CJ19" s="449"/>
      <c r="CK19" s="450"/>
    </row>
    <row r="20" spans="1:89" ht="15" customHeight="1">
      <c r="A20" s="142">
        <v>16</v>
      </c>
      <c r="B20" s="143" t="s">
        <v>129</v>
      </c>
      <c r="C20" s="507"/>
      <c r="D20" s="14"/>
      <c r="E20" s="65"/>
      <c r="F20" s="14"/>
      <c r="G20" s="65"/>
      <c r="H20" s="14"/>
      <c r="I20" s="65"/>
      <c r="J20" s="297" t="s">
        <v>65</v>
      </c>
      <c r="K20" s="65"/>
      <c r="L20" s="14"/>
      <c r="M20" s="65"/>
      <c r="N20" s="14"/>
      <c r="O20" s="58"/>
      <c r="P20" s="14"/>
      <c r="Q20" s="65"/>
      <c r="R20" s="15" t="s">
        <v>320</v>
      </c>
      <c r="S20" s="65"/>
      <c r="T20" s="15" t="s">
        <v>41</v>
      </c>
      <c r="U20" s="65"/>
      <c r="V20" s="168" t="s">
        <v>57</v>
      </c>
      <c r="W20" s="65"/>
      <c r="X20" s="15"/>
      <c r="Y20" s="80"/>
      <c r="Z20" s="14"/>
      <c r="AA20" s="65"/>
      <c r="AB20" s="14"/>
      <c r="AC20" s="65" t="s">
        <v>51</v>
      </c>
      <c r="AD20" s="15"/>
      <c r="AE20" s="65"/>
      <c r="AF20" s="14"/>
      <c r="AG20" s="80"/>
      <c r="AH20" s="15"/>
      <c r="AI20" s="65"/>
      <c r="AJ20" s="14" t="s">
        <v>41</v>
      </c>
      <c r="AK20" s="65"/>
      <c r="AL20" s="14"/>
      <c r="AM20" s="65" t="s">
        <v>136</v>
      </c>
      <c r="AN20" s="157" t="s">
        <v>57</v>
      </c>
      <c r="AO20" s="65"/>
      <c r="AP20" s="509"/>
      <c r="AQ20" s="510"/>
      <c r="AR20" s="33"/>
      <c r="AS20" s="34"/>
      <c r="AT20" s="142">
        <v>16</v>
      </c>
      <c r="AU20" s="143" t="s">
        <v>129</v>
      </c>
      <c r="AV20" s="507"/>
      <c r="AW20" s="14"/>
      <c r="AX20" s="70"/>
      <c r="AY20" s="72"/>
      <c r="AZ20" s="70"/>
      <c r="BA20" s="72"/>
      <c r="BB20" s="159" t="s">
        <v>41</v>
      </c>
      <c r="BC20" s="58"/>
      <c r="BD20" s="70"/>
      <c r="BE20" s="14"/>
      <c r="BF20" s="70"/>
      <c r="BG20" s="72"/>
      <c r="BH20" s="161" t="s">
        <v>41</v>
      </c>
      <c r="BI20" s="72"/>
      <c r="BJ20" s="72"/>
      <c r="BK20" s="58"/>
      <c r="BL20" s="70"/>
      <c r="BM20" s="37"/>
      <c r="BN20" s="67" t="s">
        <v>34</v>
      </c>
      <c r="BO20" s="69"/>
      <c r="BP20" s="67" t="s">
        <v>34</v>
      </c>
      <c r="BQ20" s="69"/>
      <c r="BR20" s="69" t="s">
        <v>34</v>
      </c>
      <c r="BS20" s="87"/>
      <c r="BT20" s="67" t="s">
        <v>34</v>
      </c>
      <c r="BU20" s="96"/>
      <c r="BV20" s="67"/>
      <c r="BW20" s="69"/>
      <c r="BX20" s="71" t="s">
        <v>33</v>
      </c>
      <c r="BY20" s="69"/>
      <c r="BZ20" s="73" t="s">
        <v>33</v>
      </c>
      <c r="CA20" s="69"/>
      <c r="CB20" s="71" t="s">
        <v>33</v>
      </c>
      <c r="CC20" s="142">
        <v>16</v>
      </c>
      <c r="CD20" s="143" t="s">
        <v>129</v>
      </c>
      <c r="CE20" s="507"/>
      <c r="CF20" s="311">
        <f t="shared" si="0"/>
        <v>3</v>
      </c>
      <c r="CG20" s="76">
        <f t="shared" si="1"/>
        <v>4</v>
      </c>
      <c r="CH20" s="27"/>
      <c r="CI20" s="28"/>
      <c r="CJ20" s="449"/>
      <c r="CK20" s="450"/>
    </row>
    <row r="21" spans="1:89" ht="15" customHeight="1">
      <c r="A21" s="22">
        <v>17</v>
      </c>
      <c r="B21" s="13" t="s">
        <v>130</v>
      </c>
      <c r="C21" s="507"/>
      <c r="D21" s="16"/>
      <c r="E21" s="17"/>
      <c r="F21" s="16"/>
      <c r="G21" s="17"/>
      <c r="H21" s="16"/>
      <c r="I21" s="17"/>
      <c r="J21" s="16"/>
      <c r="K21" s="17"/>
      <c r="L21" s="16"/>
      <c r="M21" s="17"/>
      <c r="N21" s="16"/>
      <c r="O21" s="59" t="s">
        <v>53</v>
      </c>
      <c r="P21" s="16"/>
      <c r="Q21" s="17"/>
      <c r="R21" s="18"/>
      <c r="S21" s="17"/>
      <c r="T21" s="16"/>
      <c r="U21" s="17"/>
      <c r="V21" s="168" t="s">
        <v>57</v>
      </c>
      <c r="W21" s="17"/>
      <c r="X21" s="16"/>
      <c r="Y21" s="82"/>
      <c r="Z21" s="16"/>
      <c r="AA21" s="17"/>
      <c r="AB21" s="16"/>
      <c r="AC21" s="17"/>
      <c r="AD21" s="18"/>
      <c r="AE21" s="17"/>
      <c r="AF21" s="16"/>
      <c r="AG21" s="82"/>
      <c r="AH21" s="16"/>
      <c r="AI21" s="82" t="s">
        <v>137</v>
      </c>
      <c r="AJ21" s="16"/>
      <c r="AK21" s="17"/>
      <c r="AL21" s="16"/>
      <c r="AM21" s="17"/>
      <c r="AN21" s="157" t="s">
        <v>57</v>
      </c>
      <c r="AO21" s="17"/>
      <c r="AP21" s="525"/>
      <c r="AQ21" s="526"/>
      <c r="AR21" s="104"/>
      <c r="AS21" s="105"/>
      <c r="AT21" s="22">
        <v>17</v>
      </c>
      <c r="AU21" s="13" t="s">
        <v>130</v>
      </c>
      <c r="AV21" s="507"/>
      <c r="AW21" s="16"/>
      <c r="AX21" s="71" t="s">
        <v>33</v>
      </c>
      <c r="AY21" s="68"/>
      <c r="AZ21" s="70" t="s">
        <v>61</v>
      </c>
      <c r="BA21" s="68"/>
      <c r="BB21" s="72" t="s">
        <v>61</v>
      </c>
      <c r="BC21" s="68"/>
      <c r="BD21" s="71" t="s">
        <v>33</v>
      </c>
      <c r="BE21" s="16"/>
      <c r="BF21" s="71"/>
      <c r="BG21" s="73"/>
      <c r="BH21" s="67" t="s">
        <v>61</v>
      </c>
      <c r="BI21" s="73"/>
      <c r="BJ21" s="73"/>
      <c r="BK21" s="59"/>
      <c r="BL21" s="71"/>
      <c r="BM21" s="38"/>
      <c r="BN21" s="188" t="s">
        <v>47</v>
      </c>
      <c r="BO21" s="73"/>
      <c r="BP21" s="71"/>
      <c r="BQ21" s="73"/>
      <c r="BR21" s="73"/>
      <c r="BS21" s="18"/>
      <c r="BT21" s="71"/>
      <c r="BU21" s="108"/>
      <c r="BV21" s="66"/>
      <c r="BW21" s="68"/>
      <c r="BX21" s="66" t="s">
        <v>34</v>
      </c>
      <c r="BY21" s="68"/>
      <c r="BZ21" s="68" t="s">
        <v>34</v>
      </c>
      <c r="CA21" s="110"/>
      <c r="CB21" s="66" t="s">
        <v>34</v>
      </c>
      <c r="CC21" s="22">
        <v>17</v>
      </c>
      <c r="CD21" s="13" t="s">
        <v>130</v>
      </c>
      <c r="CE21" s="507"/>
      <c r="CF21" s="311">
        <f t="shared" si="0"/>
        <v>2</v>
      </c>
      <c r="CG21" s="76">
        <f t="shared" si="1"/>
        <v>4</v>
      </c>
      <c r="CH21" s="27"/>
      <c r="CI21" s="28"/>
      <c r="CJ21" s="449"/>
      <c r="CK21" s="450"/>
    </row>
    <row r="22" spans="1:89" ht="15" customHeight="1">
      <c r="A22" s="22">
        <v>18</v>
      </c>
      <c r="B22" s="13" t="s">
        <v>131</v>
      </c>
      <c r="C22" s="508"/>
      <c r="D22" s="16"/>
      <c r="E22" s="17"/>
      <c r="F22" s="16"/>
      <c r="G22" s="17"/>
      <c r="H22" s="16"/>
      <c r="I22" s="17"/>
      <c r="J22" s="16"/>
      <c r="K22" s="17"/>
      <c r="L22" s="16"/>
      <c r="M22" s="17"/>
      <c r="N22" s="16"/>
      <c r="O22" s="59"/>
      <c r="P22" s="16"/>
      <c r="Q22" s="17"/>
      <c r="R22" s="18"/>
      <c r="S22" s="17"/>
      <c r="T22" s="18"/>
      <c r="U22" s="17"/>
      <c r="V22" s="18"/>
      <c r="W22" s="17"/>
      <c r="X22" s="18"/>
      <c r="Y22" s="82"/>
      <c r="Z22" s="16"/>
      <c r="AA22" s="17"/>
      <c r="AB22" s="16"/>
      <c r="AC22" s="17"/>
      <c r="AD22" s="18"/>
      <c r="AE22" s="17" t="s">
        <v>53</v>
      </c>
      <c r="AF22" s="16"/>
      <c r="AG22" s="17" t="s">
        <v>137</v>
      </c>
      <c r="AH22" s="16" t="s">
        <v>131</v>
      </c>
      <c r="AI22" s="82"/>
      <c r="AJ22" s="16"/>
      <c r="AK22" s="17"/>
      <c r="AL22" s="16"/>
      <c r="AM22" s="17"/>
      <c r="AN22" s="157" t="s">
        <v>57</v>
      </c>
      <c r="AO22" s="17"/>
      <c r="AP22" s="525"/>
      <c r="AQ22" s="526"/>
      <c r="AR22" s="104"/>
      <c r="AS22" s="105"/>
      <c r="AT22" s="22">
        <v>18</v>
      </c>
      <c r="AU22" s="13" t="s">
        <v>131</v>
      </c>
      <c r="AV22" s="508"/>
      <c r="AW22" s="16"/>
      <c r="AX22" s="66" t="s">
        <v>34</v>
      </c>
      <c r="AY22" s="68"/>
      <c r="AZ22" s="66" t="s">
        <v>34</v>
      </c>
      <c r="BA22" s="68"/>
      <c r="BB22" s="69" t="s">
        <v>61</v>
      </c>
      <c r="BC22" s="110"/>
      <c r="BD22" s="66" t="s">
        <v>34</v>
      </c>
      <c r="BE22" s="16"/>
      <c r="BF22" s="66" t="s">
        <v>33</v>
      </c>
      <c r="BG22" s="68"/>
      <c r="BH22" s="67" t="s">
        <v>61</v>
      </c>
      <c r="BI22" s="68"/>
      <c r="BJ22" s="73" t="s">
        <v>33</v>
      </c>
      <c r="BK22" s="68"/>
      <c r="BL22" s="71" t="s">
        <v>33</v>
      </c>
      <c r="BM22" s="38"/>
      <c r="BN22" s="71"/>
      <c r="BO22" s="73"/>
      <c r="BP22" s="71"/>
      <c r="BQ22" s="73"/>
      <c r="BR22" s="73"/>
      <c r="BS22" s="18"/>
      <c r="BT22" s="71"/>
      <c r="BU22" s="108"/>
      <c r="BV22" s="66"/>
      <c r="BW22" s="68"/>
      <c r="BX22" s="66"/>
      <c r="BY22" s="68"/>
      <c r="BZ22" s="68"/>
      <c r="CA22" s="83"/>
      <c r="CB22" s="66"/>
      <c r="CC22" s="22">
        <v>18</v>
      </c>
      <c r="CD22" s="13" t="s">
        <v>131</v>
      </c>
      <c r="CE22" s="508"/>
      <c r="CF22" s="311">
        <f t="shared" si="0"/>
        <v>3</v>
      </c>
      <c r="CG22" s="76">
        <f t="shared" si="1"/>
        <v>3</v>
      </c>
      <c r="CH22" s="27"/>
      <c r="CI22" s="28"/>
      <c r="CJ22" s="449"/>
      <c r="CK22" s="450"/>
    </row>
    <row r="23" spans="1:89" ht="15" customHeight="1">
      <c r="A23" s="142">
        <v>19</v>
      </c>
      <c r="B23" s="143" t="s">
        <v>132</v>
      </c>
      <c r="C23" s="506">
        <v>17</v>
      </c>
      <c r="D23" s="14"/>
      <c r="E23" s="65"/>
      <c r="F23" s="14"/>
      <c r="G23" s="65"/>
      <c r="H23" s="14" t="s">
        <v>42</v>
      </c>
      <c r="I23" s="65"/>
      <c r="J23" s="14"/>
      <c r="K23" s="65"/>
      <c r="L23" s="14"/>
      <c r="M23" s="65"/>
      <c r="N23" s="14"/>
      <c r="O23" s="58"/>
      <c r="P23" s="14"/>
      <c r="Q23" s="65" t="s">
        <v>136</v>
      </c>
      <c r="R23" s="15" t="s">
        <v>57</v>
      </c>
      <c r="S23" s="65"/>
      <c r="T23" s="15" t="s">
        <v>41</v>
      </c>
      <c r="U23" s="65"/>
      <c r="V23" s="15" t="s">
        <v>57</v>
      </c>
      <c r="W23" s="65"/>
      <c r="X23" s="15"/>
      <c r="Y23" s="80"/>
      <c r="Z23" s="14"/>
      <c r="AA23" s="65"/>
      <c r="AB23" s="14"/>
      <c r="AC23" s="65"/>
      <c r="AD23" s="15"/>
      <c r="AE23" s="65" t="s">
        <v>51</v>
      </c>
      <c r="AF23" s="14"/>
      <c r="AG23" s="80"/>
      <c r="AH23" s="14"/>
      <c r="AI23" s="65"/>
      <c r="AJ23" s="14"/>
      <c r="AK23" s="65"/>
      <c r="AL23" s="14" t="s">
        <v>42</v>
      </c>
      <c r="AM23" s="65"/>
      <c r="AN23" s="157" t="s">
        <v>57</v>
      </c>
      <c r="AO23" s="65"/>
      <c r="AP23" s="509"/>
      <c r="AQ23" s="510"/>
      <c r="AR23" s="33"/>
      <c r="AS23" s="34"/>
      <c r="AT23" s="142">
        <v>19</v>
      </c>
      <c r="AU23" s="143" t="s">
        <v>132</v>
      </c>
      <c r="AV23" s="506">
        <v>17</v>
      </c>
      <c r="AW23" s="14"/>
      <c r="AX23" s="70"/>
      <c r="AY23" s="72"/>
      <c r="AZ23" s="70"/>
      <c r="BA23" s="72"/>
      <c r="BB23" s="159" t="s">
        <v>41</v>
      </c>
      <c r="BC23" s="58"/>
      <c r="BD23" s="70"/>
      <c r="BE23" s="14"/>
      <c r="BF23" s="67" t="s">
        <v>34</v>
      </c>
      <c r="BG23" s="69"/>
      <c r="BH23" s="161" t="s">
        <v>41</v>
      </c>
      <c r="BI23" s="69"/>
      <c r="BJ23" s="69" t="s">
        <v>34</v>
      </c>
      <c r="BK23" s="87"/>
      <c r="BL23" s="67" t="s">
        <v>34</v>
      </c>
      <c r="BM23" s="37"/>
      <c r="BN23" s="71" t="s">
        <v>33</v>
      </c>
      <c r="BO23" s="69"/>
      <c r="BP23" s="71" t="s">
        <v>33</v>
      </c>
      <c r="BQ23" s="69"/>
      <c r="BR23" s="73" t="s">
        <v>33</v>
      </c>
      <c r="BS23" s="69"/>
      <c r="BT23" s="71" t="s">
        <v>33</v>
      </c>
      <c r="BU23" s="96"/>
      <c r="BV23" s="67"/>
      <c r="BW23" s="69"/>
      <c r="BX23" s="67"/>
      <c r="BY23" s="69"/>
      <c r="BZ23" s="69"/>
      <c r="CA23" s="97"/>
      <c r="CB23" s="67"/>
      <c r="CC23" s="142">
        <v>19</v>
      </c>
      <c r="CD23" s="143" t="s">
        <v>132</v>
      </c>
      <c r="CE23" s="506">
        <v>16</v>
      </c>
      <c r="CF23" s="311">
        <f t="shared" si="0"/>
        <v>4</v>
      </c>
      <c r="CG23" s="76">
        <f t="shared" si="1"/>
        <v>3</v>
      </c>
      <c r="CH23" s="27"/>
      <c r="CI23" s="28"/>
      <c r="CJ23" s="545"/>
      <c r="CK23" s="546"/>
    </row>
    <row r="24" spans="1:89" ht="15" customHeight="1">
      <c r="A24" s="142">
        <v>20</v>
      </c>
      <c r="B24" s="143" t="s">
        <v>133</v>
      </c>
      <c r="C24" s="507"/>
      <c r="D24" s="14" t="s">
        <v>342</v>
      </c>
      <c r="E24" s="65"/>
      <c r="F24" s="14"/>
      <c r="G24" s="65"/>
      <c r="H24" s="14" t="s">
        <v>41</v>
      </c>
      <c r="I24" s="65"/>
      <c r="J24" s="14"/>
      <c r="K24" s="65" t="s">
        <v>136</v>
      </c>
      <c r="L24" s="14"/>
      <c r="M24" s="65"/>
      <c r="N24" s="14"/>
      <c r="O24" s="58" t="s">
        <v>51</v>
      </c>
      <c r="P24" s="14"/>
      <c r="Q24" s="65"/>
      <c r="R24" s="15" t="s">
        <v>57</v>
      </c>
      <c r="S24" s="65"/>
      <c r="T24" s="15" t="s">
        <v>41</v>
      </c>
      <c r="U24" s="65"/>
      <c r="V24" s="15" t="s">
        <v>57</v>
      </c>
      <c r="W24" s="65"/>
      <c r="X24" s="15"/>
      <c r="Y24" s="80"/>
      <c r="Z24" s="14"/>
      <c r="AA24" s="65"/>
      <c r="AB24" s="14" t="s">
        <v>65</v>
      </c>
      <c r="AC24" s="65"/>
      <c r="AD24" s="15"/>
      <c r="AE24" s="65"/>
      <c r="AF24" s="14"/>
      <c r="AG24" s="80"/>
      <c r="AH24" s="306" t="s">
        <v>41</v>
      </c>
      <c r="AI24" s="65"/>
      <c r="AJ24" s="14" t="s">
        <v>146</v>
      </c>
      <c r="AK24" s="65"/>
      <c r="AL24" s="14" t="s">
        <v>146</v>
      </c>
      <c r="AM24" s="65"/>
      <c r="AN24" s="157" t="s">
        <v>57</v>
      </c>
      <c r="AO24" s="65"/>
      <c r="AP24" s="523"/>
      <c r="AQ24" s="524"/>
      <c r="AR24" s="33"/>
      <c r="AS24" s="34"/>
      <c r="AT24" s="142">
        <v>20</v>
      </c>
      <c r="AU24" s="143" t="s">
        <v>133</v>
      </c>
      <c r="AV24" s="507"/>
      <c r="AW24" s="14"/>
      <c r="AX24" s="70"/>
      <c r="AY24" s="72"/>
      <c r="AZ24" s="70"/>
      <c r="BA24" s="72"/>
      <c r="BB24" s="159" t="s">
        <v>41</v>
      </c>
      <c r="BC24" s="58"/>
      <c r="BD24" s="70"/>
      <c r="BE24" s="14"/>
      <c r="BF24" s="70"/>
      <c r="BG24" s="72"/>
      <c r="BH24" s="161" t="s">
        <v>41</v>
      </c>
      <c r="BI24" s="72"/>
      <c r="BJ24" s="72"/>
      <c r="BK24" s="58"/>
      <c r="BL24" s="70"/>
      <c r="BM24" s="37"/>
      <c r="BN24" s="67" t="s">
        <v>34</v>
      </c>
      <c r="BO24" s="69"/>
      <c r="BP24" s="67" t="s">
        <v>34</v>
      </c>
      <c r="BQ24" s="69"/>
      <c r="BR24" s="69" t="s">
        <v>34</v>
      </c>
      <c r="BS24" s="87"/>
      <c r="BT24" s="67" t="s">
        <v>34</v>
      </c>
      <c r="BU24" s="96"/>
      <c r="BV24" s="67"/>
      <c r="BW24" s="69"/>
      <c r="BX24" s="73" t="s">
        <v>33</v>
      </c>
      <c r="BY24" s="69"/>
      <c r="BZ24" s="73" t="s">
        <v>33</v>
      </c>
      <c r="CA24" s="69"/>
      <c r="CB24" s="71" t="s">
        <v>33</v>
      </c>
      <c r="CC24" s="142">
        <v>20</v>
      </c>
      <c r="CD24" s="143" t="s">
        <v>133</v>
      </c>
      <c r="CE24" s="507"/>
      <c r="CF24" s="311">
        <f t="shared" si="0"/>
        <v>3</v>
      </c>
      <c r="CG24" s="76">
        <f t="shared" si="1"/>
        <v>4</v>
      </c>
      <c r="CH24" s="27"/>
      <c r="CI24" s="28"/>
      <c r="CJ24" s="449"/>
      <c r="CK24" s="450"/>
    </row>
    <row r="25" spans="1:89" ht="15" customHeight="1">
      <c r="A25" s="142">
        <v>21</v>
      </c>
      <c r="B25" s="143" t="s">
        <v>127</v>
      </c>
      <c r="C25" s="507"/>
      <c r="D25" s="14"/>
      <c r="E25" s="65" t="s">
        <v>51</v>
      </c>
      <c r="F25" s="14"/>
      <c r="G25" s="65"/>
      <c r="H25" s="14"/>
      <c r="I25" s="65"/>
      <c r="J25" s="14"/>
      <c r="K25" s="65"/>
      <c r="L25" s="14"/>
      <c r="M25" s="65" t="s">
        <v>136</v>
      </c>
      <c r="N25" s="14"/>
      <c r="O25" s="58"/>
      <c r="P25" s="14" t="s">
        <v>41</v>
      </c>
      <c r="Q25" s="65"/>
      <c r="R25" s="15"/>
      <c r="S25" s="65"/>
      <c r="T25" s="15" t="s">
        <v>41</v>
      </c>
      <c r="U25" s="65"/>
      <c r="V25" s="15" t="s">
        <v>57</v>
      </c>
      <c r="W25" s="65"/>
      <c r="X25" s="15"/>
      <c r="Y25" s="80"/>
      <c r="Z25" s="14"/>
      <c r="AA25" s="65"/>
      <c r="AB25" s="14" t="s">
        <v>65</v>
      </c>
      <c r="AC25" s="65"/>
      <c r="AD25" s="15"/>
      <c r="AE25" s="65"/>
      <c r="AF25" s="14"/>
      <c r="AG25" s="80"/>
      <c r="AH25" s="306" t="s">
        <v>41</v>
      </c>
      <c r="AI25" s="65"/>
      <c r="AJ25" s="14"/>
      <c r="AK25" s="65"/>
      <c r="AL25" s="14"/>
      <c r="AM25" s="65"/>
      <c r="AN25" s="157" t="s">
        <v>57</v>
      </c>
      <c r="AO25" s="65"/>
      <c r="AP25" s="523" t="s">
        <v>255</v>
      </c>
      <c r="AQ25" s="524"/>
      <c r="AR25" s="33"/>
      <c r="AS25" s="34"/>
      <c r="AT25" s="142">
        <v>21</v>
      </c>
      <c r="AU25" s="143" t="s">
        <v>127</v>
      </c>
      <c r="AV25" s="507"/>
      <c r="AW25" s="14"/>
      <c r="AX25" s="71" t="s">
        <v>33</v>
      </c>
      <c r="AY25" s="69"/>
      <c r="AZ25" s="71" t="s">
        <v>41</v>
      </c>
      <c r="BA25" s="69"/>
      <c r="BB25" s="159" t="s">
        <v>41</v>
      </c>
      <c r="BC25" s="69"/>
      <c r="BD25" s="71" t="s">
        <v>33</v>
      </c>
      <c r="BE25" s="14"/>
      <c r="BF25" s="70"/>
      <c r="BG25" s="72"/>
      <c r="BH25" s="161" t="s">
        <v>41</v>
      </c>
      <c r="BI25" s="72"/>
      <c r="BJ25" s="72"/>
      <c r="BK25" s="58"/>
      <c r="BL25" s="70"/>
      <c r="BM25" s="37"/>
      <c r="BN25" s="70"/>
      <c r="BO25" s="72"/>
      <c r="BP25" s="70"/>
      <c r="BQ25" s="72"/>
      <c r="BR25" s="72"/>
      <c r="BS25" s="15"/>
      <c r="BT25" s="70"/>
      <c r="BU25" s="96"/>
      <c r="BV25" s="67"/>
      <c r="BW25" s="69"/>
      <c r="BX25" s="67" t="s">
        <v>34</v>
      </c>
      <c r="BY25" s="69"/>
      <c r="BZ25" s="69" t="s">
        <v>41</v>
      </c>
      <c r="CA25" s="87"/>
      <c r="CB25" s="67" t="s">
        <v>34</v>
      </c>
      <c r="CC25" s="142">
        <v>21</v>
      </c>
      <c r="CD25" s="143" t="s">
        <v>127</v>
      </c>
      <c r="CE25" s="507"/>
      <c r="CF25" s="311">
        <f t="shared" si="0"/>
        <v>2</v>
      </c>
      <c r="CG25" s="76">
        <f t="shared" si="1"/>
        <v>2</v>
      </c>
      <c r="CH25" s="27"/>
      <c r="CI25" s="28"/>
      <c r="CJ25" s="449"/>
      <c r="CK25" s="450"/>
    </row>
    <row r="26" spans="1:89" ht="15" customHeight="1">
      <c r="A26" s="142">
        <v>22</v>
      </c>
      <c r="B26" s="143" t="s">
        <v>128</v>
      </c>
      <c r="C26" s="507"/>
      <c r="D26" s="302"/>
      <c r="E26" s="303"/>
      <c r="F26" s="302"/>
      <c r="G26" s="303"/>
      <c r="H26" s="304"/>
      <c r="I26" s="303"/>
      <c r="J26" s="302"/>
      <c r="K26" s="303"/>
      <c r="L26" s="304"/>
      <c r="M26" s="303" t="s">
        <v>51</v>
      </c>
      <c r="N26" s="302"/>
      <c r="O26" s="305"/>
      <c r="P26" s="302"/>
      <c r="Q26" s="303"/>
      <c r="R26" s="304"/>
      <c r="S26" s="303" t="s">
        <v>136</v>
      </c>
      <c r="T26" s="306"/>
      <c r="U26" s="303"/>
      <c r="V26" s="304" t="s">
        <v>57</v>
      </c>
      <c r="W26" s="303"/>
      <c r="X26" s="306"/>
      <c r="Y26" s="307"/>
      <c r="Z26" s="302"/>
      <c r="AA26" s="303"/>
      <c r="AB26" s="14" t="s">
        <v>65</v>
      </c>
      <c r="AC26" s="303"/>
      <c r="AD26" s="306"/>
      <c r="AE26" s="303"/>
      <c r="AF26" s="302"/>
      <c r="AG26" s="307"/>
      <c r="AH26" s="302"/>
      <c r="AI26" s="303"/>
      <c r="AJ26" s="302"/>
      <c r="AK26" s="303"/>
      <c r="AL26" s="302"/>
      <c r="AM26" s="303"/>
      <c r="AN26" s="308" t="s">
        <v>57</v>
      </c>
      <c r="AO26" s="303"/>
      <c r="AP26" s="562" t="s">
        <v>256</v>
      </c>
      <c r="AQ26" s="563"/>
      <c r="AR26" s="33"/>
      <c r="AS26" s="34"/>
      <c r="AT26" s="142">
        <v>22</v>
      </c>
      <c r="AU26" s="143" t="s">
        <v>128</v>
      </c>
      <c r="AV26" s="507"/>
      <c r="AW26" s="14"/>
      <c r="AX26" s="67" t="s">
        <v>34</v>
      </c>
      <c r="AY26" s="69"/>
      <c r="AZ26" s="67" t="s">
        <v>34</v>
      </c>
      <c r="BA26" s="69"/>
      <c r="BB26" s="159" t="s">
        <v>41</v>
      </c>
      <c r="BC26" s="87"/>
      <c r="BD26" s="67" t="s">
        <v>41</v>
      </c>
      <c r="BE26" s="14"/>
      <c r="BF26" s="71" t="s">
        <v>33</v>
      </c>
      <c r="BG26" s="69"/>
      <c r="BH26" s="161" t="s">
        <v>41</v>
      </c>
      <c r="BI26" s="69"/>
      <c r="BJ26" s="73" t="s">
        <v>33</v>
      </c>
      <c r="BK26" s="69"/>
      <c r="BL26" s="71" t="s">
        <v>33</v>
      </c>
      <c r="BM26" s="37"/>
      <c r="BN26" s="70"/>
      <c r="BO26" s="72"/>
      <c r="BP26" s="70"/>
      <c r="BQ26" s="72"/>
      <c r="BR26" s="72"/>
      <c r="BS26" s="15"/>
      <c r="BT26" s="188" t="s">
        <v>47</v>
      </c>
      <c r="BU26" s="96"/>
      <c r="BV26" s="67"/>
      <c r="BW26" s="69"/>
      <c r="BX26" s="67"/>
      <c r="BY26" s="69"/>
      <c r="BZ26" s="69"/>
      <c r="CA26" s="97"/>
      <c r="CB26" s="67"/>
      <c r="CC26" s="142">
        <v>22</v>
      </c>
      <c r="CD26" s="143" t="s">
        <v>128</v>
      </c>
      <c r="CE26" s="507"/>
      <c r="CF26" s="311">
        <f t="shared" si="0"/>
        <v>3</v>
      </c>
      <c r="CG26" s="76">
        <f t="shared" si="1"/>
        <v>3</v>
      </c>
      <c r="CH26" s="27"/>
      <c r="CI26" s="28"/>
      <c r="CJ26" s="449"/>
      <c r="CK26" s="450"/>
    </row>
    <row r="27" spans="1:89" ht="15" customHeight="1">
      <c r="A27" s="142">
        <v>23</v>
      </c>
      <c r="B27" s="143" t="s">
        <v>129</v>
      </c>
      <c r="C27" s="507"/>
      <c r="D27" s="14" t="s">
        <v>342</v>
      </c>
      <c r="E27" s="65"/>
      <c r="F27" s="14"/>
      <c r="G27" s="65"/>
      <c r="H27" s="14"/>
      <c r="I27" s="65"/>
      <c r="J27" s="14"/>
      <c r="K27" s="65"/>
      <c r="L27" s="14"/>
      <c r="M27" s="65"/>
      <c r="N27" s="14"/>
      <c r="O27" s="58"/>
      <c r="P27" s="14"/>
      <c r="Q27" s="65" t="s">
        <v>136</v>
      </c>
      <c r="R27" s="15" t="s">
        <v>57</v>
      </c>
      <c r="S27" s="65"/>
      <c r="T27" s="15"/>
      <c r="U27" s="65" t="s">
        <v>51</v>
      </c>
      <c r="V27" s="168" t="s">
        <v>57</v>
      </c>
      <c r="W27" s="65"/>
      <c r="X27" s="15"/>
      <c r="Y27" s="80"/>
      <c r="Z27" s="14"/>
      <c r="AA27" s="65"/>
      <c r="AB27" s="14" t="s">
        <v>65</v>
      </c>
      <c r="AC27" s="65"/>
      <c r="AD27" s="15" t="s">
        <v>41</v>
      </c>
      <c r="AE27" s="65"/>
      <c r="AF27" s="14"/>
      <c r="AG27" s="80"/>
      <c r="AH27" s="14"/>
      <c r="AI27" s="65"/>
      <c r="AJ27" s="14"/>
      <c r="AK27" s="65"/>
      <c r="AL27" s="14"/>
      <c r="AM27" s="65"/>
      <c r="AN27" s="157" t="s">
        <v>57</v>
      </c>
      <c r="AO27" s="65"/>
      <c r="AP27" s="523"/>
      <c r="AQ27" s="524"/>
      <c r="AR27" s="33"/>
      <c r="AS27" s="34"/>
      <c r="AT27" s="142">
        <v>23</v>
      </c>
      <c r="AU27" s="143" t="s">
        <v>129</v>
      </c>
      <c r="AV27" s="507"/>
      <c r="AW27" s="14"/>
      <c r="AX27" s="70"/>
      <c r="AY27" s="72"/>
      <c r="AZ27" s="70"/>
      <c r="BA27" s="72"/>
      <c r="BB27" s="159" t="s">
        <v>41</v>
      </c>
      <c r="BC27" s="58"/>
      <c r="BD27" s="188" t="s">
        <v>47</v>
      </c>
      <c r="BE27" s="14"/>
      <c r="BF27" s="67" t="s">
        <v>34</v>
      </c>
      <c r="BG27" s="69"/>
      <c r="BH27" s="161" t="s">
        <v>41</v>
      </c>
      <c r="BI27" s="69"/>
      <c r="BJ27" s="69" t="s">
        <v>34</v>
      </c>
      <c r="BK27" s="87"/>
      <c r="BL27" s="67" t="s">
        <v>34</v>
      </c>
      <c r="BM27" s="37"/>
      <c r="BN27" s="71" t="s">
        <v>33</v>
      </c>
      <c r="BO27" s="69"/>
      <c r="BP27" s="71" t="s">
        <v>33</v>
      </c>
      <c r="BQ27" s="69"/>
      <c r="BR27" s="73" t="s">
        <v>33</v>
      </c>
      <c r="BS27" s="69"/>
      <c r="BT27" s="70" t="s">
        <v>61</v>
      </c>
      <c r="BU27" s="96"/>
      <c r="BV27" s="67"/>
      <c r="BW27" s="69"/>
      <c r="BX27" s="67"/>
      <c r="BY27" s="69"/>
      <c r="BZ27" s="69"/>
      <c r="CA27" s="97"/>
      <c r="CB27" s="67"/>
      <c r="CC27" s="142">
        <v>23</v>
      </c>
      <c r="CD27" s="143" t="s">
        <v>129</v>
      </c>
      <c r="CE27" s="507"/>
      <c r="CF27" s="311">
        <f t="shared" si="0"/>
        <v>3</v>
      </c>
      <c r="CG27" s="76">
        <f t="shared" si="1"/>
        <v>4</v>
      </c>
      <c r="CH27" s="27"/>
      <c r="CI27" s="28"/>
      <c r="CJ27" s="449"/>
      <c r="CK27" s="450"/>
    </row>
    <row r="28" spans="1:89" ht="15" customHeight="1">
      <c r="A28" s="22">
        <v>24</v>
      </c>
      <c r="B28" s="13" t="s">
        <v>130</v>
      </c>
      <c r="C28" s="507"/>
      <c r="D28" s="16"/>
      <c r="E28" s="17"/>
      <c r="F28" s="16"/>
      <c r="G28" s="17"/>
      <c r="H28" s="16"/>
      <c r="I28" s="17" t="s">
        <v>137</v>
      </c>
      <c r="J28" s="16"/>
      <c r="K28" s="17"/>
      <c r="L28" s="16"/>
      <c r="M28" s="17"/>
      <c r="N28" s="16"/>
      <c r="O28" s="59"/>
      <c r="P28" s="16"/>
      <c r="Q28" s="17"/>
      <c r="R28" s="18"/>
      <c r="S28" s="17"/>
      <c r="T28" s="18"/>
      <c r="U28" s="17"/>
      <c r="V28" s="18" t="s">
        <v>57</v>
      </c>
      <c r="W28" s="17"/>
      <c r="X28" s="18"/>
      <c r="Y28" s="82" t="s">
        <v>53</v>
      </c>
      <c r="Z28" s="16"/>
      <c r="AA28" s="17"/>
      <c r="AB28" s="16"/>
      <c r="AC28" s="17"/>
      <c r="AD28" s="18"/>
      <c r="AE28" s="17"/>
      <c r="AF28" s="16"/>
      <c r="AG28" s="82"/>
      <c r="AH28" s="258" t="s">
        <v>314</v>
      </c>
      <c r="AI28" s="17"/>
      <c r="AJ28" s="16"/>
      <c r="AK28" s="17"/>
      <c r="AL28" s="16"/>
      <c r="AM28" s="17"/>
      <c r="AN28" s="157" t="s">
        <v>57</v>
      </c>
      <c r="AO28" s="17"/>
      <c r="AP28" s="511" t="s">
        <v>304</v>
      </c>
      <c r="AQ28" s="512"/>
      <c r="AR28" s="104"/>
      <c r="AS28" s="105"/>
      <c r="AT28" s="22">
        <v>24</v>
      </c>
      <c r="AU28" s="13" t="s">
        <v>130</v>
      </c>
      <c r="AV28" s="507"/>
      <c r="AW28" s="16"/>
      <c r="AX28" s="71"/>
      <c r="AY28" s="73"/>
      <c r="AZ28" s="71"/>
      <c r="BA28" s="73"/>
      <c r="BB28" s="73"/>
      <c r="BC28" s="59"/>
      <c r="BD28" s="71"/>
      <c r="BE28" s="16"/>
      <c r="BF28" s="71"/>
      <c r="BG28" s="73"/>
      <c r="BH28" s="67" t="s">
        <v>61</v>
      </c>
      <c r="BI28" s="73"/>
      <c r="BJ28" s="73"/>
      <c r="BK28" s="59"/>
      <c r="BL28" s="71"/>
      <c r="BM28" s="38"/>
      <c r="BN28" s="66" t="s">
        <v>34</v>
      </c>
      <c r="BO28" s="68"/>
      <c r="BP28" s="66" t="s">
        <v>34</v>
      </c>
      <c r="BQ28" s="68"/>
      <c r="BR28" s="68" t="s">
        <v>34</v>
      </c>
      <c r="BS28" s="110"/>
      <c r="BT28" s="71" t="s">
        <v>33</v>
      </c>
      <c r="BU28" s="108"/>
      <c r="BV28" s="71"/>
      <c r="BW28" s="68"/>
      <c r="BX28" s="70" t="s">
        <v>33</v>
      </c>
      <c r="BY28" s="68"/>
      <c r="BZ28" s="72" t="s">
        <v>61</v>
      </c>
      <c r="CA28" s="68"/>
      <c r="CB28" s="71" t="s">
        <v>33</v>
      </c>
      <c r="CC28" s="22">
        <v>24</v>
      </c>
      <c r="CD28" s="13" t="s">
        <v>130</v>
      </c>
      <c r="CE28" s="507"/>
      <c r="CF28" s="311">
        <f t="shared" si="0"/>
        <v>3</v>
      </c>
      <c r="CG28" s="76">
        <f t="shared" si="1"/>
        <v>3</v>
      </c>
      <c r="CH28" s="27"/>
      <c r="CI28" s="28"/>
      <c r="CJ28" s="449"/>
      <c r="CK28" s="450"/>
    </row>
    <row r="29" spans="1:89" ht="15" customHeight="1">
      <c r="A29" s="22">
        <v>25</v>
      </c>
      <c r="B29" s="13" t="s">
        <v>131</v>
      </c>
      <c r="C29" s="508"/>
      <c r="D29" s="16"/>
      <c r="E29" s="17"/>
      <c r="F29" s="16"/>
      <c r="G29" s="17" t="s">
        <v>137</v>
      </c>
      <c r="H29" s="16"/>
      <c r="I29" s="17"/>
      <c r="J29" s="16"/>
      <c r="K29" s="17"/>
      <c r="L29" s="16"/>
      <c r="M29" s="17"/>
      <c r="N29" s="16"/>
      <c r="O29" s="59"/>
      <c r="P29" s="16"/>
      <c r="Q29" s="17"/>
      <c r="R29" s="18"/>
      <c r="S29" s="17"/>
      <c r="T29" s="18"/>
      <c r="U29" s="17"/>
      <c r="V29" s="18" t="s">
        <v>57</v>
      </c>
      <c r="W29" s="17"/>
      <c r="X29" s="18"/>
      <c r="Y29" s="82" t="s">
        <v>53</v>
      </c>
      <c r="Z29" s="16"/>
      <c r="AA29" s="17"/>
      <c r="AB29" s="16"/>
      <c r="AC29" s="17"/>
      <c r="AD29" s="18"/>
      <c r="AE29" s="17"/>
      <c r="AF29" s="16"/>
      <c r="AG29" s="82"/>
      <c r="AH29" s="16"/>
      <c r="AI29" s="17"/>
      <c r="AJ29" s="16"/>
      <c r="AK29" s="17"/>
      <c r="AL29" s="16"/>
      <c r="AM29" s="17"/>
      <c r="AN29" s="157" t="s">
        <v>57</v>
      </c>
      <c r="AO29" s="17"/>
      <c r="AP29" s="529"/>
      <c r="AQ29" s="530"/>
      <c r="AR29" s="104"/>
      <c r="AS29" s="105"/>
      <c r="AT29" s="22">
        <v>25</v>
      </c>
      <c r="AU29" s="13" t="s">
        <v>131</v>
      </c>
      <c r="AV29" s="508"/>
      <c r="AW29" s="16"/>
      <c r="AX29" s="71" t="s">
        <v>33</v>
      </c>
      <c r="AY29" s="68"/>
      <c r="AZ29" s="188" t="s">
        <v>47</v>
      </c>
      <c r="BA29" s="68"/>
      <c r="BB29" s="72" t="s">
        <v>61</v>
      </c>
      <c r="BC29" s="68"/>
      <c r="BD29" s="71" t="s">
        <v>33</v>
      </c>
      <c r="BE29" s="16"/>
      <c r="BF29" s="71"/>
      <c r="BG29" s="73"/>
      <c r="BH29" s="67" t="s">
        <v>61</v>
      </c>
      <c r="BI29" s="73"/>
      <c r="BJ29" s="73"/>
      <c r="BK29" s="59"/>
      <c r="BL29" s="71"/>
      <c r="BM29" s="38"/>
      <c r="BN29" s="71"/>
      <c r="BO29" s="73"/>
      <c r="BP29" s="71"/>
      <c r="BQ29" s="73"/>
      <c r="BR29" s="73"/>
      <c r="BS29" s="18"/>
      <c r="BT29" s="188" t="s">
        <v>47</v>
      </c>
      <c r="BU29" s="108"/>
      <c r="BV29" s="66"/>
      <c r="BW29" s="68"/>
      <c r="BX29" s="67" t="s">
        <v>34</v>
      </c>
      <c r="BY29" s="68"/>
      <c r="BZ29" s="68" t="s">
        <v>34</v>
      </c>
      <c r="CA29" s="110"/>
      <c r="CB29" s="66" t="s">
        <v>33</v>
      </c>
      <c r="CC29" s="22">
        <v>25</v>
      </c>
      <c r="CD29" s="13" t="s">
        <v>131</v>
      </c>
      <c r="CE29" s="508"/>
      <c r="CF29" s="311">
        <f t="shared" si="0"/>
        <v>3</v>
      </c>
      <c r="CG29" s="76">
        <f t="shared" si="1"/>
        <v>4</v>
      </c>
      <c r="CH29" s="27"/>
      <c r="CI29" s="28"/>
      <c r="CJ29" s="449"/>
      <c r="CK29" s="450"/>
    </row>
    <row r="30" spans="1:89" ht="15" customHeight="1">
      <c r="A30" s="142">
        <v>26</v>
      </c>
      <c r="B30" s="143" t="s">
        <v>132</v>
      </c>
      <c r="C30" s="506">
        <v>18</v>
      </c>
      <c r="D30" s="113"/>
      <c r="E30" s="65"/>
      <c r="F30" s="113"/>
      <c r="G30" s="65"/>
      <c r="H30" s="295" t="s">
        <v>42</v>
      </c>
      <c r="I30" s="65" t="s">
        <v>136</v>
      </c>
      <c r="J30" s="113"/>
      <c r="K30" s="65" t="s">
        <v>51</v>
      </c>
      <c r="L30" s="315" t="s">
        <v>65</v>
      </c>
      <c r="M30" s="65"/>
      <c r="N30" s="317"/>
      <c r="O30" s="58"/>
      <c r="P30" s="14"/>
      <c r="Q30" s="65"/>
      <c r="R30" s="209" t="s">
        <v>57</v>
      </c>
      <c r="S30" s="65"/>
      <c r="T30" s="15" t="s">
        <v>41</v>
      </c>
      <c r="U30" s="65"/>
      <c r="V30" s="15" t="s">
        <v>57</v>
      </c>
      <c r="W30" s="65"/>
      <c r="X30" s="316" t="s">
        <v>147</v>
      </c>
      <c r="Y30" s="80"/>
      <c r="Z30" s="316" t="s">
        <v>147</v>
      </c>
      <c r="AA30" s="65"/>
      <c r="AB30" s="14" t="s">
        <v>65</v>
      </c>
      <c r="AC30" s="65"/>
      <c r="AD30" s="113"/>
      <c r="AE30" s="65"/>
      <c r="AF30" s="316" t="s">
        <v>147</v>
      </c>
      <c r="AG30" s="80"/>
      <c r="AH30" s="113"/>
      <c r="AI30" s="65"/>
      <c r="AJ30" s="14"/>
      <c r="AK30" s="65"/>
      <c r="AL30" s="113"/>
      <c r="AM30" s="65"/>
      <c r="AN30" s="301" t="s">
        <v>57</v>
      </c>
      <c r="AO30" s="65"/>
      <c r="AP30" s="545"/>
      <c r="AQ30" s="546"/>
      <c r="AR30" s="33"/>
      <c r="AS30" s="34"/>
      <c r="AT30" s="142">
        <v>26</v>
      </c>
      <c r="AU30" s="143" t="s">
        <v>132</v>
      </c>
      <c r="AV30" s="506">
        <v>18</v>
      </c>
      <c r="AW30" s="14"/>
      <c r="AX30" s="67" t="s">
        <v>34</v>
      </c>
      <c r="AY30" s="69"/>
      <c r="AZ30" s="67" t="s">
        <v>34</v>
      </c>
      <c r="BA30" s="69"/>
      <c r="BB30" s="159" t="s">
        <v>41</v>
      </c>
      <c r="BC30" s="87"/>
      <c r="BD30" s="67" t="s">
        <v>34</v>
      </c>
      <c r="BE30" s="14"/>
      <c r="BF30" s="71" t="s">
        <v>33</v>
      </c>
      <c r="BG30" s="69"/>
      <c r="BH30" s="161" t="s">
        <v>41</v>
      </c>
      <c r="BI30" s="69"/>
      <c r="BJ30" s="73" t="s">
        <v>33</v>
      </c>
      <c r="BK30" s="69"/>
      <c r="BL30" s="71" t="s">
        <v>33</v>
      </c>
      <c r="BM30" s="37"/>
      <c r="BN30" s="70"/>
      <c r="BO30" s="72"/>
      <c r="BP30" s="70"/>
      <c r="BQ30" s="72"/>
      <c r="BR30" s="72"/>
      <c r="BS30" s="15"/>
      <c r="BT30" s="70"/>
      <c r="BU30" s="96"/>
      <c r="BV30" s="67"/>
      <c r="BW30" s="69"/>
      <c r="BX30" s="67"/>
      <c r="BY30" s="69"/>
      <c r="BZ30" s="69"/>
      <c r="CA30" s="97"/>
      <c r="CB30" s="67"/>
      <c r="CC30" s="142">
        <v>26</v>
      </c>
      <c r="CD30" s="143" t="s">
        <v>132</v>
      </c>
      <c r="CE30" s="506">
        <v>17</v>
      </c>
      <c r="CF30" s="311">
        <f t="shared" si="0"/>
        <v>3</v>
      </c>
      <c r="CG30" s="76">
        <f t="shared" si="1"/>
        <v>3</v>
      </c>
      <c r="CH30" s="197" t="s">
        <v>306</v>
      </c>
      <c r="CI30" s="207" t="s">
        <v>306</v>
      </c>
      <c r="CJ30" s="449"/>
      <c r="CK30" s="450"/>
    </row>
    <row r="31" spans="1:89" ht="15" customHeight="1">
      <c r="A31" s="142">
        <v>27</v>
      </c>
      <c r="B31" s="143" t="s">
        <v>133</v>
      </c>
      <c r="C31" s="507"/>
      <c r="D31" s="14"/>
      <c r="E31" s="65"/>
      <c r="F31" s="14"/>
      <c r="G31" s="65"/>
      <c r="H31" s="14" t="s">
        <v>41</v>
      </c>
      <c r="I31" s="65"/>
      <c r="J31" s="14"/>
      <c r="K31" s="65"/>
      <c r="L31" s="14" t="s">
        <v>65</v>
      </c>
      <c r="M31" s="65"/>
      <c r="N31" s="14"/>
      <c r="O31" s="58"/>
      <c r="P31" s="14"/>
      <c r="Q31" s="65"/>
      <c r="R31" s="209" t="s">
        <v>57</v>
      </c>
      <c r="S31" s="65"/>
      <c r="T31" s="15"/>
      <c r="U31" s="65"/>
      <c r="V31" s="15"/>
      <c r="W31" s="65" t="s">
        <v>51</v>
      </c>
      <c r="X31" s="15"/>
      <c r="Y31" s="80"/>
      <c r="Z31" s="14"/>
      <c r="AA31" s="65"/>
      <c r="AB31" s="14"/>
      <c r="AC31" s="65"/>
      <c r="AD31" s="15"/>
      <c r="AE31" s="65"/>
      <c r="AF31" s="14"/>
      <c r="AG31" s="80"/>
      <c r="AH31" s="14"/>
      <c r="AI31" s="65"/>
      <c r="AJ31" s="14"/>
      <c r="AK31" s="65" t="s">
        <v>136</v>
      </c>
      <c r="AL31" s="14"/>
      <c r="AM31" s="65"/>
      <c r="AN31" s="157" t="s">
        <v>57</v>
      </c>
      <c r="AO31" s="65"/>
      <c r="AP31" s="545"/>
      <c r="AQ31" s="546"/>
      <c r="AR31" s="33"/>
      <c r="AS31" s="34"/>
      <c r="AT31" s="142">
        <v>27</v>
      </c>
      <c r="AU31" s="143" t="s">
        <v>133</v>
      </c>
      <c r="AV31" s="507"/>
      <c r="AW31" s="14"/>
      <c r="AX31" s="70"/>
      <c r="AY31" s="72"/>
      <c r="AZ31" s="70"/>
      <c r="BA31" s="72"/>
      <c r="BB31" s="159" t="s">
        <v>41</v>
      </c>
      <c r="BC31" s="58"/>
      <c r="BD31" s="70"/>
      <c r="BE31" s="14"/>
      <c r="BF31" s="67" t="s">
        <v>34</v>
      </c>
      <c r="BG31" s="69"/>
      <c r="BH31" s="161" t="s">
        <v>41</v>
      </c>
      <c r="BI31" s="69"/>
      <c r="BJ31" s="69" t="s">
        <v>34</v>
      </c>
      <c r="BK31" s="87"/>
      <c r="BL31" s="67" t="s">
        <v>34</v>
      </c>
      <c r="BM31" s="37"/>
      <c r="BN31" s="71" t="s">
        <v>33</v>
      </c>
      <c r="BO31" s="69"/>
      <c r="BP31" s="71" t="s">
        <v>33</v>
      </c>
      <c r="BQ31" s="69"/>
      <c r="BR31" s="73" t="s">
        <v>33</v>
      </c>
      <c r="BS31" s="69"/>
      <c r="BT31" s="71" t="s">
        <v>33</v>
      </c>
      <c r="BU31" s="96"/>
      <c r="BV31" s="67"/>
      <c r="BW31" s="69"/>
      <c r="BX31" s="67"/>
      <c r="BY31" s="69"/>
      <c r="BZ31" s="69"/>
      <c r="CA31" s="97"/>
      <c r="CB31" s="67"/>
      <c r="CC31" s="142">
        <v>27</v>
      </c>
      <c r="CD31" s="143" t="s">
        <v>133</v>
      </c>
      <c r="CE31" s="507"/>
      <c r="CF31" s="311">
        <f t="shared" si="0"/>
        <v>4</v>
      </c>
      <c r="CG31" s="76">
        <f t="shared" si="1"/>
        <v>3</v>
      </c>
      <c r="CH31" s="27"/>
      <c r="CI31" s="207" t="s">
        <v>306</v>
      </c>
      <c r="CJ31" s="449"/>
      <c r="CK31" s="450"/>
    </row>
    <row r="32" spans="1:89" ht="15" customHeight="1">
      <c r="A32" s="142">
        <v>28</v>
      </c>
      <c r="B32" s="143" t="s">
        <v>127</v>
      </c>
      <c r="C32" s="507"/>
      <c r="D32" s="14" t="s">
        <v>343</v>
      </c>
      <c r="E32" s="65"/>
      <c r="F32" s="14" t="s">
        <v>42</v>
      </c>
      <c r="G32" s="65"/>
      <c r="H32" s="14" t="s">
        <v>220</v>
      </c>
      <c r="I32" s="65"/>
      <c r="J32" s="14" t="s">
        <v>224</v>
      </c>
      <c r="K32" s="65"/>
      <c r="L32" s="14" t="s">
        <v>150</v>
      </c>
      <c r="M32" s="65"/>
      <c r="N32" s="14" t="s">
        <v>42</v>
      </c>
      <c r="O32" s="58"/>
      <c r="P32" s="14" t="s">
        <v>344</v>
      </c>
      <c r="Q32" s="65"/>
      <c r="R32" s="209" t="s">
        <v>57</v>
      </c>
      <c r="S32" s="65"/>
      <c r="T32" s="15" t="s">
        <v>224</v>
      </c>
      <c r="U32" s="65" t="s">
        <v>136</v>
      </c>
      <c r="V32" s="15" t="s">
        <v>150</v>
      </c>
      <c r="W32" s="65" t="s">
        <v>51</v>
      </c>
      <c r="X32" s="15"/>
      <c r="Y32" s="80"/>
      <c r="Z32" s="14"/>
      <c r="AA32" s="65"/>
      <c r="AB32" s="14"/>
      <c r="AC32" s="65"/>
      <c r="AD32" s="15"/>
      <c r="AE32" s="65"/>
      <c r="AF32" s="14"/>
      <c r="AG32" s="80"/>
      <c r="AH32" s="14"/>
      <c r="AI32" s="65"/>
      <c r="AJ32" s="14"/>
      <c r="AK32" s="65"/>
      <c r="AL32" s="14" t="s">
        <v>150</v>
      </c>
      <c r="AM32" s="65"/>
      <c r="AN32" s="157" t="s">
        <v>57</v>
      </c>
      <c r="AO32" s="65"/>
      <c r="AP32" s="509"/>
      <c r="AQ32" s="510"/>
      <c r="AR32" s="33"/>
      <c r="AS32" s="34"/>
      <c r="AT32" s="142">
        <v>28</v>
      </c>
      <c r="AU32" s="143" t="s">
        <v>127</v>
      </c>
      <c r="AV32" s="507"/>
      <c r="AW32" s="14"/>
      <c r="AX32" s="70"/>
      <c r="AY32" s="72"/>
      <c r="AZ32" s="70"/>
      <c r="BA32" s="72"/>
      <c r="BB32" s="159" t="s">
        <v>41</v>
      </c>
      <c r="BC32" s="58"/>
      <c r="BD32" s="196" t="s">
        <v>40</v>
      </c>
      <c r="BE32" s="14"/>
      <c r="BF32" s="74"/>
      <c r="BG32" s="72"/>
      <c r="BH32" s="161" t="s">
        <v>41</v>
      </c>
      <c r="BI32" s="72"/>
      <c r="BJ32" s="72"/>
      <c r="BK32" s="58"/>
      <c r="BL32" s="70"/>
      <c r="BM32" s="37"/>
      <c r="BN32" s="67" t="s">
        <v>34</v>
      </c>
      <c r="BO32" s="69"/>
      <c r="BP32" s="67" t="s">
        <v>34</v>
      </c>
      <c r="BQ32" s="69"/>
      <c r="BR32" s="69" t="s">
        <v>34</v>
      </c>
      <c r="BS32" s="87"/>
      <c r="BT32" s="67" t="s">
        <v>34</v>
      </c>
      <c r="BU32" s="96"/>
      <c r="BV32" s="67"/>
      <c r="BW32" s="69"/>
      <c r="BX32" s="71" t="s">
        <v>33</v>
      </c>
      <c r="BY32" s="69"/>
      <c r="BZ32" s="73" t="s">
        <v>33</v>
      </c>
      <c r="CA32" s="69"/>
      <c r="CB32" s="71" t="s">
        <v>33</v>
      </c>
      <c r="CC32" s="142">
        <v>28</v>
      </c>
      <c r="CD32" s="143" t="s">
        <v>127</v>
      </c>
      <c r="CE32" s="507"/>
      <c r="CF32" s="311">
        <f t="shared" si="0"/>
        <v>4</v>
      </c>
      <c r="CG32" s="76">
        <f t="shared" si="1"/>
        <v>4</v>
      </c>
      <c r="CH32" s="27"/>
      <c r="CI32" s="207" t="s">
        <v>306</v>
      </c>
      <c r="CJ32" s="449"/>
      <c r="CK32" s="450"/>
    </row>
    <row r="33" spans="1:89" ht="15" customHeight="1">
      <c r="A33" s="142">
        <v>29</v>
      </c>
      <c r="B33" s="143" t="s">
        <v>128</v>
      </c>
      <c r="C33" s="507"/>
      <c r="D33" s="14" t="s">
        <v>343</v>
      </c>
      <c r="E33" s="65"/>
      <c r="F33" s="14" t="s">
        <v>150</v>
      </c>
      <c r="G33" s="65"/>
      <c r="H33" s="14" t="s">
        <v>136</v>
      </c>
      <c r="I33" s="65"/>
      <c r="J33" s="14" t="s">
        <v>224</v>
      </c>
      <c r="K33" s="65"/>
      <c r="L33" s="14" t="s">
        <v>150</v>
      </c>
      <c r="M33" s="65" t="s">
        <v>51</v>
      </c>
      <c r="N33" s="14" t="s">
        <v>345</v>
      </c>
      <c r="O33" s="58"/>
      <c r="P33" s="14" t="s">
        <v>344</v>
      </c>
      <c r="Q33" s="65"/>
      <c r="R33" s="209" t="s">
        <v>57</v>
      </c>
      <c r="S33" s="65"/>
      <c r="T33" s="15" t="s">
        <v>41</v>
      </c>
      <c r="U33" s="65"/>
      <c r="V33" s="15" t="s">
        <v>57</v>
      </c>
      <c r="W33" s="65"/>
      <c r="X33" s="15" t="s">
        <v>184</v>
      </c>
      <c r="Y33" s="80"/>
      <c r="Z33" s="14"/>
      <c r="AA33" s="65"/>
      <c r="AB33" s="14"/>
      <c r="AC33" s="65"/>
      <c r="AD33" s="15"/>
      <c r="AE33" s="65"/>
      <c r="AF33" s="14" t="s">
        <v>184</v>
      </c>
      <c r="AG33" s="80"/>
      <c r="AH33" s="14"/>
      <c r="AI33" s="65"/>
      <c r="AJ33" s="14"/>
      <c r="AK33" s="65"/>
      <c r="AL33" s="14"/>
      <c r="AM33" s="65"/>
      <c r="AN33" s="157" t="s">
        <v>57</v>
      </c>
      <c r="AO33" s="65"/>
      <c r="AP33" s="509"/>
      <c r="AQ33" s="510"/>
      <c r="AR33" s="33"/>
      <c r="AS33" s="34"/>
      <c r="AT33" s="142">
        <v>29</v>
      </c>
      <c r="AU33" s="143" t="s">
        <v>128</v>
      </c>
      <c r="AV33" s="507"/>
      <c r="AW33" s="14"/>
      <c r="AX33" s="71" t="s">
        <v>33</v>
      </c>
      <c r="AY33" s="69"/>
      <c r="AZ33" s="71" t="s">
        <v>41</v>
      </c>
      <c r="BA33" s="69"/>
      <c r="BB33" s="159" t="s">
        <v>41</v>
      </c>
      <c r="BC33" s="69"/>
      <c r="BD33" s="71" t="s">
        <v>33</v>
      </c>
      <c r="BE33" s="14"/>
      <c r="BF33" s="74"/>
      <c r="BG33" s="72"/>
      <c r="BH33" s="161" t="s">
        <v>41</v>
      </c>
      <c r="BI33" s="72"/>
      <c r="BJ33" s="72"/>
      <c r="BK33" s="58"/>
      <c r="BL33" s="70"/>
      <c r="BM33" s="37"/>
      <c r="BN33" s="70"/>
      <c r="BO33" s="72"/>
      <c r="BP33" s="70"/>
      <c r="BQ33" s="72"/>
      <c r="BR33" s="72"/>
      <c r="BS33" s="15"/>
      <c r="BT33" s="70"/>
      <c r="BU33" s="96"/>
      <c r="BV33" s="67"/>
      <c r="BW33" s="69"/>
      <c r="BX33" s="67" t="s">
        <v>34</v>
      </c>
      <c r="BY33" s="69"/>
      <c r="BZ33" s="69" t="s">
        <v>34</v>
      </c>
      <c r="CA33" s="87"/>
      <c r="CB33" s="67" t="s">
        <v>34</v>
      </c>
      <c r="CC33" s="142">
        <v>29</v>
      </c>
      <c r="CD33" s="143" t="s">
        <v>128</v>
      </c>
      <c r="CE33" s="507"/>
      <c r="CF33" s="311">
        <f t="shared" si="0"/>
        <v>2</v>
      </c>
      <c r="CG33" s="76">
        <f t="shared" si="1"/>
        <v>3</v>
      </c>
      <c r="CH33" s="197" t="s">
        <v>306</v>
      </c>
      <c r="CI33" s="28"/>
      <c r="CJ33" s="449"/>
      <c r="CK33" s="450"/>
    </row>
    <row r="34" spans="1:89" ht="15" customHeight="1" thickBot="1">
      <c r="A34" s="142">
        <v>30</v>
      </c>
      <c r="B34" s="143" t="s">
        <v>129</v>
      </c>
      <c r="C34" s="508"/>
      <c r="D34" s="14" t="s">
        <v>41</v>
      </c>
      <c r="E34" s="65"/>
      <c r="F34" s="14"/>
      <c r="G34" s="65" t="s">
        <v>51</v>
      </c>
      <c r="H34" s="14" t="s">
        <v>41</v>
      </c>
      <c r="I34" s="65"/>
      <c r="J34" s="14"/>
      <c r="K34" s="65" t="s">
        <v>136</v>
      </c>
      <c r="L34" s="14"/>
      <c r="M34" s="65"/>
      <c r="N34" s="14"/>
      <c r="O34" s="58"/>
      <c r="P34" s="14"/>
      <c r="Q34" s="65"/>
      <c r="R34" s="209" t="s">
        <v>57</v>
      </c>
      <c r="S34" s="65"/>
      <c r="T34" s="15" t="s">
        <v>65</v>
      </c>
      <c r="U34" s="65"/>
      <c r="V34" s="15" t="s">
        <v>57</v>
      </c>
      <c r="W34" s="65"/>
      <c r="X34" s="15"/>
      <c r="Y34" s="80"/>
      <c r="Z34" s="14"/>
      <c r="AA34" s="65"/>
      <c r="AB34" s="14"/>
      <c r="AC34" s="65"/>
      <c r="AD34" s="15"/>
      <c r="AE34" s="65"/>
      <c r="AF34" s="14"/>
      <c r="AG34" s="80"/>
      <c r="AH34" s="14" t="s">
        <v>41</v>
      </c>
      <c r="AI34" s="65"/>
      <c r="AJ34" s="14"/>
      <c r="AK34" s="65"/>
      <c r="AL34" s="14" t="s">
        <v>42</v>
      </c>
      <c r="AM34" s="65"/>
      <c r="AN34" s="157" t="s">
        <v>57</v>
      </c>
      <c r="AO34" s="65"/>
      <c r="AP34" s="547"/>
      <c r="AQ34" s="548"/>
      <c r="AR34" s="35"/>
      <c r="AS34" s="36"/>
      <c r="AT34" s="142">
        <v>30</v>
      </c>
      <c r="AU34" s="143" t="s">
        <v>129</v>
      </c>
      <c r="AV34" s="508"/>
      <c r="AW34" s="14"/>
      <c r="AX34" s="67" t="s">
        <v>34</v>
      </c>
      <c r="AY34" s="69"/>
      <c r="AZ34" s="67" t="s">
        <v>34</v>
      </c>
      <c r="BA34" s="69"/>
      <c r="BB34" s="159" t="s">
        <v>41</v>
      </c>
      <c r="BC34" s="87"/>
      <c r="BD34" s="67" t="s">
        <v>34</v>
      </c>
      <c r="BE34" s="14"/>
      <c r="BF34" s="71" t="s">
        <v>41</v>
      </c>
      <c r="BG34" s="69"/>
      <c r="BH34" s="161" t="s">
        <v>41</v>
      </c>
      <c r="BI34" s="69"/>
      <c r="BJ34" s="73" t="s">
        <v>33</v>
      </c>
      <c r="BK34" s="69"/>
      <c r="BL34" s="71" t="s">
        <v>33</v>
      </c>
      <c r="BM34" s="37"/>
      <c r="BN34" s="70"/>
      <c r="BO34" s="72"/>
      <c r="BP34" s="70"/>
      <c r="BQ34" s="72"/>
      <c r="BR34" s="72"/>
      <c r="BS34" s="15"/>
      <c r="BT34" s="188" t="s">
        <v>47</v>
      </c>
      <c r="BU34" s="96"/>
      <c r="BV34" s="67"/>
      <c r="BW34" s="69"/>
      <c r="BX34" s="67"/>
      <c r="BY34" s="69"/>
      <c r="BZ34" s="69"/>
      <c r="CA34" s="97"/>
      <c r="CB34" s="67"/>
      <c r="CC34" s="142">
        <v>30</v>
      </c>
      <c r="CD34" s="143" t="s">
        <v>129</v>
      </c>
      <c r="CE34" s="508"/>
      <c r="CF34" s="312">
        <f t="shared" si="0"/>
        <v>2</v>
      </c>
      <c r="CG34" s="77">
        <f t="shared" si="1"/>
        <v>4</v>
      </c>
      <c r="CH34" s="26"/>
      <c r="CI34" s="21"/>
      <c r="CJ34" s="549"/>
      <c r="CK34" s="550"/>
    </row>
    <row r="35" spans="1:89" ht="15" customHeight="1" thickBot="1">
      <c r="D35" s="8">
        <f t="shared" ref="D35:AN35" si="2">(COUNTIF(D5:D34,"הרצליה")+COUNTIF(D5:D34,"חיפה")+COUNTIF(D5:D34,"רמון")+COUNTIF(D5:D34,"ראש פינה")+COUNTIF(D5:D34,"ה.ב"))</f>
        <v>0</v>
      </c>
      <c r="E35" s="9">
        <f t="shared" ref="E35:AO35" si="3">(COUNTIF(E5:E34,"כ")+COUNTIF(E5:E34,"כמ"))*6+(COUNTIF(E5:E34,"כש")+COUNTIF(E5:E34,"כמש"))*10</f>
        <v>22</v>
      </c>
      <c r="F35" s="8">
        <f t="shared" si="2"/>
        <v>1</v>
      </c>
      <c r="G35" s="9">
        <f t="shared" si="3"/>
        <v>26</v>
      </c>
      <c r="H35" s="8">
        <f t="shared" si="2"/>
        <v>0</v>
      </c>
      <c r="I35" s="9">
        <f t="shared" si="3"/>
        <v>16</v>
      </c>
      <c r="J35" s="8">
        <f t="shared" si="2"/>
        <v>0</v>
      </c>
      <c r="K35" s="9">
        <f t="shared" si="3"/>
        <v>18</v>
      </c>
      <c r="L35" s="8">
        <f t="shared" si="2"/>
        <v>0</v>
      </c>
      <c r="M35" s="9">
        <f t="shared" si="3"/>
        <v>24</v>
      </c>
      <c r="N35" s="8">
        <f t="shared" si="2"/>
        <v>1</v>
      </c>
      <c r="O35" s="9">
        <f t="shared" si="3"/>
        <v>36</v>
      </c>
      <c r="P35" s="8">
        <f t="shared" si="2"/>
        <v>0</v>
      </c>
      <c r="Q35" s="9">
        <f t="shared" si="3"/>
        <v>22</v>
      </c>
      <c r="R35" s="8">
        <f t="shared" si="2"/>
        <v>0</v>
      </c>
      <c r="S35" s="9">
        <f t="shared" si="3"/>
        <v>18</v>
      </c>
      <c r="T35" s="8">
        <f t="shared" si="2"/>
        <v>0</v>
      </c>
      <c r="U35" s="9">
        <f t="shared" si="3"/>
        <v>22</v>
      </c>
      <c r="V35" s="8">
        <f t="shared" si="2"/>
        <v>1</v>
      </c>
      <c r="W35" s="9">
        <f t="shared" si="3"/>
        <v>18</v>
      </c>
      <c r="X35" s="8">
        <f t="shared" si="2"/>
        <v>2</v>
      </c>
      <c r="Y35" s="9">
        <f t="shared" si="3"/>
        <v>50</v>
      </c>
      <c r="Z35" s="8">
        <f t="shared" si="2"/>
        <v>1</v>
      </c>
      <c r="AA35" s="9">
        <f t="shared" si="3"/>
        <v>0</v>
      </c>
      <c r="AB35" s="8">
        <f t="shared" si="2"/>
        <v>0</v>
      </c>
      <c r="AC35" s="9">
        <f t="shared" si="3"/>
        <v>38</v>
      </c>
      <c r="AD35" s="8">
        <f t="shared" si="2"/>
        <v>0</v>
      </c>
      <c r="AE35" s="9">
        <f t="shared" si="3"/>
        <v>36</v>
      </c>
      <c r="AF35" s="8">
        <f t="shared" si="2"/>
        <v>2</v>
      </c>
      <c r="AG35" s="9">
        <f t="shared" si="3"/>
        <v>40</v>
      </c>
      <c r="AH35" s="8">
        <f t="shared" si="2"/>
        <v>0</v>
      </c>
      <c r="AI35" s="9">
        <f t="shared" si="3"/>
        <v>36</v>
      </c>
      <c r="AJ35" s="8">
        <f t="shared" si="2"/>
        <v>1</v>
      </c>
      <c r="AK35" s="9">
        <f t="shared" si="3"/>
        <v>26</v>
      </c>
      <c r="AL35" s="8">
        <f t="shared" si="2"/>
        <v>2</v>
      </c>
      <c r="AM35" s="9">
        <f t="shared" si="3"/>
        <v>18</v>
      </c>
      <c r="AN35" s="8">
        <f t="shared" si="2"/>
        <v>0</v>
      </c>
      <c r="AO35" s="9">
        <f t="shared" si="3"/>
        <v>0</v>
      </c>
      <c r="AT35" s="482" t="s">
        <v>38</v>
      </c>
      <c r="AU35" s="483"/>
      <c r="AV35" s="484"/>
      <c r="AW35" s="485">
        <f>COUNTIF(AX4:AX34,"י")+COUNTIF(AX4:AX34,"Y")+COUNTIF(AX4:AX34,"2")</f>
        <v>8</v>
      </c>
      <c r="AX35" s="465"/>
      <c r="AY35" s="464">
        <f>COUNTIF(AZ4:AZ34,"י")+COUNTIF(AZ4:AZ34,"Y")+COUNTIF(AZ4:AZ34,"2")</f>
        <v>3</v>
      </c>
      <c r="AZ35" s="465"/>
      <c r="BA35" s="464">
        <f>COUNTIF(BB4:BB34,"י")+COUNTIF(BB4:BB34,"Y")+COUNTIF(BB4:BB34,"2")</f>
        <v>1</v>
      </c>
      <c r="BB35" s="465"/>
      <c r="BC35" s="464">
        <f>COUNTIF(BD4:BD34,"י")+COUNTIF(BD4:BD34,"Y")+COUNTIF(BD4:BD34,"2")</f>
        <v>9</v>
      </c>
      <c r="BD35" s="465"/>
      <c r="BE35" s="464">
        <f>COUNTIF(BF4:BF34,"י")+COUNTIF(BF4:BF34,"Y")+COUNTIF(BF4:BF34,"2")</f>
        <v>7</v>
      </c>
      <c r="BF35" s="465"/>
      <c r="BG35" s="464">
        <f>COUNTIF(BH4:BH34,"י")+COUNTIF(BH4:BH34,"Y")+COUNTIF(BH4:BH34,"2")</f>
        <v>0</v>
      </c>
      <c r="BH35" s="465"/>
      <c r="BI35" s="464">
        <f>COUNTIF(BJ4:BJ34,"י")+COUNTIF(BJ4:BJ34,"Y")+COUNTIF(BJ4:BJ34,"2")</f>
        <v>4</v>
      </c>
      <c r="BJ35" s="465"/>
      <c r="BK35" s="464">
        <f>COUNTIF(BL4:BL34,"י")+COUNTIF(BL4:BL34,"Y")+COUNTIF(BL4:BL34,"2")</f>
        <v>8</v>
      </c>
      <c r="BL35" s="465"/>
      <c r="BM35" s="464">
        <f>COUNTIF(BN4:BN34,"י")+COUNTIF(BN4:BN34,"Y")+COUNTIF(BN4:BN34,"2")</f>
        <v>4</v>
      </c>
      <c r="BN35" s="465"/>
      <c r="BO35" s="464">
        <f>COUNTIF(BP4:BP34,"י")+COUNTIF(BP4:BP34,"Y")+COUNTIF(BP4:BP34,"2")</f>
        <v>7</v>
      </c>
      <c r="BP35" s="465"/>
      <c r="BQ35" s="464">
        <f>COUNTIF(BR4:BR34,"י")+COUNTIF(BR4:BR34,"Y")+COUNTIF(BR4:BR34,"2")</f>
        <v>6</v>
      </c>
      <c r="BR35" s="465"/>
      <c r="BS35" s="464">
        <f>COUNTIF(BT4:BT34,"י")+COUNTIF(BT4:BT34,"Y")+COUNTIF(BT4:BT34,"2")</f>
        <v>6</v>
      </c>
      <c r="BT35" s="465"/>
      <c r="BU35" s="464">
        <f>COUNTIF(BV4:BV34,"י")+COUNTIF(BV4:BV34,"Y")+COUNTIF(BV4:BV34,"2")</f>
        <v>0</v>
      </c>
      <c r="BV35" s="465"/>
      <c r="BW35" s="464">
        <f>COUNTIF(BX4:BX34,"י")+COUNTIF(BX4:BX34,"Y")+COUNTIF(BX4:BX34,"2")</f>
        <v>7</v>
      </c>
      <c r="BX35" s="465"/>
      <c r="BY35" s="464">
        <f>COUNTIF(BZ4:BZ34,"י")+COUNTIF(BZ4:BZ34,"Y")+COUNTIF(BZ4:BZ34,"2")</f>
        <v>6</v>
      </c>
      <c r="BZ35" s="465"/>
      <c r="CA35" s="466">
        <f>COUNTIF(CB4:CB34,"י")+COUNTIF(CB4:CB34,"Y")+COUNTIF(CB4:CB34,"2")</f>
        <v>8</v>
      </c>
      <c r="CB35" s="467"/>
      <c r="CC35" s="468" t="s">
        <v>140</v>
      </c>
      <c r="CD35" s="469"/>
      <c r="CE35" s="470"/>
    </row>
    <row r="36" spans="1:89" ht="15" customHeight="1" thickBot="1">
      <c r="C36" s="1" t="s">
        <v>322</v>
      </c>
      <c r="D36" s="234">
        <f>D35+מרץ!D37</f>
        <v>7</v>
      </c>
      <c r="E36" s="234">
        <f>E35+מרץ!E37</f>
        <v>76</v>
      </c>
      <c r="F36" s="234">
        <f>F35+מרץ!F37</f>
        <v>9</v>
      </c>
      <c r="G36" s="234">
        <f>G35+מרץ!G37</f>
        <v>90</v>
      </c>
      <c r="H36" s="234">
        <f>H35+מרץ!H37</f>
        <v>3</v>
      </c>
      <c r="I36" s="234">
        <f>I35+מרץ!I37</f>
        <v>80</v>
      </c>
      <c r="J36" s="234">
        <f>J35+מרץ!J37</f>
        <v>1</v>
      </c>
      <c r="K36" s="234">
        <f>K35+מרץ!K37</f>
        <v>36</v>
      </c>
      <c r="L36" s="234">
        <f>L35+מרץ!L37</f>
        <v>4</v>
      </c>
      <c r="M36" s="234">
        <f>M35+מרץ!M37</f>
        <v>88</v>
      </c>
      <c r="N36" s="234">
        <f>N35+מרץ!N37</f>
        <v>12</v>
      </c>
      <c r="O36" s="234">
        <f>O35+מרץ!O37</f>
        <v>142</v>
      </c>
      <c r="P36" s="234">
        <f>P35+מרץ!P37</f>
        <v>4</v>
      </c>
      <c r="Q36" s="234">
        <f>Q35+מרץ!Q37</f>
        <v>86</v>
      </c>
      <c r="R36" s="234">
        <f>R35+מרץ!R37</f>
        <v>4</v>
      </c>
      <c r="S36" s="234">
        <f>S35+מרץ!S37</f>
        <v>72</v>
      </c>
      <c r="T36" s="234">
        <f>T35+מרץ!T37</f>
        <v>4</v>
      </c>
      <c r="U36" s="234">
        <f>U35+מרץ!U37</f>
        <v>76</v>
      </c>
      <c r="V36" s="234">
        <f>V35+מרץ!V37</f>
        <v>2</v>
      </c>
      <c r="W36" s="234">
        <f>W35+מרץ!W37</f>
        <v>72</v>
      </c>
      <c r="X36" s="234">
        <f>X35+מרץ!X37</f>
        <v>13</v>
      </c>
      <c r="Y36" s="234">
        <f>Y35+מרץ!Y37</f>
        <v>196</v>
      </c>
      <c r="Z36" s="234">
        <f>Z35+מרץ!Z37</f>
        <v>2</v>
      </c>
      <c r="AA36" s="234">
        <f>AA35+מרץ!AA37</f>
        <v>0</v>
      </c>
      <c r="AB36" s="234">
        <f>AB35+מרץ!AB37</f>
        <v>4</v>
      </c>
      <c r="AC36" s="234">
        <f>AC35+מרץ!AC37</f>
        <v>134</v>
      </c>
      <c r="AD36" s="234">
        <f>AD35+מרץ!AD37</f>
        <v>0</v>
      </c>
      <c r="AE36" s="234">
        <f>AE35+מרץ!AE37</f>
        <v>144</v>
      </c>
      <c r="AF36" s="234">
        <f>AF35+מרץ!AF37</f>
        <v>5</v>
      </c>
      <c r="AG36" s="234">
        <f>AG35+מרץ!AG37</f>
        <v>160</v>
      </c>
      <c r="AH36" s="234">
        <f>AH35+מרץ!AH37</f>
        <v>2</v>
      </c>
      <c r="AI36" s="234">
        <f>AI35+מרץ!AI37</f>
        <v>132</v>
      </c>
      <c r="AJ36" s="234">
        <f>AJ35+מרץ!AJ37</f>
        <v>4</v>
      </c>
      <c r="AK36" s="234">
        <f>AK35+מרץ!AK37</f>
        <v>80</v>
      </c>
      <c r="AL36" s="234">
        <f>AL35+מרץ!AL37</f>
        <v>4</v>
      </c>
      <c r="AM36" s="234">
        <f>AM35+מרץ!AM37</f>
        <v>72</v>
      </c>
      <c r="AN36" s="234">
        <f>AN35+מרץ!AN37</f>
        <v>1</v>
      </c>
      <c r="AO36" s="234">
        <f>AO35+מרץ!AO37</f>
        <v>24</v>
      </c>
      <c r="AT36" s="478" t="s">
        <v>39</v>
      </c>
      <c r="AU36" s="479"/>
      <c r="AV36" s="480"/>
      <c r="AW36" s="481">
        <f>COUNTIF(AX4:AX34,"ל")+COUNTIF(AX4:AX34,"L")+COUNTIF(AX4:AX34,"ל2")</f>
        <v>8</v>
      </c>
      <c r="AX36" s="475"/>
      <c r="AY36" s="474">
        <f>COUNTIF(AZ4:AZ34,"ל")+COUNTIF(AZ4:AZ34,"L")+COUNTIF(AZ4:AZ34,"ל2")</f>
        <v>10</v>
      </c>
      <c r="AZ36" s="475"/>
      <c r="BA36" s="474">
        <f>COUNTIF(BB4:BB34,"ל")+COUNTIF(BB4:BB34,"L")+COUNTIF(BB4:BB34,"ל2")</f>
        <v>0</v>
      </c>
      <c r="BB36" s="475"/>
      <c r="BC36" s="474">
        <f>COUNTIF(BD4:BD34,"ל")+COUNTIF(BD4:BD34,"L")+COUNTIF(BD4:BD34,"ל2")</f>
        <v>8</v>
      </c>
      <c r="BD36" s="475"/>
      <c r="BE36" s="474">
        <f>COUNTIF(BF4:BF34,"ל")+COUNTIF(BF4:BF34,"L")+COUNTIF(BF4:BF34,"ל2")</f>
        <v>7</v>
      </c>
      <c r="BF36" s="475"/>
      <c r="BG36" s="474">
        <f>COUNTIF(BH4:BH34,"ל")+COUNTIF(BH4:BH34,"L")+COUNTIF(BH4:BH34,"ל2")</f>
        <v>2</v>
      </c>
      <c r="BH36" s="475"/>
      <c r="BI36" s="474">
        <f>COUNTIF(BJ4:BJ34,"ל")+COUNTIF(BJ4:BJ34,"L")+COUNTIF(BJ4:BJ34,"ל2")</f>
        <v>4</v>
      </c>
      <c r="BJ36" s="475"/>
      <c r="BK36" s="474">
        <f>COUNTIF(BL4:BL34,"ל")+COUNTIF(BL4:BL34,"L")+COUNTIF(BL4:BL34,"ל2")</f>
        <v>7</v>
      </c>
      <c r="BL36" s="475"/>
      <c r="BM36" s="474">
        <f>COUNTIF(BN4:BN34,"ל")+COUNTIF(BN4:BN34,"L")+COUNTIF(BN4:BN34,"ל2")</f>
        <v>5</v>
      </c>
      <c r="BN36" s="475"/>
      <c r="BO36" s="474">
        <f>COUNTIF(BP4:BP34,"ל")+COUNTIF(BP4:BP34,"L")+COUNTIF(BP4:BP34,"ל2")</f>
        <v>7</v>
      </c>
      <c r="BP36" s="475"/>
      <c r="BQ36" s="474">
        <f>COUNTIF(BR4:BR34,"ל")+COUNTIF(BR4:BR34,"L")+COUNTIF(BR4:BR34,"ל2")</f>
        <v>7</v>
      </c>
      <c r="BR36" s="475"/>
      <c r="BS36" s="474">
        <f>COUNTIF(BT4:BT34,"ל")+COUNTIF(BT4:BT34,"L")+COUNTIF(BT4:BT34,"ל2")</f>
        <v>11</v>
      </c>
      <c r="BT36" s="475"/>
      <c r="BU36" s="474">
        <f>COUNTIF(BV4:BV34,"ל")+COUNTIF(BV4:BV34,"L")+COUNTIF(BV4:BV34,"ל2")</f>
        <v>0</v>
      </c>
      <c r="BV36" s="475"/>
      <c r="BW36" s="474">
        <f>COUNTIF(BX4:BX34,"ל")+COUNTIF(BX4:BX34,"L")+COUNTIF(BX4:BX34,"ל2")</f>
        <v>8</v>
      </c>
      <c r="BX36" s="475"/>
      <c r="BY36" s="474">
        <f>COUNTIF(BZ4:BZ34,"ל")+COUNTIF(BZ4:BZ34,"L")+COUNTIF(BZ4:BZ34,"ל2")</f>
        <v>7</v>
      </c>
      <c r="BZ36" s="475"/>
      <c r="CA36" s="476">
        <f>COUNTIF(CB4:CB34,"ל")+COUNTIF(CB4:CB34,"L")+COUNTIF(CB4:CB34,"ל2")</f>
        <v>7</v>
      </c>
      <c r="CB36" s="477"/>
      <c r="CC36" s="471"/>
      <c r="CD36" s="472"/>
      <c r="CE36" s="473"/>
    </row>
    <row r="37" spans="1:89" s="63" customFormat="1" ht="15" customHeight="1" thickBot="1">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W37" s="488">
        <f>(AW35*12)+(AW36*12)+(COUNTIF(AX4:AX34,"ק")*8)+(COUNTIF(AX4:AX34,"ח")*8)+(COUNTIF(AX4:AX34,"מ")*8)+(COUNTIF(AX4:AX34,"מיל")*8)</f>
        <v>192</v>
      </c>
      <c r="AX37" s="487"/>
      <c r="AY37" s="486">
        <f>(AY35*12)+(AY36*12)+(COUNTIF(AZ4:AZ34,"ק")*8)+(COUNTIF(AZ4:AZ34,"ח")*8)+(COUNTIF(AZ4:AZ34,"מ")*8)+(COUNTIF(AZ4:AZ34,"מיל")*8)</f>
        <v>180</v>
      </c>
      <c r="AZ37" s="487"/>
      <c r="BA37" s="486">
        <f>(BA35*12)+(BA36*12)+(COUNTIF(BB4:BB34,"ק")*8)+(COUNTIF(BB4:BB34,"ח")*8)+(COUNTIF(BB4:BB34,"מ")*8)+(COUNTIF(BB4:BB34,"מיל")*8)</f>
        <v>180</v>
      </c>
      <c r="BB37" s="487"/>
      <c r="BC37" s="486">
        <f>(BC35*12)+(BC36*12)+(COUNTIF(BD4:BD34,"ק")*8)+(COUNTIF(BD4:BD34,"ח")*8)+(COUNTIF(BD4:BD34,"מ")*8)+(COUNTIF(BD4:BD34,"מיל")*8)</f>
        <v>212</v>
      </c>
      <c r="BD37" s="487"/>
      <c r="BE37" s="486">
        <f>(BE35*12)+(BE36*12)+(COUNTIF(BF4:BF34,"ק")*8)+(COUNTIF(BF4:BF34,"ח")*8)+(COUNTIF(BF4:BF34,"מ")*8)+(COUNTIF(BF4:BF34,"מיל")*8)</f>
        <v>184</v>
      </c>
      <c r="BF37" s="487"/>
      <c r="BG37" s="486">
        <f>(BG35*12)+(BG36*12)+(COUNTIF(BH4:BH34,"ק")*8)+(COUNTIF(BH4:BH34,"ח")*8)+(COUNTIF(BH4:BH34,"מ")*8)+(COUNTIF(BH4:BH34,"מיל")*8)</f>
        <v>176</v>
      </c>
      <c r="BH37" s="487"/>
      <c r="BI37" s="486">
        <f>(BI35*12)+(BI36*12)+(COUNTIF(BJ4:BJ34,"ק")*8)+(COUNTIF(BJ4:BJ34,"ח")*8)+(COUNTIF(BJ4:BJ34,"מ")*8)+(COUNTIF(BJ4:BJ34,"מיל")*8)</f>
        <v>208</v>
      </c>
      <c r="BJ37" s="487"/>
      <c r="BK37" s="486">
        <f>(BK35*12)+(BK36*12)+(COUNTIF(BL4:BL34,"ק")*8)+(COUNTIF(BL4:BL34,"ח")*8)+(COUNTIF(BL4:BL34,"מ")*8)+(COUNTIF(BL4:BL34,"מיל")*8)</f>
        <v>180</v>
      </c>
      <c r="BL37" s="487"/>
      <c r="BM37" s="486">
        <f>(BM35*12)+(BM36*12)+(COUNTIF(BN4:BN34,"ק")*8)+(COUNTIF(BN4:BN34,"ח")*8)+(COUNTIF(BN4:BN34,"מ")*8)+(COUNTIF(BN4:BN34,"מיל")*8)</f>
        <v>220</v>
      </c>
      <c r="BN37" s="487"/>
      <c r="BO37" s="486">
        <f>(BO35*12)+(BO36*12)+(COUNTIF(BP4:BP34,"ק")*8)+(COUNTIF(BP4:BP34,"ח")*8)+(COUNTIF(BP4:BP34,"מ")*8)+(COUNTIF(BP4:BP34,"מיל")*8)</f>
        <v>168</v>
      </c>
      <c r="BP37" s="487"/>
      <c r="BQ37" s="486">
        <f>(BQ35*12)+(BQ36*12)+(COUNTIF(BR4:BR34,"ק")*8)+(COUNTIF(BR4:BR34,"ח")*8)+(COUNTIF(BR4:BR34,"מ")*8)+(COUNTIF(BR4:BR34,"מיל")*8)</f>
        <v>164</v>
      </c>
      <c r="BR37" s="487"/>
      <c r="BS37" s="486">
        <f>(BS35*12)+(BS36*12)+(COUNTIF(BT4:BT34,"ק")*8)+(COUNTIF(BT4:BT34,"ח")*8)+(COUNTIF(BT4:BT34,"מ")*8)+(COUNTIF(BT4:BT34,"מיל")*8)</f>
        <v>204</v>
      </c>
      <c r="BT37" s="487"/>
      <c r="BU37" s="486">
        <f>(BU35*12)+(BU36*12)+(COUNTIF(BV4:BV34,"ק")*8)+(COUNTIF(BV4:BV34,"ח")*8)+(COUNTIF(BV4:BV34,"מ")*8)+(COUNTIF(BV4:BV34,"מיל")*8)</f>
        <v>0</v>
      </c>
      <c r="BV37" s="487"/>
      <c r="BW37" s="486">
        <f>(BW35*12)+(BW36*12)+(COUNTIF(BX4:BX34,"ק")*8)+(COUNTIF(BX4:BX34,"ח")*8)+(COUNTIF(BX4:BX34,"מ")*8)+(COUNTIF(BX4:BX34,"מיל")*8)</f>
        <v>180</v>
      </c>
      <c r="BX37" s="487"/>
      <c r="BY37" s="486">
        <f>(BY35*12)+(BY36*12)+(COUNTIF(BZ4:BZ34,"ק")*8)+(COUNTIF(BZ4:BZ34,"ח")*8)+(COUNTIF(BZ4:BZ34,"מ")*8)+(COUNTIF(BZ4:BZ34,"מיל")*8)</f>
        <v>164</v>
      </c>
      <c r="BZ37" s="487"/>
      <c r="CA37" s="486">
        <f>(CA35*12)+(CA36*12)+(COUNTIF(CB4:CB34,"ק")*8)+(COUNTIF(CB4:CB34,"ח")*8)+(COUNTIF(CB4:CB34,"מ")*8)+(COUNTIF(CB4:CB34,"מיל")*8)</f>
        <v>180</v>
      </c>
      <c r="CB37" s="496"/>
      <c r="CC37" s="497">
        <v>141.5</v>
      </c>
      <c r="CD37" s="498"/>
      <c r="CE37" s="499"/>
    </row>
    <row r="38" spans="1:89" ht="15" customHeight="1" thickBot="1">
      <c r="AW38" s="500">
        <f>AW37-CC37</f>
        <v>50.5</v>
      </c>
      <c r="AX38" s="491"/>
      <c r="AY38" s="490">
        <f>AY37-CC37</f>
        <v>38.5</v>
      </c>
      <c r="AZ38" s="491"/>
      <c r="BA38" s="490">
        <f>BA37-CC37</f>
        <v>38.5</v>
      </c>
      <c r="BB38" s="491"/>
      <c r="BC38" s="490">
        <f>BC37-CC37</f>
        <v>70.5</v>
      </c>
      <c r="BD38" s="491"/>
      <c r="BE38" s="490">
        <f>BE37-CC37</f>
        <v>42.5</v>
      </c>
      <c r="BF38" s="491"/>
      <c r="BG38" s="490">
        <f>BG37-CC37</f>
        <v>34.5</v>
      </c>
      <c r="BH38" s="491"/>
      <c r="BI38" s="490">
        <f>BI37-CC37</f>
        <v>66.5</v>
      </c>
      <c r="BJ38" s="491"/>
      <c r="BK38" s="490">
        <f>BK37-CC37</f>
        <v>38.5</v>
      </c>
      <c r="BL38" s="491"/>
      <c r="BM38" s="490">
        <f>BM37-CC37</f>
        <v>78.5</v>
      </c>
      <c r="BN38" s="491"/>
      <c r="BO38" s="490">
        <f>BO37-CC37</f>
        <v>26.5</v>
      </c>
      <c r="BP38" s="491"/>
      <c r="BQ38" s="490">
        <f>BQ37-CC37</f>
        <v>22.5</v>
      </c>
      <c r="BR38" s="491"/>
      <c r="BS38" s="490">
        <f>BS37-CC37</f>
        <v>62.5</v>
      </c>
      <c r="BT38" s="491"/>
      <c r="BU38" s="490">
        <f>BU37-CC37</f>
        <v>-141.5</v>
      </c>
      <c r="BV38" s="491"/>
      <c r="BW38" s="490">
        <f>BW37-CC37</f>
        <v>38.5</v>
      </c>
      <c r="BX38" s="491"/>
      <c r="BY38" s="490">
        <f>BY37-CC37</f>
        <v>22.5</v>
      </c>
      <c r="BZ38" s="491"/>
      <c r="CA38" s="492">
        <f>CA37-CC37</f>
        <v>38.5</v>
      </c>
      <c r="CB38" s="493"/>
      <c r="CC38" s="494" t="s">
        <v>222</v>
      </c>
      <c r="CD38" s="494"/>
      <c r="CE38" s="495"/>
    </row>
  </sheetData>
  <customSheetViews>
    <customSheetView guid="{C6961C98-214A-4770-9A2D-B399A95C6C8B}" scale="85">
      <pane ySplit="4" topLeftCell="A5" activePane="bottomLeft" state="frozen"/>
      <selection pane="bottomLeft" activeCell="D5" sqref="D5"/>
      <pageMargins left="0.7" right="0.7" top="0.75" bottom="0.75" header="0.3" footer="0.3"/>
      <pageSetup paperSize="9" orientation="portrait" r:id="rId1"/>
    </customSheetView>
    <customSheetView guid="{A704065A-5B6F-476C-AE5F-F67C013164B0}" scale="80">
      <pane ySplit="4" topLeftCell="A5" activePane="bottomLeft" state="frozen"/>
      <selection pane="bottomLeft" activeCell="P18" sqref="P18"/>
      <pageMargins left="0.7" right="0.7" top="0.75" bottom="0.75" header="0.3" footer="0.3"/>
      <pageSetup paperSize="9" orientation="portrait" r:id="rId2"/>
    </customSheetView>
    <customSheetView guid="{319CE2B6-D20C-48B8-B7D9-15D19162A7CD}" scale="85">
      <pane ySplit="4" topLeftCell="A5" activePane="bottomLeft" state="frozen"/>
      <selection pane="bottomLeft" activeCell="D5" sqref="D5"/>
      <pageMargins left="0.7" right="0.7" top="0.75" bottom="0.75" header="0.3" footer="0.3"/>
      <pageSetup paperSize="9" orientation="portrait" r:id="rId3"/>
    </customSheetView>
    <customSheetView guid="{C5360886-767B-4F33-B24F-A6512AA390CC}" scale="90" topLeftCell="AO1">
      <pane ySplit="4" topLeftCell="A5" activePane="bottomLeft" state="frozen"/>
      <selection pane="bottomLeft" activeCell="BQ41" sqref="BQ41"/>
      <pageMargins left="0.7" right="0.7" top="0.75" bottom="0.75" header="0.3" footer="0.3"/>
      <pageSetup paperSize="9" orientation="portrait" r:id="rId4"/>
    </customSheetView>
    <customSheetView guid="{9C777CA9-4E1C-4A90-9032-5D0586052FC8}" scale="80">
      <pane ySplit="4" topLeftCell="A5" activePane="bottomLeft" state="frozen"/>
      <selection pane="bottomLeft" activeCell="V36" sqref="V36"/>
      <pageMargins left="0.7" right="0.7" top="0.75" bottom="0.75" header="0.3" footer="0.3"/>
      <pageSetup paperSize="9" orientation="portrait" r:id="rId5"/>
    </customSheetView>
    <customSheetView guid="{FEBD343F-EB1E-4B3A-B093-25A74DB60DAB}" scale="80" topLeftCell="J1">
      <selection activeCell="AN34" sqref="AN34"/>
      <pageMargins left="0.7" right="0.7" top="0.75" bottom="0.75" header="0.3" footer="0.3"/>
      <pageSetup paperSize="9" orientation="portrait" r:id="rId6"/>
    </customSheetView>
    <customSheetView guid="{1D39CB39-D8E6-4DA4-ABBA-40E2E6F11928}" scale="80">
      <pane ySplit="3" topLeftCell="A5" activePane="bottomLeft" state="frozen"/>
      <selection pane="bottomLeft" activeCell="P42" sqref="P42"/>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D5" sqref="D5"/>
      <pageMargins left="0.7" right="0.7" top="0.75" bottom="0.75" header="0.3" footer="0.3"/>
      <pageSetup paperSize="9" orientation="portrait" r:id="rId8"/>
    </customSheetView>
    <customSheetView guid="{03543009-41DE-4C7D-B8BE-69526021AF29}" scale="80">
      <pane ySplit="4" topLeftCell="A5" activePane="bottomLeft" state="frozen"/>
      <selection pane="bottomLeft" activeCell="D5" sqref="D5"/>
      <pageMargins left="0.7" right="0.7" top="0.75" bottom="0.75" header="0.3" footer="0.3"/>
      <pageSetup paperSize="9" orientation="portrait" r:id="rId9"/>
    </customSheetView>
    <customSheetView guid="{03CD1AFD-FDA7-4904-966E-FB90CD2C490F}" scale="80">
      <pane ySplit="2" topLeftCell="A4" activePane="bottomLeft" state="frozen"/>
      <selection pane="bottomLeft" activeCell="AA15" sqref="AA15"/>
      <pageMargins left="0.7" right="0.7" top="0.75" bottom="0.75" header="0.3" footer="0.3"/>
      <pageSetup paperSize="9" orientation="portrait" r:id="rId10"/>
    </customSheetView>
  </customSheetViews>
  <mergeCells count="233">
    <mergeCell ref="AT36:AV36"/>
    <mergeCell ref="C5:C8"/>
    <mergeCell ref="C9:C15"/>
    <mergeCell ref="C16:C22"/>
    <mergeCell ref="C23:C29"/>
    <mergeCell ref="C30:C34"/>
    <mergeCell ref="AV5:AV8"/>
    <mergeCell ref="AV9:AV15"/>
    <mergeCell ref="AV16:AV22"/>
    <mergeCell ref="AV23:AV29"/>
    <mergeCell ref="AV30:AV34"/>
    <mergeCell ref="AP14:AQ14"/>
    <mergeCell ref="BY38:BZ38"/>
    <mergeCell ref="CA38:CB38"/>
    <mergeCell ref="CC38:CE38"/>
    <mergeCell ref="BQ38:BR38"/>
    <mergeCell ref="BS38:BT38"/>
    <mergeCell ref="BU38:BV38"/>
    <mergeCell ref="BW38:BX38"/>
    <mergeCell ref="CA37:CB37"/>
    <mergeCell ref="CC37:CE37"/>
    <mergeCell ref="BQ37:BR37"/>
    <mergeCell ref="BS37:BT37"/>
    <mergeCell ref="BU37:BV37"/>
    <mergeCell ref="BW37:BX37"/>
    <mergeCell ref="BY37:BZ37"/>
    <mergeCell ref="BM38:BN38"/>
    <mergeCell ref="BO38:BP38"/>
    <mergeCell ref="AW38:AX38"/>
    <mergeCell ref="AY38:AZ38"/>
    <mergeCell ref="BA38:BB38"/>
    <mergeCell ref="BC38:BD38"/>
    <mergeCell ref="BE38:BF38"/>
    <mergeCell ref="BG38:BH38"/>
    <mergeCell ref="BI38:BJ38"/>
    <mergeCell ref="BK38:BL38"/>
    <mergeCell ref="BO37:BP37"/>
    <mergeCell ref="AW37:AX37"/>
    <mergeCell ref="AY37:AZ37"/>
    <mergeCell ref="BA37:BB37"/>
    <mergeCell ref="BC37:BD37"/>
    <mergeCell ref="BE37:BF37"/>
    <mergeCell ref="BG37:BH37"/>
    <mergeCell ref="BO36:BP36"/>
    <mergeCell ref="BQ36:BR36"/>
    <mergeCell ref="AW36:AX36"/>
    <mergeCell ref="AY36:AZ36"/>
    <mergeCell ref="BA36:BB36"/>
    <mergeCell ref="BC36:BD36"/>
    <mergeCell ref="BE36:BF36"/>
    <mergeCell ref="BI37:BJ37"/>
    <mergeCell ref="BK37:BL37"/>
    <mergeCell ref="BM37:BN37"/>
    <mergeCell ref="BG36:BH36"/>
    <mergeCell ref="BI36:BJ36"/>
    <mergeCell ref="BK36:BL36"/>
    <mergeCell ref="BM36:BN36"/>
    <mergeCell ref="BG35:BH35"/>
    <mergeCell ref="BI35:BJ35"/>
    <mergeCell ref="BK35:BL35"/>
    <mergeCell ref="BM35:BN35"/>
    <mergeCell ref="BO35:BP35"/>
    <mergeCell ref="BQ35:BR35"/>
    <mergeCell ref="AT35:AV35"/>
    <mergeCell ref="AW35:AX35"/>
    <mergeCell ref="AY35:AZ35"/>
    <mergeCell ref="BA35:BB35"/>
    <mergeCell ref="BC35:BD35"/>
    <mergeCell ref="BE35:BF35"/>
    <mergeCell ref="BU35:BV35"/>
    <mergeCell ref="BW35:BX35"/>
    <mergeCell ref="BY35:BZ35"/>
    <mergeCell ref="CA35:CB35"/>
    <mergeCell ref="CC35:CE36"/>
    <mergeCell ref="BS36:BT36"/>
    <mergeCell ref="BU36:BV36"/>
    <mergeCell ref="BW36:BX36"/>
    <mergeCell ref="BY36:BZ36"/>
    <mergeCell ref="CA36:CB36"/>
    <mergeCell ref="BS35:BT35"/>
    <mergeCell ref="CJ31:CK31"/>
    <mergeCell ref="AP32:AQ32"/>
    <mergeCell ref="CJ32:CK32"/>
    <mergeCell ref="AP33:AQ33"/>
    <mergeCell ref="CJ33:CK33"/>
    <mergeCell ref="AP34:AQ34"/>
    <mergeCell ref="CJ34:CK34"/>
    <mergeCell ref="AP26:AQ26"/>
    <mergeCell ref="CJ26:CK26"/>
    <mergeCell ref="CJ27:CK27"/>
    <mergeCell ref="CJ28:CK28"/>
    <mergeCell ref="CJ29:CK29"/>
    <mergeCell ref="CJ30:CK30"/>
    <mergeCell ref="AP31:AQ31"/>
    <mergeCell ref="CE23:CE29"/>
    <mergeCell ref="CE30:CE34"/>
    <mergeCell ref="AP24:AQ24"/>
    <mergeCell ref="AP27:AQ27"/>
    <mergeCell ref="AP28:AQ28"/>
    <mergeCell ref="AP29:AQ29"/>
    <mergeCell ref="AP30:AQ30"/>
    <mergeCell ref="CJ21:CK21"/>
    <mergeCell ref="CJ22:CK22"/>
    <mergeCell ref="AP23:AQ23"/>
    <mergeCell ref="CJ23:CK23"/>
    <mergeCell ref="CJ24:CK24"/>
    <mergeCell ref="AP25:AQ25"/>
    <mergeCell ref="CJ25:CK25"/>
    <mergeCell ref="AP18:AQ18"/>
    <mergeCell ref="CJ18:CK18"/>
    <mergeCell ref="AP19:AQ19"/>
    <mergeCell ref="CJ19:CK19"/>
    <mergeCell ref="AP20:AQ20"/>
    <mergeCell ref="CJ20:CK20"/>
    <mergeCell ref="AP21:AQ21"/>
    <mergeCell ref="CE16:CE22"/>
    <mergeCell ref="AP16:AQ16"/>
    <mergeCell ref="AP22:AQ22"/>
    <mergeCell ref="CJ14:CK14"/>
    <mergeCell ref="CJ15:CK15"/>
    <mergeCell ref="CJ16:CK16"/>
    <mergeCell ref="AP17:AQ17"/>
    <mergeCell ref="CJ17:CK17"/>
    <mergeCell ref="CJ10:CK10"/>
    <mergeCell ref="AP11:AQ11"/>
    <mergeCell ref="CJ11:CK11"/>
    <mergeCell ref="AP12:AQ12"/>
    <mergeCell ref="CJ12:CK12"/>
    <mergeCell ref="AP13:AQ13"/>
    <mergeCell ref="CJ13:CK13"/>
    <mergeCell ref="CE9:CE15"/>
    <mergeCell ref="AP15:AQ15"/>
    <mergeCell ref="CJ5:CK5"/>
    <mergeCell ref="AP6:AQ6"/>
    <mergeCell ref="CJ6:CK6"/>
    <mergeCell ref="AP7:AQ7"/>
    <mergeCell ref="CJ7:CK7"/>
    <mergeCell ref="AP8:AQ8"/>
    <mergeCell ref="CJ8:CK8"/>
    <mergeCell ref="AP9:AQ9"/>
    <mergeCell ref="CJ9:CK9"/>
    <mergeCell ref="CE5:CE8"/>
    <mergeCell ref="BS4:BT4"/>
    <mergeCell ref="BU4:BV4"/>
    <mergeCell ref="BW4:BX4"/>
    <mergeCell ref="BY4:BZ4"/>
    <mergeCell ref="CA4:CB4"/>
    <mergeCell ref="AP5:AQ5"/>
    <mergeCell ref="AP10:AQ10"/>
    <mergeCell ref="BG4:BH4"/>
    <mergeCell ref="BI4:BJ4"/>
    <mergeCell ref="BK4:BL4"/>
    <mergeCell ref="BM4:BN4"/>
    <mergeCell ref="BO4:BP4"/>
    <mergeCell ref="BQ4:BR4"/>
    <mergeCell ref="D4:E4"/>
    <mergeCell ref="F4:G4"/>
    <mergeCell ref="H4:I4"/>
    <mergeCell ref="J4:K4"/>
    <mergeCell ref="L4:M4"/>
    <mergeCell ref="AN4:AO4"/>
    <mergeCell ref="AW4:AX4"/>
    <mergeCell ref="AY4:AZ4"/>
    <mergeCell ref="Z4:AA4"/>
    <mergeCell ref="AB4:AC4"/>
    <mergeCell ref="AF4:AG4"/>
    <mergeCell ref="AH4:AI4"/>
    <mergeCell ref="AJ4:AK4"/>
    <mergeCell ref="AL4:AM4"/>
    <mergeCell ref="BE3:BF3"/>
    <mergeCell ref="BG3:BH3"/>
    <mergeCell ref="BI3:BJ3"/>
    <mergeCell ref="BK3:BL3"/>
    <mergeCell ref="BM3:BN3"/>
    <mergeCell ref="BO3:BP3"/>
    <mergeCell ref="N4:O4"/>
    <mergeCell ref="P4:Q4"/>
    <mergeCell ref="R4:S4"/>
    <mergeCell ref="T4:U4"/>
    <mergeCell ref="V4:W4"/>
    <mergeCell ref="X4:Y4"/>
    <mergeCell ref="BA4:BB4"/>
    <mergeCell ref="BC4:BD4"/>
    <mergeCell ref="BE4:BF4"/>
    <mergeCell ref="AD4:AE4"/>
    <mergeCell ref="CF2:CG3"/>
    <mergeCell ref="CH2:CI3"/>
    <mergeCell ref="CJ2:CK4"/>
    <mergeCell ref="AD3:AE3"/>
    <mergeCell ref="D3:E3"/>
    <mergeCell ref="F3:G3"/>
    <mergeCell ref="H3:I3"/>
    <mergeCell ref="J3:K3"/>
    <mergeCell ref="L3:M3"/>
    <mergeCell ref="N3:O3"/>
    <mergeCell ref="AP2:AQ4"/>
    <mergeCell ref="AR2:AS3"/>
    <mergeCell ref="AW2:BD2"/>
    <mergeCell ref="BE2:BL2"/>
    <mergeCell ref="BM2:BT2"/>
    <mergeCell ref="BU2:CB2"/>
    <mergeCell ref="AW3:AX3"/>
    <mergeCell ref="AY3:AZ3"/>
    <mergeCell ref="BA3:BB3"/>
    <mergeCell ref="BC3:BD3"/>
    <mergeCell ref="AB3:AC3"/>
    <mergeCell ref="AF3:AG3"/>
    <mergeCell ref="AH3:AI3"/>
    <mergeCell ref="AJ3:AK3"/>
    <mergeCell ref="A1:C4"/>
    <mergeCell ref="D1:AS1"/>
    <mergeCell ref="AT1:AV4"/>
    <mergeCell ref="AW1:CB1"/>
    <mergeCell ref="CC1:CE4"/>
    <mergeCell ref="D2:W2"/>
    <mergeCell ref="X2:Y2"/>
    <mergeCell ref="Z2:AA2"/>
    <mergeCell ref="AF2:AG2"/>
    <mergeCell ref="AH2:AO2"/>
    <mergeCell ref="AL3:AM3"/>
    <mergeCell ref="AN3:AO3"/>
    <mergeCell ref="P3:Q3"/>
    <mergeCell ref="R3:S3"/>
    <mergeCell ref="T3:U3"/>
    <mergeCell ref="V3:W3"/>
    <mergeCell ref="X3:Y3"/>
    <mergeCell ref="Z3:AA3"/>
    <mergeCell ref="BQ3:BR3"/>
    <mergeCell ref="BS3:BT3"/>
    <mergeCell ref="BU3:BV3"/>
    <mergeCell ref="BW3:BX3"/>
    <mergeCell ref="BY3:BZ3"/>
    <mergeCell ref="CA3:CB3"/>
  </mergeCells>
  <phoneticPr fontId="27" type="noConversion"/>
  <conditionalFormatting sqref="A1:C4 X2:AH2 AP2 AR2 D3:N3 AD3:AE24 D4:Q4 C5 D5:X13 A5:B34 D14:P15 R14:X15 D16:X19 AI18:AP18 AH19:AH20 AJ19:AO20 D20:V20 X20 D21:X34 AG22:AH22 AJ22:AO22 AH23:AO23 AI24:AL24 AN24:AP24 AD25 AI25:AP25 AH26:AP31 AD26:AE34 AH32:AQ32 AH33:AS34">
    <cfRule type="cellIs" dxfId="7706" priority="1003" operator="equal">
      <formula>"מנוחה"</formula>
    </cfRule>
    <cfRule type="cellIs" dxfId="7705" priority="1006" operator="equal">
      <formula>"כש"</formula>
    </cfRule>
    <cfRule type="cellIs" dxfId="7704" priority="1004" operator="equal">
      <formula>"מיל"</formula>
    </cfRule>
    <cfRule type="cellIs" dxfId="7703" priority="1002" operator="equal">
      <formula>"מ"</formula>
    </cfRule>
    <cfRule type="cellIs" dxfId="7702" priority="1007" operator="equal">
      <formula>"כ"</formula>
    </cfRule>
    <cfRule type="cellIs" dxfId="7701" priority="1001" operator="equal">
      <formula>"ק"</formula>
    </cfRule>
    <cfRule type="cellIs" dxfId="7700" priority="1000" operator="equal">
      <formula>"כמ"</formula>
    </cfRule>
    <cfRule type="cellIs" dxfId="7699" priority="999" operator="equal">
      <formula>"כמש"</formula>
    </cfRule>
    <cfRule type="cellIs" dxfId="7698" priority="997" operator="equal">
      <formula>"י"</formula>
    </cfRule>
    <cfRule type="cellIs" dxfId="7697" priority="996" operator="equal">
      <formula>"ל"</formula>
    </cfRule>
  </conditionalFormatting>
  <conditionalFormatting sqref="D3:N3 AD3:AE4 D4:S4">
    <cfRule type="cellIs" dxfId="7696" priority="737" operator="equal">
      <formula>"ח"</formula>
    </cfRule>
  </conditionalFormatting>
  <conditionalFormatting sqref="P3:Q3">
    <cfRule type="cellIs" dxfId="7695" priority="733" operator="equal">
      <formula>"ק"</formula>
    </cfRule>
    <cfRule type="cellIs" dxfId="7694" priority="731" operator="equal">
      <formula>"כמש"</formula>
    </cfRule>
    <cfRule type="cellIs" dxfId="7693" priority="734" operator="equal">
      <formula>"מ"</formula>
    </cfRule>
    <cfRule type="cellIs" dxfId="7692" priority="735" operator="equal">
      <formula>"מנוחה"</formula>
    </cfRule>
    <cfRule type="cellIs" dxfId="7691" priority="736" operator="equal">
      <formula>"מיל"</formula>
    </cfRule>
    <cfRule type="cellIs" dxfId="7690" priority="732" operator="equal">
      <formula>"כמ"</formula>
    </cfRule>
    <cfRule type="cellIs" dxfId="7689" priority="738" operator="equal">
      <formula>"כש"</formula>
    </cfRule>
    <cfRule type="cellIs" dxfId="7688" priority="739" operator="equal">
      <formula>"כ"</formula>
    </cfRule>
    <cfRule type="cellIs" dxfId="7687" priority="730" operator="equal">
      <formula>"י"</formula>
    </cfRule>
    <cfRule type="cellIs" dxfId="7686" priority="729" operator="equal">
      <formula>"ל"</formula>
    </cfRule>
  </conditionalFormatting>
  <conditionalFormatting sqref="P3:W3">
    <cfRule type="cellIs" dxfId="7685" priority="704" operator="equal">
      <formula>"ח"</formula>
    </cfRule>
  </conditionalFormatting>
  <conditionalFormatting sqref="R3:AO4">
    <cfRule type="cellIs" dxfId="7684" priority="609" operator="equal">
      <formula>"י"</formula>
    </cfRule>
    <cfRule type="cellIs" dxfId="7683" priority="614" operator="equal">
      <formula>"מנוחה"</formula>
    </cfRule>
    <cfRule type="cellIs" dxfId="7682" priority="618" operator="equal">
      <formula>"כ"</formula>
    </cfRule>
    <cfRule type="cellIs" dxfId="7681" priority="617" operator="equal">
      <formula>"כש"</formula>
    </cfRule>
    <cfRule type="cellIs" dxfId="7680" priority="615" operator="equal">
      <formula>"מיל"</formula>
    </cfRule>
    <cfRule type="cellIs" dxfId="7679" priority="613" operator="equal">
      <formula>"מ"</formula>
    </cfRule>
    <cfRule type="cellIs" dxfId="7678" priority="612" operator="equal">
      <formula>"ק"</formula>
    </cfRule>
    <cfRule type="cellIs" dxfId="7677" priority="611" operator="equal">
      <formula>"כמ"</formula>
    </cfRule>
    <cfRule type="cellIs" dxfId="7676" priority="610" operator="equal">
      <formula>"כמש"</formula>
    </cfRule>
    <cfRule type="cellIs" dxfId="7675" priority="608" operator="equal">
      <formula>"ל"</formula>
    </cfRule>
  </conditionalFormatting>
  <conditionalFormatting sqref="T4:W4">
    <cfRule type="cellIs" dxfId="7674" priority="638" operator="equal">
      <formula>"ח"</formula>
    </cfRule>
  </conditionalFormatting>
  <conditionalFormatting sqref="X4:Y4">
    <cfRule type="cellIs" dxfId="7673" priority="748" operator="equal">
      <formula>"ח"</formula>
    </cfRule>
  </conditionalFormatting>
  <conditionalFormatting sqref="X3:AO3 Z4:AK4 A1:C4 X2:AH2 AP2 AR2 AR4:AS13 C5 BG5 BI5 BK5 BU5 BO5:BO6 BQ5:BQ6 BS5:BS6 D5:X13 BM5:BM13 AH5:AO17 AD5:AE24 A5:B34 AW5:AW34 BE5:BE34 BU6:BW7 BY6:BY7 CA6:CA7 AY7:AY8 BA7:BA8 BC7:BC8 BG8:BG9 BI8:BI9 BK8:BK9 BU8:BU9 BO9:BO10 BQ9:BQ10 BS9:BS10 BU10:BW11 BY10:BY11 CA10:CA11 AY11:AY12 BA11:BA12 BC11:BC12 BG12:BG13 BI12:BI13 BK12:BK13 BU12:BU13 AP13 BO13 BQ13:BQ14 BS13:BS14 BM14:BO14 D14:P15 R14:X15 BU14:BW15 BY14:BY15 CA14:CA15 AY15:AY16 BA15:BA16 BC15:BC16 BM15:BM20 BG16:BG17 BI16:BI17 BK16:BK17 BU16:BU17 D16:X19 BO17:BO18 BQ17:BQ18 BS17:BS18 AI18:AP18 BU18:BW19 BY18:BY19 CA18:CA19 AR18:AS32 AH19:AH20 AJ19:AO20 AY19:AY20 BA19:BA20 BC19:BC20 D20:V20 X20 BG20:BG21 BI20:BI21 BK20:BK21 BU20:BU21 BM21:BO22 BQ21:BQ22 BS21:BS22 D21:X34 AG22:AH22 AJ22:AO22 BU22:BW23 BY22:BY23 CA22:CA23 AH23:AO23 AY23:AY24 BA23:BA24 BC23:BC24 BM23:BM24 AI24:AL24 AN24:AP24 BG24:BG25 BI24:BI25 BK24:BK25 BU24:BU25 AD25 AI25:AP25 BM25:BO26 BQ25:BQ26 BS25:BS26 BU26:BW27 BY26:BY27 CA26:CA27 AH26:AP31 AD26:AE34 AY27:AY28 BA27:BA28 BC27:BC28 BM27:BM28 BG28:BG29 BI28:BI29 BK28:BK29 BU28:BU29 BM29:BO30 BQ29:BQ30 BS29:BS30 BU30:BW31 BY30:BY31 CA30:CA31 AY31:AY32 BA31:BA32 BC31:BC32 BM31:BM32 AH32:AQ32 BG32:BG33 BI32:BI33 BK32:BK33 BU32:BU33 AH33:AS34 BM33:BO34 BQ33:BQ34 BS33:BS34 BU34:BW34 BY34 CA34">
    <cfRule type="cellIs" dxfId="7672" priority="1005" operator="equal">
      <formula>"ח"</formula>
    </cfRule>
  </conditionalFormatting>
  <conditionalFormatting sqref="Y5:AG20 Y21:AF21 AH21:AO21 Y22:AG34">
    <cfRule type="cellIs" dxfId="7671" priority="546" operator="equal">
      <formula>"ק"</formula>
    </cfRule>
    <cfRule type="cellIs" dxfId="7670" priority="547" operator="equal">
      <formula>"מ"</formula>
    </cfRule>
    <cfRule type="cellIs" dxfId="7669" priority="548" operator="equal">
      <formula>"מנוחה"</formula>
    </cfRule>
    <cfRule type="cellIs" dxfId="7668" priority="549" operator="equal">
      <formula>"מיל"</formula>
    </cfRule>
    <cfRule type="cellIs" dxfId="7667" priority="550" operator="equal">
      <formula>"ח"</formula>
    </cfRule>
    <cfRule type="cellIs" dxfId="7666" priority="551" operator="equal">
      <formula>"כש"</formula>
    </cfRule>
    <cfRule type="cellIs" dxfId="7665" priority="544" operator="equal">
      <formula>"כמש"</formula>
    </cfRule>
    <cfRule type="cellIs" dxfId="7664" priority="552" operator="equal">
      <formula>"כ"</formula>
    </cfRule>
    <cfRule type="cellIs" dxfId="7663" priority="543" operator="equal">
      <formula>"י"</formula>
    </cfRule>
    <cfRule type="cellIs" dxfId="7662" priority="542" operator="equal">
      <formula>"ל"</formula>
    </cfRule>
    <cfRule type="cellIs" dxfId="7661" priority="545" operator="equal">
      <formula>"כמ"</formula>
    </cfRule>
  </conditionalFormatting>
  <conditionalFormatting sqref="AH17:AQ17 AP19:AQ23">
    <cfRule type="cellIs" dxfId="7660" priority="973" operator="equal">
      <formula>"ל"</formula>
    </cfRule>
    <cfRule type="cellIs" dxfId="7659" priority="976" operator="equal">
      <formula>"כמ"</formula>
    </cfRule>
    <cfRule type="cellIs" dxfId="7658" priority="983" operator="equal">
      <formula>"כ"</formula>
    </cfRule>
    <cfRule type="cellIs" dxfId="7657" priority="982" operator="equal">
      <formula>"כש"</formula>
    </cfRule>
    <cfRule type="cellIs" dxfId="7656" priority="980" operator="equal">
      <formula>"מיל"</formula>
    </cfRule>
    <cfRule type="cellIs" dxfId="7655" priority="979" operator="equal">
      <formula>"מנוחה"</formula>
    </cfRule>
    <cfRule type="cellIs" dxfId="7654" priority="978" operator="equal">
      <formula>"מ"</formula>
    </cfRule>
    <cfRule type="cellIs" dxfId="7653" priority="977" operator="equal">
      <formula>"ק"</formula>
    </cfRule>
    <cfRule type="cellIs" dxfId="7652" priority="975" operator="equal">
      <formula>"כמש"</formula>
    </cfRule>
    <cfRule type="cellIs" dxfId="7651" priority="974" operator="equal">
      <formula>"י"</formula>
    </cfRule>
  </conditionalFormatting>
  <conditionalFormatting sqref="AL4:AO4">
    <cfRule type="cellIs" dxfId="7650" priority="616" operator="equal">
      <formula>"ח"</formula>
    </cfRule>
  </conditionalFormatting>
  <conditionalFormatting sqref="AP5">
    <cfRule type="cellIs" dxfId="7649" priority="540" operator="equal">
      <formula>"כש"</formula>
    </cfRule>
    <cfRule type="cellIs" dxfId="7648" priority="539" operator="equal">
      <formula>"ח"</formula>
    </cfRule>
    <cfRule type="cellIs" dxfId="7647" priority="531" operator="equal">
      <formula>"ל"</formula>
    </cfRule>
    <cfRule type="cellIs" dxfId="7646" priority="532" operator="equal">
      <formula>"י"</formula>
    </cfRule>
    <cfRule type="cellIs" dxfId="7645" priority="533" operator="equal">
      <formula>"כמש"</formula>
    </cfRule>
    <cfRule type="cellIs" dxfId="7644" priority="534" operator="equal">
      <formula>"כמ"</formula>
    </cfRule>
    <cfRule type="cellIs" dxfId="7643" priority="535" operator="equal">
      <formula>"ק"</formula>
    </cfRule>
    <cfRule type="cellIs" dxfId="7642" priority="536" operator="equal">
      <formula>"מ"</formula>
    </cfRule>
    <cfRule type="cellIs" dxfId="7641" priority="537" operator="equal">
      <formula>"מנוחה"</formula>
    </cfRule>
    <cfRule type="cellIs" dxfId="7640" priority="538" operator="equal">
      <formula>"מיל"</formula>
    </cfRule>
    <cfRule type="cellIs" dxfId="7639" priority="541" operator="equal">
      <formula>"כ"</formula>
    </cfRule>
  </conditionalFormatting>
  <conditionalFormatting sqref="AP6:AQ12">
    <cfRule type="cellIs" dxfId="7638" priority="525" operator="equal">
      <formula>"מ"</formula>
    </cfRule>
    <cfRule type="cellIs" dxfId="7637" priority="526" operator="equal">
      <formula>"מנוחה"</formula>
    </cfRule>
    <cfRule type="cellIs" dxfId="7636" priority="527" operator="equal">
      <formula>"מיל"</formula>
    </cfRule>
    <cfRule type="cellIs" dxfId="7635" priority="528" operator="equal">
      <formula>"ח"</formula>
    </cfRule>
    <cfRule type="cellIs" dxfId="7634" priority="520" operator="equal">
      <formula>"ל"</formula>
    </cfRule>
    <cfRule type="cellIs" dxfId="7633" priority="521" operator="equal">
      <formula>"י"</formula>
    </cfRule>
    <cfRule type="cellIs" dxfId="7632" priority="522" operator="equal">
      <formula>"כמש"</formula>
    </cfRule>
    <cfRule type="cellIs" dxfId="7631" priority="529" operator="equal">
      <formula>"כש"</formula>
    </cfRule>
    <cfRule type="cellIs" dxfId="7630" priority="530" operator="equal">
      <formula>"כ"</formula>
    </cfRule>
    <cfRule type="cellIs" dxfId="7629" priority="524" operator="equal">
      <formula>"ק"</formula>
    </cfRule>
    <cfRule type="cellIs" dxfId="7628" priority="523" operator="equal">
      <formula>"כמ"</formula>
    </cfRule>
  </conditionalFormatting>
  <conditionalFormatting sqref="AP17:AQ17 AP19:AQ23">
    <cfRule type="cellIs" dxfId="7627" priority="981" operator="equal">
      <formula>"ח"</formula>
    </cfRule>
  </conditionalFormatting>
  <conditionalFormatting sqref="AT1 CC1 AP14:AP16 AR14:AS17">
    <cfRule type="cellIs" dxfId="7626" priority="993" operator="equal">
      <formula>"ח"</formula>
    </cfRule>
  </conditionalFormatting>
  <conditionalFormatting sqref="AT1 CC1 AR4:AS32 AH5:AO12 AH13:AP16">
    <cfRule type="cellIs" dxfId="7625" priority="987" operator="equal">
      <formula>"כמש"</formula>
    </cfRule>
    <cfRule type="cellIs" dxfId="7624" priority="994" operator="equal">
      <formula>"כש"</formula>
    </cfRule>
    <cfRule type="cellIs" dxfId="7623" priority="985" operator="equal">
      <formula>"י"</formula>
    </cfRule>
    <cfRule type="cellIs" dxfId="7622" priority="984" operator="equal">
      <formula>"ל"</formula>
    </cfRule>
    <cfRule type="cellIs" dxfId="7621" priority="988" operator="equal">
      <formula>"כמ"</formula>
    </cfRule>
    <cfRule type="cellIs" dxfId="7620" priority="989" operator="equal">
      <formula>"ק"</formula>
    </cfRule>
    <cfRule type="cellIs" dxfId="7619" priority="991" operator="equal">
      <formula>"מנוחה"</formula>
    </cfRule>
    <cfRule type="cellIs" dxfId="7618" priority="990" operator="equal">
      <formula>"מ"</formula>
    </cfRule>
    <cfRule type="cellIs" dxfId="7617" priority="992" operator="equal">
      <formula>"מיל"</formula>
    </cfRule>
    <cfRule type="cellIs" dxfId="7616" priority="995" operator="equal">
      <formula>"כ"</formula>
    </cfRule>
  </conditionalFormatting>
  <conditionalFormatting sqref="AV5 AT5:AU34">
    <cfRule type="cellIs" dxfId="7615" priority="585" operator="equal">
      <formula>"כ"</formula>
    </cfRule>
    <cfRule type="cellIs" dxfId="7614" priority="578" operator="equal">
      <formula>"כמ"</formula>
    </cfRule>
    <cfRule type="cellIs" dxfId="7613" priority="579" operator="equal">
      <formula>"ק"</formula>
    </cfRule>
    <cfRule type="cellIs" dxfId="7612" priority="576" operator="equal">
      <formula>"י"</formula>
    </cfRule>
    <cfRule type="cellIs" dxfId="7611" priority="577" operator="equal">
      <formula>"כמש"</formula>
    </cfRule>
    <cfRule type="cellIs" dxfId="7610" priority="575" operator="equal">
      <formula>"ל"</formula>
    </cfRule>
    <cfRule type="cellIs" dxfId="7609" priority="583" operator="equal">
      <formula>"ח"</formula>
    </cfRule>
    <cfRule type="cellIs" dxfId="7608" priority="580" operator="equal">
      <formula>"מ"</formula>
    </cfRule>
    <cfRule type="cellIs" dxfId="7607" priority="581" operator="equal">
      <formula>"מנוחה"</formula>
    </cfRule>
    <cfRule type="cellIs" dxfId="7606" priority="582" operator="equal">
      <formula>"מיל"</formula>
    </cfRule>
    <cfRule type="cellIs" dxfId="7605" priority="584" operator="equal">
      <formula>"כש"</formula>
    </cfRule>
  </conditionalFormatting>
  <conditionalFormatting sqref="AW38 AY38 BA38 BC38 BE38 BG38 BI38 BK38 BM38 BO38 BQ38 BS38 BU38 BW38 BY38 CA38:CB38">
    <cfRule type="cellIs" dxfId="7604" priority="751" operator="lessThan">
      <formula>$CE$38</formula>
    </cfRule>
    <cfRule type="cellIs" dxfId="7603" priority="752" operator="greaterThan">
      <formula>$CE$38</formula>
    </cfRule>
  </conditionalFormatting>
  <conditionalFormatting sqref="AW5:BD6">
    <cfRule type="cellIs" dxfId="7602" priority="515" operator="equal">
      <formula>"כ"</formula>
    </cfRule>
    <cfRule type="cellIs" dxfId="7601" priority="509" operator="equal">
      <formula>"כמ"</formula>
    </cfRule>
    <cfRule type="cellIs" dxfId="7600" priority="506" operator="equal">
      <formula>"ל"</formula>
    </cfRule>
    <cfRule type="cellIs" dxfId="7599" priority="507" operator="equal">
      <formula>"י"</formula>
    </cfRule>
    <cfRule type="cellIs" dxfId="7598" priority="508" operator="equal">
      <formula>"כמש"</formula>
    </cfRule>
    <cfRule type="cellIs" dxfId="7597" priority="510" operator="equal">
      <formula>"ק"</formula>
    </cfRule>
    <cfRule type="cellIs" dxfId="7596" priority="511" operator="equal">
      <formula>"מ"</formula>
    </cfRule>
    <cfRule type="cellIs" dxfId="7595" priority="512" operator="equal">
      <formula>"מנוחה"</formula>
    </cfRule>
    <cfRule type="cellIs" dxfId="7594" priority="513" operator="equal">
      <formula>"מיל"</formula>
    </cfRule>
    <cfRule type="cellIs" dxfId="7593" priority="514" operator="equal">
      <formula>"כש"</formula>
    </cfRule>
  </conditionalFormatting>
  <conditionalFormatting sqref="AW9:BD10">
    <cfRule type="cellIs" dxfId="7592" priority="492" operator="equal">
      <formula>"י"</formula>
    </cfRule>
    <cfRule type="cellIs" dxfId="7591" priority="494" operator="equal">
      <formula>"כמ"</formula>
    </cfRule>
    <cfRule type="cellIs" dxfId="7590" priority="493" operator="equal">
      <formula>"כמש"</formula>
    </cfRule>
    <cfRule type="cellIs" dxfId="7589" priority="498" operator="equal">
      <formula>"מיל"</formula>
    </cfRule>
    <cfRule type="cellIs" dxfId="7588" priority="491" operator="equal">
      <formula>"ל"</formula>
    </cfRule>
    <cfRule type="cellIs" dxfId="7587" priority="500" operator="equal">
      <formula>"כ"</formula>
    </cfRule>
    <cfRule type="cellIs" dxfId="7586" priority="499" operator="equal">
      <formula>"כש"</formula>
    </cfRule>
    <cfRule type="cellIs" dxfId="7585" priority="497" operator="equal">
      <formula>"מנוחה"</formula>
    </cfRule>
    <cfRule type="cellIs" dxfId="7584" priority="496" operator="equal">
      <formula>"מ"</formula>
    </cfRule>
    <cfRule type="cellIs" dxfId="7583" priority="495" operator="equal">
      <formula>"ק"</formula>
    </cfRule>
  </conditionalFormatting>
  <conditionalFormatting sqref="AW13:BD14">
    <cfRule type="cellIs" dxfId="7582" priority="485" operator="equal">
      <formula>"כ"</formula>
    </cfRule>
    <cfRule type="cellIs" dxfId="7581" priority="484" operator="equal">
      <formula>"כש"</formula>
    </cfRule>
    <cfRule type="cellIs" dxfId="7580" priority="483" operator="equal">
      <formula>"מיל"</formula>
    </cfRule>
    <cfRule type="cellIs" dxfId="7579" priority="482" operator="equal">
      <formula>"מנוחה"</formula>
    </cfRule>
    <cfRule type="cellIs" dxfId="7578" priority="481" operator="equal">
      <formula>"מ"</formula>
    </cfRule>
    <cfRule type="cellIs" dxfId="7577" priority="480" operator="equal">
      <formula>"ק"</formula>
    </cfRule>
    <cfRule type="cellIs" dxfId="7576" priority="479" operator="equal">
      <formula>"כמ"</formula>
    </cfRule>
    <cfRule type="cellIs" dxfId="7575" priority="478" operator="equal">
      <formula>"כמש"</formula>
    </cfRule>
    <cfRule type="cellIs" dxfId="7574" priority="477" operator="equal">
      <formula>"י"</formula>
    </cfRule>
    <cfRule type="cellIs" dxfId="7573" priority="476" operator="equal">
      <formula>"ל"</formula>
    </cfRule>
  </conditionalFormatting>
  <conditionalFormatting sqref="AW17:BD18">
    <cfRule type="cellIs" dxfId="7572" priority="470" operator="equal">
      <formula>"כ"</formula>
    </cfRule>
    <cfRule type="cellIs" dxfId="7571" priority="469" operator="equal">
      <formula>"כש"</formula>
    </cfRule>
    <cfRule type="cellIs" dxfId="7570" priority="468" operator="equal">
      <formula>"מיל"</formula>
    </cfRule>
    <cfRule type="cellIs" dxfId="7569" priority="467" operator="equal">
      <formula>"מנוחה"</formula>
    </cfRule>
    <cfRule type="cellIs" dxfId="7568" priority="466" operator="equal">
      <formula>"מ"</formula>
    </cfRule>
    <cfRule type="cellIs" dxfId="7567" priority="465" operator="equal">
      <formula>"ק"</formula>
    </cfRule>
    <cfRule type="cellIs" dxfId="7566" priority="464" operator="equal">
      <formula>"כמ"</formula>
    </cfRule>
    <cfRule type="cellIs" dxfId="7565" priority="463" operator="equal">
      <formula>"כמש"</formula>
    </cfRule>
    <cfRule type="cellIs" dxfId="7564" priority="462" operator="equal">
      <formula>"י"</formula>
    </cfRule>
    <cfRule type="cellIs" dxfId="7563" priority="461" operator="equal">
      <formula>"ל"</formula>
    </cfRule>
  </conditionalFormatting>
  <conditionalFormatting sqref="AW21:BD22">
    <cfRule type="cellIs" dxfId="7562" priority="455" operator="equal">
      <formula>"כ"</formula>
    </cfRule>
    <cfRule type="cellIs" dxfId="7561" priority="454" operator="equal">
      <formula>"כש"</formula>
    </cfRule>
    <cfRule type="cellIs" dxfId="7560" priority="453" operator="equal">
      <formula>"מיל"</formula>
    </cfRule>
    <cfRule type="cellIs" dxfId="7559" priority="452" operator="equal">
      <formula>"מנוחה"</formula>
    </cfRule>
    <cfRule type="cellIs" dxfId="7558" priority="451" operator="equal">
      <formula>"מ"</formula>
    </cfRule>
    <cfRule type="cellIs" dxfId="7557" priority="450" operator="equal">
      <formula>"ק"</formula>
    </cfRule>
    <cfRule type="cellIs" dxfId="7556" priority="449" operator="equal">
      <formula>"כמ"</formula>
    </cfRule>
    <cfRule type="cellIs" dxfId="7555" priority="448" operator="equal">
      <formula>"כמש"</formula>
    </cfRule>
    <cfRule type="cellIs" dxfId="7554" priority="447" operator="equal">
      <formula>"י"</formula>
    </cfRule>
    <cfRule type="cellIs" dxfId="7553" priority="446" operator="equal">
      <formula>"ל"</formula>
    </cfRule>
  </conditionalFormatting>
  <conditionalFormatting sqref="AW25:BD26">
    <cfRule type="cellIs" dxfId="7552" priority="438" operator="equal">
      <formula>"מיל"</formula>
    </cfRule>
    <cfRule type="cellIs" dxfId="7551" priority="440" operator="equal">
      <formula>"כ"</formula>
    </cfRule>
    <cfRule type="cellIs" dxfId="7550" priority="439" operator="equal">
      <formula>"כש"</formula>
    </cfRule>
    <cfRule type="cellIs" dxfId="7549" priority="437" operator="equal">
      <formula>"מנוחה"</formula>
    </cfRule>
    <cfRule type="cellIs" dxfId="7548" priority="436" operator="equal">
      <formula>"מ"</formula>
    </cfRule>
    <cfRule type="cellIs" dxfId="7547" priority="435" operator="equal">
      <formula>"ק"</formula>
    </cfRule>
    <cfRule type="cellIs" dxfId="7546" priority="434" operator="equal">
      <formula>"כמ"</formula>
    </cfRule>
    <cfRule type="cellIs" dxfId="7545" priority="433" operator="equal">
      <formula>"כמש"</formula>
    </cfRule>
    <cfRule type="cellIs" dxfId="7544" priority="432" operator="equal">
      <formula>"י"</formula>
    </cfRule>
    <cfRule type="cellIs" dxfId="7543" priority="431" operator="equal">
      <formula>"ל"</formula>
    </cfRule>
  </conditionalFormatting>
  <conditionalFormatting sqref="AW29:BD30">
    <cfRule type="cellIs" dxfId="7542" priority="422" operator="equal">
      <formula>"מנוחה"</formula>
    </cfRule>
    <cfRule type="cellIs" dxfId="7541" priority="418" operator="equal">
      <formula>"כמש"</formula>
    </cfRule>
    <cfRule type="cellIs" dxfId="7540" priority="424" operator="equal">
      <formula>"כש"</formula>
    </cfRule>
    <cfRule type="cellIs" dxfId="7539" priority="425" operator="equal">
      <formula>"כ"</formula>
    </cfRule>
    <cfRule type="cellIs" dxfId="7538" priority="423" operator="equal">
      <formula>"מיל"</formula>
    </cfRule>
    <cfRule type="cellIs" dxfId="7537" priority="421" operator="equal">
      <formula>"מ"</formula>
    </cfRule>
    <cfRule type="cellIs" dxfId="7536" priority="420" operator="equal">
      <formula>"ק"</formula>
    </cfRule>
    <cfRule type="cellIs" dxfId="7535" priority="419" operator="equal">
      <formula>"כמ"</formula>
    </cfRule>
    <cfRule type="cellIs" dxfId="7534" priority="416" operator="equal">
      <formula>"ל"</formula>
    </cfRule>
    <cfRule type="cellIs" dxfId="7533" priority="417" operator="equal">
      <formula>"י"</formula>
    </cfRule>
  </conditionalFormatting>
  <conditionalFormatting sqref="AW33:BD34">
    <cfRule type="cellIs" dxfId="7532" priority="404" operator="equal">
      <formula>"כמ"</formula>
    </cfRule>
    <cfRule type="cellIs" dxfId="7531" priority="408" operator="equal">
      <formula>"מיל"</formula>
    </cfRule>
    <cfRule type="cellIs" dxfId="7530" priority="407" operator="equal">
      <formula>"מנוחה"</formula>
    </cfRule>
    <cfRule type="cellIs" dxfId="7529" priority="406" operator="equal">
      <formula>"מ"</formula>
    </cfRule>
    <cfRule type="cellIs" dxfId="7528" priority="405" operator="equal">
      <formula>"ק"</formula>
    </cfRule>
    <cfRule type="cellIs" dxfId="7527" priority="403" operator="equal">
      <formula>"כמש"</formula>
    </cfRule>
    <cfRule type="cellIs" dxfId="7526" priority="402" operator="equal">
      <formula>"י"</formula>
    </cfRule>
    <cfRule type="cellIs" dxfId="7525" priority="401" operator="equal">
      <formula>"ל"</formula>
    </cfRule>
  </conditionalFormatting>
  <conditionalFormatting sqref="AW33:BS34">
    <cfRule type="cellIs" dxfId="7524" priority="80" operator="equal">
      <formula>"כ"</formula>
    </cfRule>
    <cfRule type="cellIs" dxfId="7523" priority="79" operator="equal">
      <formula>"כש"</formula>
    </cfRule>
  </conditionalFormatting>
  <conditionalFormatting sqref="AW2:CB2 AW3:AZ3 BE3:BO3 AW4:AY4 BE4 BG4 BI4 BK4:BM4 BO4 BS4:BU4 BW4 BY4 CA4">
    <cfRule type="cellIs" dxfId="7522" priority="668" operator="equal">
      <formula>"מ"</formula>
    </cfRule>
    <cfRule type="cellIs" dxfId="7521" priority="663" operator="equal">
      <formula>"ל"</formula>
    </cfRule>
    <cfRule type="cellIs" dxfId="7520" priority="667" operator="equal">
      <formula>"ק"</formula>
    </cfRule>
    <cfRule type="cellIs" dxfId="7519" priority="666" operator="equal">
      <formula>"כמ"</formula>
    </cfRule>
    <cfRule type="cellIs" dxfId="7518" priority="665" operator="equal">
      <formula>"כמש"</formula>
    </cfRule>
    <cfRule type="cellIs" dxfId="7517" priority="664" operator="equal">
      <formula>"י"</formula>
    </cfRule>
    <cfRule type="cellIs" dxfId="7516" priority="673" operator="equal">
      <formula>"כ"</formula>
    </cfRule>
    <cfRule type="cellIs" dxfId="7515" priority="672" operator="equal">
      <formula>"כש"</formula>
    </cfRule>
    <cfRule type="cellIs" dxfId="7514" priority="671" operator="equal">
      <formula>"ח"</formula>
    </cfRule>
    <cfRule type="cellIs" dxfId="7513" priority="670" operator="equal">
      <formula>"מיל"</formula>
    </cfRule>
    <cfRule type="cellIs" dxfId="7512" priority="669" operator="equal">
      <formula>"מנוחה"</formula>
    </cfRule>
  </conditionalFormatting>
  <conditionalFormatting sqref="AX5:AX34">
    <cfRule type="cellIs" dxfId="7511" priority="413" operator="equal">
      <formula>"ח"</formula>
    </cfRule>
  </conditionalFormatting>
  <conditionalFormatting sqref="AY5:AY6 BA5:BA6 BC5:BC6">
    <cfRule type="cellIs" dxfId="7510" priority="519" operator="equal">
      <formula>"ח"</formula>
    </cfRule>
  </conditionalFormatting>
  <conditionalFormatting sqref="AY9:AY10 BA9:BA10 BC9:BC10">
    <cfRule type="cellIs" dxfId="7509" priority="504" operator="equal">
      <formula>"ח"</formula>
    </cfRule>
  </conditionalFormatting>
  <conditionalFormatting sqref="AY13:AY14 BA13:BA14 BC13:BC14">
    <cfRule type="cellIs" dxfId="7508" priority="489" operator="equal">
      <formula>"ח"</formula>
    </cfRule>
  </conditionalFormatting>
  <conditionalFormatting sqref="AY17:AY18 BA17:BA18 BC17:BC18">
    <cfRule type="cellIs" dxfId="7507" priority="474" operator="equal">
      <formula>"ח"</formula>
    </cfRule>
  </conditionalFormatting>
  <conditionalFormatting sqref="AY21:AY22 BA21:BA22 BC21:BC22">
    <cfRule type="cellIs" dxfId="7506" priority="459" operator="equal">
      <formula>"ח"</formula>
    </cfRule>
  </conditionalFormatting>
  <conditionalFormatting sqref="AY25:AY26 BA25:BA26 BC25:BC26">
    <cfRule type="cellIs" dxfId="7505" priority="444" operator="equal">
      <formula>"ח"</formula>
    </cfRule>
  </conditionalFormatting>
  <conditionalFormatting sqref="AY29:AY30 BA29:BA30 BC29:BC30">
    <cfRule type="cellIs" dxfId="7504" priority="429" operator="equal">
      <formula>"ח"</formula>
    </cfRule>
  </conditionalFormatting>
  <conditionalFormatting sqref="AY33:AY34 BA33:BA34 BC33:BC34">
    <cfRule type="cellIs" dxfId="7503" priority="414" operator="equal">
      <formula>"ח"</formula>
    </cfRule>
  </conditionalFormatting>
  <conditionalFormatting sqref="AZ5:AZ34">
    <cfRule type="cellIs" dxfId="7502" priority="412" operator="equal">
      <formula>"ח"</formula>
    </cfRule>
  </conditionalFormatting>
  <conditionalFormatting sqref="BB5:BB34">
    <cfRule type="cellIs" dxfId="7501" priority="411" operator="equal">
      <formula>"ח"</formula>
    </cfRule>
  </conditionalFormatting>
  <conditionalFormatting sqref="BC3:BC4">
    <cfRule type="cellIs" dxfId="7500" priority="647" operator="equal">
      <formula>"מנוחה"</formula>
    </cfRule>
    <cfRule type="cellIs" dxfId="7499" priority="643" operator="equal">
      <formula>"כמש"</formula>
    </cfRule>
    <cfRule type="cellIs" dxfId="7498" priority="642" operator="equal">
      <formula>"י"</formula>
    </cfRule>
    <cfRule type="cellIs" dxfId="7497" priority="644" operator="equal">
      <formula>"כמ"</formula>
    </cfRule>
    <cfRule type="cellIs" dxfId="7496" priority="641" operator="equal">
      <formula>"ל"</formula>
    </cfRule>
    <cfRule type="cellIs" dxfId="7495" priority="645" operator="equal">
      <formula>"ק"</formula>
    </cfRule>
    <cfRule type="cellIs" dxfId="7494" priority="646" operator="equal">
      <formula>"מ"</formula>
    </cfRule>
    <cfRule type="cellIs" dxfId="7493" priority="648" operator="equal">
      <formula>"מיל"</formula>
    </cfRule>
    <cfRule type="cellIs" dxfId="7492" priority="649" operator="equal">
      <formula>"ח"</formula>
    </cfRule>
    <cfRule type="cellIs" dxfId="7491" priority="650" operator="equal">
      <formula>"כש"</formula>
    </cfRule>
    <cfRule type="cellIs" dxfId="7490" priority="651" operator="equal">
      <formula>"כ"</formula>
    </cfRule>
  </conditionalFormatting>
  <conditionalFormatting sqref="BD5:BD34">
    <cfRule type="cellIs" dxfId="7489" priority="400" operator="equal">
      <formula>"ח"</formula>
    </cfRule>
  </conditionalFormatting>
  <conditionalFormatting sqref="BE6 AW7:BE7 BU7:CB7 AW8:BM8 BU8 BE9:BM9 BO9:BU9 BE10 BO10:CB10 AW11:BE11 BU11:CB11 AW12:BM12 BU12 BE14 BM14:CB14 AW15:BE15 BM15 BU15:CB15 AW16:BM16 BU16 BE17:BM17 BO17:BU17 BE18 BO18:CB18 AW19:BE19 BU19:CB19 AW20:BM20 BU20 BE21:BU21 BE22 BM22:CB22 AW23:BE23 BM23 BU23:CB23 AW24:BM24 BU24 BE25:BU25 BE26 BM26:CB26 AW27:BE27 BM27 BU27:CB27 AW28:BM28 BU28 BE29:BU29 BE30 BM30:BW30 AW31:BE31 BM31 BU31:BW31 AW32:BM32 BU32 BE33:BU33">
    <cfRule type="cellIs" dxfId="7488" priority="592" operator="equal">
      <formula>"מנוחה"</formula>
    </cfRule>
    <cfRule type="cellIs" dxfId="7487" priority="586" operator="equal">
      <formula>"ל"</formula>
    </cfRule>
    <cfRule type="cellIs" dxfId="7486" priority="587" operator="equal">
      <formula>"י"</formula>
    </cfRule>
    <cfRule type="cellIs" dxfId="7485" priority="593" operator="equal">
      <formula>"מיל"</formula>
    </cfRule>
    <cfRule type="cellIs" dxfId="7484" priority="591" operator="equal">
      <formula>"מ"</formula>
    </cfRule>
    <cfRule type="cellIs" dxfId="7483" priority="588" operator="equal">
      <formula>"כמש"</formula>
    </cfRule>
    <cfRule type="cellIs" dxfId="7482" priority="589" operator="equal">
      <formula>"כמ"</formula>
    </cfRule>
    <cfRule type="cellIs" dxfId="7481" priority="590" operator="equal">
      <formula>"ק"</formula>
    </cfRule>
  </conditionalFormatting>
  <conditionalFormatting sqref="BE5:BL5 BE6 AW7:BE7 AW8:BL8 BE9:BL9 BE10 AW11:BE11 AW12:BL12 BE14 AW15:BE15 AW16:BL16 BE17:BL17 BE18 AW19:BE19 AW20:BL20 BE21:BL21 BE22 AW23:BE23 AW24:BL24 BE25:BL25 BE26 AW27:BE27 AW28:BL28 BE29:BL29 BE30 AW31:BE31 AW32:BL32">
    <cfRule type="cellIs" dxfId="7480" priority="861" operator="equal">
      <formula>"כש"</formula>
    </cfRule>
    <cfRule type="cellIs" dxfId="7479" priority="862" operator="equal">
      <formula>"כ"</formula>
    </cfRule>
  </conditionalFormatting>
  <conditionalFormatting sqref="BE13:BU13">
    <cfRule type="cellIs" dxfId="7478" priority="38" operator="equal">
      <formula>"ק"</formula>
    </cfRule>
    <cfRule type="cellIs" dxfId="7477" priority="39" operator="equal">
      <formula>"מ"</formula>
    </cfRule>
    <cfRule type="cellIs" dxfId="7476" priority="40" operator="equal">
      <formula>"מנוחה"</formula>
    </cfRule>
    <cfRule type="cellIs" dxfId="7475" priority="41" operator="equal">
      <formula>"מיל"</formula>
    </cfRule>
    <cfRule type="cellIs" dxfId="7474" priority="42" operator="equal">
      <formula>"כש"</formula>
    </cfRule>
    <cfRule type="cellIs" dxfId="7473" priority="43" operator="equal">
      <formula>"כ"</formula>
    </cfRule>
    <cfRule type="cellIs" dxfId="7472" priority="36" operator="equal">
      <formula>"כמש"</formula>
    </cfRule>
    <cfRule type="cellIs" dxfId="7471" priority="35" operator="equal">
      <formula>"י"</formula>
    </cfRule>
    <cfRule type="cellIs" dxfId="7470" priority="34" operator="equal">
      <formula>"ל"</formula>
    </cfRule>
    <cfRule type="cellIs" dxfId="7469" priority="37" operator="equal">
      <formula>"כמ"</formula>
    </cfRule>
  </conditionalFormatting>
  <conditionalFormatting sqref="BE5:CB5">
    <cfRule type="cellIs" dxfId="7468" priority="57" operator="equal">
      <formula>"י"</formula>
    </cfRule>
    <cfRule type="cellIs" dxfId="7467" priority="56" operator="equal">
      <formula>"ל"</formula>
    </cfRule>
    <cfRule type="cellIs" dxfId="7466" priority="59" operator="equal">
      <formula>"כמ"</formula>
    </cfRule>
    <cfRule type="cellIs" dxfId="7465" priority="58" operator="equal">
      <formula>"כמש"</formula>
    </cfRule>
    <cfRule type="cellIs" dxfId="7464" priority="60" operator="equal">
      <formula>"ק"</formula>
    </cfRule>
    <cfRule type="cellIs" dxfId="7463" priority="61" operator="equal">
      <formula>"מ"</formula>
    </cfRule>
    <cfRule type="cellIs" dxfId="7462" priority="62" operator="equal">
      <formula>"מנוחה"</formula>
    </cfRule>
    <cfRule type="cellIs" dxfId="7461" priority="63" operator="equal">
      <formula>"מיל"</formula>
    </cfRule>
  </conditionalFormatting>
  <conditionalFormatting sqref="BE34:CB34">
    <cfRule type="cellIs" dxfId="7460" priority="78" operator="equal">
      <formula>"מיל"</formula>
    </cfRule>
    <cfRule type="cellIs" dxfId="7459" priority="77" operator="equal">
      <formula>"מנוחה"</formula>
    </cfRule>
    <cfRule type="cellIs" dxfId="7458" priority="76" operator="equal">
      <formula>"מ"</formula>
    </cfRule>
    <cfRule type="cellIs" dxfId="7457" priority="74" operator="equal">
      <formula>"כמ"</formula>
    </cfRule>
    <cfRule type="cellIs" dxfId="7456" priority="73" operator="equal">
      <formula>"כמש"</formula>
    </cfRule>
    <cfRule type="cellIs" dxfId="7455" priority="71" operator="equal">
      <formula>"ל"</formula>
    </cfRule>
    <cfRule type="cellIs" dxfId="7454" priority="75" operator="equal">
      <formula>"ק"</formula>
    </cfRule>
    <cfRule type="cellIs" dxfId="7453" priority="72" operator="equal">
      <formula>"י"</formula>
    </cfRule>
  </conditionalFormatting>
  <conditionalFormatting sqref="BF5:BF34">
    <cfRule type="cellIs" dxfId="7452" priority="83" operator="equal">
      <formula>"ח"</formula>
    </cfRule>
  </conditionalFormatting>
  <conditionalFormatting sqref="BF6:BL7">
    <cfRule type="cellIs" dxfId="7451" priority="395" operator="equal">
      <formula>"כ"</formula>
    </cfRule>
    <cfRule type="cellIs" dxfId="7450" priority="394" operator="equal">
      <formula>"כש"</formula>
    </cfRule>
  </conditionalFormatting>
  <conditionalFormatting sqref="BF10:BL11">
    <cfRule type="cellIs" dxfId="7449" priority="380" operator="equal">
      <formula>"כ"</formula>
    </cfRule>
    <cfRule type="cellIs" dxfId="7448" priority="379" operator="equal">
      <formula>"כש"</formula>
    </cfRule>
  </conditionalFormatting>
  <conditionalFormatting sqref="BF14:BL15">
    <cfRule type="cellIs" dxfId="7447" priority="361" operator="equal">
      <formula>"מ"</formula>
    </cfRule>
    <cfRule type="cellIs" dxfId="7446" priority="364" operator="equal">
      <formula>"כש"</formula>
    </cfRule>
    <cfRule type="cellIs" dxfId="7445" priority="363" operator="equal">
      <formula>"מיל"</formula>
    </cfRule>
    <cfRule type="cellIs" dxfId="7444" priority="357" operator="equal">
      <formula>"י"</formula>
    </cfRule>
    <cfRule type="cellIs" dxfId="7443" priority="362" operator="equal">
      <formula>"מנוחה"</formula>
    </cfRule>
    <cfRule type="cellIs" dxfId="7442" priority="356" operator="equal">
      <formula>"ל"</formula>
    </cfRule>
    <cfRule type="cellIs" dxfId="7441" priority="359" operator="equal">
      <formula>"כמ"</formula>
    </cfRule>
    <cfRule type="cellIs" dxfId="7440" priority="360" operator="equal">
      <formula>"ק"</formula>
    </cfRule>
    <cfRule type="cellIs" dxfId="7439" priority="358" operator="equal">
      <formula>"כמש"</formula>
    </cfRule>
    <cfRule type="cellIs" dxfId="7438" priority="365" operator="equal">
      <formula>"כ"</formula>
    </cfRule>
  </conditionalFormatting>
  <conditionalFormatting sqref="BF18:BL19">
    <cfRule type="cellIs" dxfId="7437" priority="350" operator="equal">
      <formula>"כ"</formula>
    </cfRule>
    <cfRule type="cellIs" dxfId="7436" priority="349" operator="equal">
      <formula>"כש"</formula>
    </cfRule>
  </conditionalFormatting>
  <conditionalFormatting sqref="BF22:BL23">
    <cfRule type="cellIs" dxfId="7435" priority="328" operator="equal">
      <formula>"כמש"</formula>
    </cfRule>
    <cfRule type="cellIs" dxfId="7434" priority="329" operator="equal">
      <formula>"כמ"</formula>
    </cfRule>
    <cfRule type="cellIs" dxfId="7433" priority="330" operator="equal">
      <formula>"ק"</formula>
    </cfRule>
    <cfRule type="cellIs" dxfId="7432" priority="331" operator="equal">
      <formula>"מ"</formula>
    </cfRule>
    <cfRule type="cellIs" dxfId="7431" priority="332" operator="equal">
      <formula>"מנוחה"</formula>
    </cfRule>
    <cfRule type="cellIs" dxfId="7430" priority="333" operator="equal">
      <formula>"מיל"</formula>
    </cfRule>
    <cfRule type="cellIs" dxfId="7429" priority="334" operator="equal">
      <formula>"כש"</formula>
    </cfRule>
    <cfRule type="cellIs" dxfId="7428" priority="335" operator="equal">
      <formula>"כ"</formula>
    </cfRule>
    <cfRule type="cellIs" dxfId="7427" priority="326" operator="equal">
      <formula>"ל"</formula>
    </cfRule>
    <cfRule type="cellIs" dxfId="7426" priority="327" operator="equal">
      <formula>"י"</formula>
    </cfRule>
  </conditionalFormatting>
  <conditionalFormatting sqref="BF26:BL27">
    <cfRule type="cellIs" dxfId="7425" priority="316" operator="equal">
      <formula>"מ"</formula>
    </cfRule>
    <cfRule type="cellIs" dxfId="7424" priority="315" operator="equal">
      <formula>"ק"</formula>
    </cfRule>
    <cfRule type="cellIs" dxfId="7423" priority="319" operator="equal">
      <formula>"כש"</formula>
    </cfRule>
    <cfRule type="cellIs" dxfId="7422" priority="318" operator="equal">
      <formula>"מיל"</formula>
    </cfRule>
    <cfRule type="cellIs" dxfId="7421" priority="320" operator="equal">
      <formula>"כ"</formula>
    </cfRule>
    <cfRule type="cellIs" dxfId="7420" priority="317" operator="equal">
      <formula>"מנוחה"</formula>
    </cfRule>
    <cfRule type="cellIs" dxfId="7419" priority="311" operator="equal">
      <formula>"ל"</formula>
    </cfRule>
    <cfRule type="cellIs" dxfId="7418" priority="312" operator="equal">
      <formula>"י"</formula>
    </cfRule>
    <cfRule type="cellIs" dxfId="7417" priority="313" operator="equal">
      <formula>"כמש"</formula>
    </cfRule>
    <cfRule type="cellIs" dxfId="7416" priority="314" operator="equal">
      <formula>"כמ"</formula>
    </cfRule>
  </conditionalFormatting>
  <conditionalFormatting sqref="BF30:BL31">
    <cfRule type="cellIs" dxfId="7415" priority="304" operator="equal">
      <formula>"כש"</formula>
    </cfRule>
    <cfRule type="cellIs" dxfId="7414" priority="298" operator="equal">
      <formula>"כמש"</formula>
    </cfRule>
    <cfRule type="cellIs" dxfId="7413" priority="297" operator="equal">
      <formula>"י"</formula>
    </cfRule>
    <cfRule type="cellIs" dxfId="7412" priority="300" operator="equal">
      <formula>"ק"</formula>
    </cfRule>
    <cfRule type="cellIs" dxfId="7411" priority="305" operator="equal">
      <formula>"כ"</formula>
    </cfRule>
    <cfRule type="cellIs" dxfId="7410" priority="303" operator="equal">
      <formula>"מיל"</formula>
    </cfRule>
    <cfRule type="cellIs" dxfId="7409" priority="302" operator="equal">
      <formula>"מנוחה"</formula>
    </cfRule>
    <cfRule type="cellIs" dxfId="7408" priority="299" operator="equal">
      <formula>"כמ"</formula>
    </cfRule>
    <cfRule type="cellIs" dxfId="7407" priority="296" operator="equal">
      <formula>"ל"</formula>
    </cfRule>
    <cfRule type="cellIs" dxfId="7406" priority="301" operator="equal">
      <formula>"מ"</formula>
    </cfRule>
  </conditionalFormatting>
  <conditionalFormatting sqref="BF6:BM7">
    <cfRule type="cellIs" dxfId="7405" priority="386" operator="equal">
      <formula>"ל"</formula>
    </cfRule>
    <cfRule type="cellIs" dxfId="7404" priority="387" operator="equal">
      <formula>"י"</formula>
    </cfRule>
    <cfRule type="cellIs" dxfId="7403" priority="388" operator="equal">
      <formula>"כמש"</formula>
    </cfRule>
    <cfRule type="cellIs" dxfId="7402" priority="390" operator="equal">
      <formula>"ק"</formula>
    </cfRule>
    <cfRule type="cellIs" dxfId="7401" priority="389" operator="equal">
      <formula>"כמ"</formula>
    </cfRule>
    <cfRule type="cellIs" dxfId="7400" priority="393" operator="equal">
      <formula>"מיל"</formula>
    </cfRule>
    <cfRule type="cellIs" dxfId="7399" priority="392" operator="equal">
      <formula>"מנוחה"</formula>
    </cfRule>
    <cfRule type="cellIs" dxfId="7398" priority="391" operator="equal">
      <formula>"מ"</formula>
    </cfRule>
  </conditionalFormatting>
  <conditionalFormatting sqref="BF10:BM11">
    <cfRule type="cellIs" dxfId="7397" priority="371" operator="equal">
      <formula>"ל"</formula>
    </cfRule>
    <cfRule type="cellIs" dxfId="7396" priority="372" operator="equal">
      <formula>"י"</formula>
    </cfRule>
    <cfRule type="cellIs" dxfId="7395" priority="373" operator="equal">
      <formula>"כמש"</formula>
    </cfRule>
    <cfRule type="cellIs" dxfId="7394" priority="374" operator="equal">
      <formula>"כמ"</formula>
    </cfRule>
    <cfRule type="cellIs" dxfId="7393" priority="375" operator="equal">
      <formula>"ק"</formula>
    </cfRule>
    <cfRule type="cellIs" dxfId="7392" priority="376" operator="equal">
      <formula>"מ"</formula>
    </cfRule>
    <cfRule type="cellIs" dxfId="7391" priority="377" operator="equal">
      <formula>"מנוחה"</formula>
    </cfRule>
    <cfRule type="cellIs" dxfId="7390" priority="378" operator="equal">
      <formula>"מיל"</formula>
    </cfRule>
  </conditionalFormatting>
  <conditionalFormatting sqref="BF18:BM19">
    <cfRule type="cellIs" dxfId="7389" priority="344" operator="equal">
      <formula>"כמ"</formula>
    </cfRule>
    <cfRule type="cellIs" dxfId="7388" priority="345" operator="equal">
      <formula>"ק"</formula>
    </cfRule>
    <cfRule type="cellIs" dxfId="7387" priority="346" operator="equal">
      <formula>"מ"</formula>
    </cfRule>
    <cfRule type="cellIs" dxfId="7386" priority="347" operator="equal">
      <formula>"מנוחה"</formula>
    </cfRule>
    <cfRule type="cellIs" dxfId="7385" priority="348" operator="equal">
      <formula>"מיל"</formula>
    </cfRule>
    <cfRule type="cellIs" dxfId="7384" priority="341" operator="equal">
      <formula>"ל"</formula>
    </cfRule>
    <cfRule type="cellIs" dxfId="7383" priority="342" operator="equal">
      <formula>"י"</formula>
    </cfRule>
    <cfRule type="cellIs" dxfId="7382" priority="343" operator="equal">
      <formula>"כמש"</formula>
    </cfRule>
  </conditionalFormatting>
  <conditionalFormatting sqref="BG6:BG7 BI6:BI7 BK6:BK7">
    <cfRule type="cellIs" dxfId="7381" priority="399" operator="equal">
      <formula>"ח"</formula>
    </cfRule>
  </conditionalFormatting>
  <conditionalFormatting sqref="BG10:BG11 BI10:BI11 BK10:BK11">
    <cfRule type="cellIs" dxfId="7380" priority="384" operator="equal">
      <formula>"ח"</formula>
    </cfRule>
  </conditionalFormatting>
  <conditionalFormatting sqref="BG14:BG15 BI14:BI15 BK14:BK15">
    <cfRule type="cellIs" dxfId="7379" priority="369" operator="equal">
      <formula>"ח"</formula>
    </cfRule>
  </conditionalFormatting>
  <conditionalFormatting sqref="BG18:BG19 BI18:BI19 BK18:BK19">
    <cfRule type="cellIs" dxfId="7378" priority="354" operator="equal">
      <formula>"ח"</formula>
    </cfRule>
  </conditionalFormatting>
  <conditionalFormatting sqref="BG22:BG23 BI22:BI23 BK22:BK23">
    <cfRule type="cellIs" dxfId="7377" priority="339" operator="equal">
      <formula>"ח"</formula>
    </cfRule>
  </conditionalFormatting>
  <conditionalFormatting sqref="BG26:BG27 BI26:BI27 BK26:BK27">
    <cfRule type="cellIs" dxfId="7376" priority="324" operator="equal">
      <formula>"ח"</formula>
    </cfRule>
  </conditionalFormatting>
  <conditionalFormatting sqref="BG30:BG31 BI30:BI31 BK30:BK31">
    <cfRule type="cellIs" dxfId="7375" priority="309" operator="equal">
      <formula>"ח"</formula>
    </cfRule>
  </conditionalFormatting>
  <conditionalFormatting sqref="BG34 BI34 BK34">
    <cfRule type="cellIs" dxfId="7374" priority="84" operator="equal">
      <formula>"ח"</formula>
    </cfRule>
  </conditionalFormatting>
  <conditionalFormatting sqref="BH5:BH34">
    <cfRule type="cellIs" dxfId="7373" priority="82" operator="equal">
      <formula>"ח"</formula>
    </cfRule>
  </conditionalFormatting>
  <conditionalFormatting sqref="BJ5:BJ34">
    <cfRule type="cellIs" dxfId="7372" priority="81" operator="equal">
      <formula>"ח"</formula>
    </cfRule>
  </conditionalFormatting>
  <conditionalFormatting sqref="BL5:BL34">
    <cfRule type="cellIs" dxfId="7371" priority="70" operator="equal">
      <formula>"ח"</formula>
    </cfRule>
  </conditionalFormatting>
  <conditionalFormatting sqref="BM5:BO5">
    <cfRule type="cellIs" dxfId="7370" priority="927" operator="equal">
      <formula>"כש"</formula>
    </cfRule>
    <cfRule type="cellIs" dxfId="7369" priority="928" operator="equal">
      <formula>"כ"</formula>
    </cfRule>
  </conditionalFormatting>
  <conditionalFormatting sqref="BM6:BO6">
    <cfRule type="cellIs" dxfId="7368" priority="20" operator="equal">
      <formula>"כש"</formula>
    </cfRule>
    <cfRule type="cellIs" dxfId="7367" priority="21" operator="equal">
      <formula>"כ"</formula>
    </cfRule>
  </conditionalFormatting>
  <conditionalFormatting sqref="BM9:BS10">
    <cfRule type="cellIs" dxfId="7366" priority="32" operator="equal">
      <formula>"כ"</formula>
    </cfRule>
    <cfRule type="cellIs" dxfId="7365" priority="31" operator="equal">
      <formula>"כש"</formula>
    </cfRule>
  </conditionalFormatting>
  <conditionalFormatting sqref="BM17:BS18">
    <cfRule type="cellIs" dxfId="7364" priority="53" operator="equal">
      <formula>"כש"</formula>
    </cfRule>
    <cfRule type="cellIs" dxfId="7363" priority="54" operator="equal">
      <formula>"כ"</formula>
    </cfRule>
  </conditionalFormatting>
  <conditionalFormatting sqref="BM7:BT8">
    <cfRule type="cellIs" dxfId="7362" priority="289" operator="equal">
      <formula>"כש"</formula>
    </cfRule>
    <cfRule type="cellIs" dxfId="7361" priority="290" operator="equal">
      <formula>"כ"</formula>
    </cfRule>
  </conditionalFormatting>
  <conditionalFormatting sqref="BM11:BT12">
    <cfRule type="cellIs" dxfId="7360" priority="274" operator="equal">
      <formula>"כש"</formula>
    </cfRule>
    <cfRule type="cellIs" dxfId="7359" priority="275" operator="equal">
      <formula>"כ"</formula>
    </cfRule>
  </conditionalFormatting>
  <conditionalFormatting sqref="BM15:BT16">
    <cfRule type="cellIs" dxfId="7358" priority="259" operator="equal">
      <formula>"כש"</formula>
    </cfRule>
    <cfRule type="cellIs" dxfId="7357" priority="260" operator="equal">
      <formula>"כ"</formula>
    </cfRule>
  </conditionalFormatting>
  <conditionalFormatting sqref="BM19:BT20">
    <cfRule type="cellIs" dxfId="7356" priority="244" operator="equal">
      <formula>"כש"</formula>
    </cfRule>
    <cfRule type="cellIs" dxfId="7355" priority="245" operator="equal">
      <formula>"כ"</formula>
    </cfRule>
  </conditionalFormatting>
  <conditionalFormatting sqref="BM23:BT24">
    <cfRule type="cellIs" dxfId="7354" priority="230" operator="equal">
      <formula>"כ"</formula>
    </cfRule>
    <cfRule type="cellIs" dxfId="7353" priority="229" operator="equal">
      <formula>"כש"</formula>
    </cfRule>
  </conditionalFormatting>
  <conditionalFormatting sqref="BM27:BT28">
    <cfRule type="cellIs" dxfId="7352" priority="214" operator="equal">
      <formula>"כש"</formula>
    </cfRule>
    <cfRule type="cellIs" dxfId="7351" priority="215" operator="equal">
      <formula>"כ"</formula>
    </cfRule>
  </conditionalFormatting>
  <conditionalFormatting sqref="BM31:BT32">
    <cfRule type="cellIs" dxfId="7350" priority="199" operator="equal">
      <formula>"כש"</formula>
    </cfRule>
    <cfRule type="cellIs" dxfId="7349" priority="200" operator="equal">
      <formula>"כ"</formula>
    </cfRule>
  </conditionalFormatting>
  <conditionalFormatting sqref="BN5">
    <cfRule type="cellIs" dxfId="7348" priority="926" stopIfTrue="1" operator="equal">
      <formula>"ח"</formula>
    </cfRule>
  </conditionalFormatting>
  <conditionalFormatting sqref="BN6:BN13">
    <cfRule type="cellIs" dxfId="7347" priority="22" operator="equal">
      <formula>"ח"</formula>
    </cfRule>
  </conditionalFormatting>
  <conditionalFormatting sqref="BN9:BN10">
    <cfRule type="cellIs" dxfId="7346" priority="30" operator="equal">
      <formula>"מיל"</formula>
    </cfRule>
    <cfRule type="cellIs" dxfId="7345" priority="24" operator="equal">
      <formula>"י"</formula>
    </cfRule>
    <cfRule type="cellIs" dxfId="7344" priority="23" operator="equal">
      <formula>"ל"</formula>
    </cfRule>
    <cfRule type="cellIs" dxfId="7343" priority="26" operator="equal">
      <formula>"כמ"</formula>
    </cfRule>
    <cfRule type="cellIs" dxfId="7342" priority="27" operator="equal">
      <formula>"ק"</formula>
    </cfRule>
    <cfRule type="cellIs" dxfId="7341" priority="28" operator="equal">
      <formula>"מ"</formula>
    </cfRule>
    <cfRule type="cellIs" dxfId="7340" priority="29" operator="equal">
      <formula>"מנוחה"</formula>
    </cfRule>
    <cfRule type="cellIs" dxfId="7339" priority="25" operator="equal">
      <formula>"כמש"</formula>
    </cfRule>
  </conditionalFormatting>
  <conditionalFormatting sqref="BN15:BN20">
    <cfRule type="cellIs" dxfId="7338" priority="248" operator="equal">
      <formula>"ח"</formula>
    </cfRule>
  </conditionalFormatting>
  <conditionalFormatting sqref="BN17:BN18">
    <cfRule type="cellIs" dxfId="7337" priority="51" operator="equal">
      <formula>"מנוחה"</formula>
    </cfRule>
    <cfRule type="cellIs" dxfId="7336" priority="52" operator="equal">
      <formula>"מיל"</formula>
    </cfRule>
    <cfRule type="cellIs" dxfId="7335" priority="45" operator="equal">
      <formula>"ל"</formula>
    </cfRule>
    <cfRule type="cellIs" dxfId="7334" priority="46" operator="equal">
      <formula>"י"</formula>
    </cfRule>
    <cfRule type="cellIs" dxfId="7333" priority="47" operator="equal">
      <formula>"כמש"</formula>
    </cfRule>
    <cfRule type="cellIs" dxfId="7332" priority="49" operator="equal">
      <formula>"ק"</formula>
    </cfRule>
    <cfRule type="cellIs" dxfId="7331" priority="50" operator="equal">
      <formula>"מ"</formula>
    </cfRule>
    <cfRule type="cellIs" dxfId="7330" priority="48" operator="equal">
      <formula>"כמ"</formula>
    </cfRule>
  </conditionalFormatting>
  <conditionalFormatting sqref="BN23:BN24">
    <cfRule type="cellIs" dxfId="7329" priority="233" operator="equal">
      <formula>"ח"</formula>
    </cfRule>
  </conditionalFormatting>
  <conditionalFormatting sqref="BN27:BN28">
    <cfRule type="cellIs" dxfId="7328" priority="218" operator="equal">
      <formula>"ח"</formula>
    </cfRule>
  </conditionalFormatting>
  <conditionalFormatting sqref="BN31:BN32">
    <cfRule type="cellIs" dxfId="7327" priority="203" operator="equal">
      <formula>"ח"</formula>
    </cfRule>
  </conditionalFormatting>
  <conditionalFormatting sqref="BN7:BT8">
    <cfRule type="cellIs" dxfId="7326" priority="286" operator="equal">
      <formula>"מ"</formula>
    </cfRule>
    <cfRule type="cellIs" dxfId="7325" priority="285" operator="equal">
      <formula>"ק"</formula>
    </cfRule>
    <cfRule type="cellIs" dxfId="7324" priority="284" operator="equal">
      <formula>"כמ"</formula>
    </cfRule>
    <cfRule type="cellIs" dxfId="7323" priority="283" operator="equal">
      <formula>"כמש"</formula>
    </cfRule>
    <cfRule type="cellIs" dxfId="7322" priority="282" operator="equal">
      <formula>"י"</formula>
    </cfRule>
    <cfRule type="cellIs" dxfId="7321" priority="281" operator="equal">
      <formula>"ל"</formula>
    </cfRule>
    <cfRule type="cellIs" dxfId="7320" priority="288" operator="equal">
      <formula>"מיל"</formula>
    </cfRule>
    <cfRule type="cellIs" dxfId="7319" priority="287" operator="equal">
      <formula>"מנוחה"</formula>
    </cfRule>
  </conditionalFormatting>
  <conditionalFormatting sqref="BN11:BT12">
    <cfRule type="cellIs" dxfId="7318" priority="268" operator="equal">
      <formula>"כמש"</formula>
    </cfRule>
    <cfRule type="cellIs" dxfId="7317" priority="266" operator="equal">
      <formula>"ל"</formula>
    </cfRule>
    <cfRule type="cellIs" dxfId="7316" priority="267" operator="equal">
      <formula>"י"</formula>
    </cfRule>
    <cfRule type="cellIs" dxfId="7315" priority="271" operator="equal">
      <formula>"מ"</formula>
    </cfRule>
    <cfRule type="cellIs" dxfId="7314" priority="270" operator="equal">
      <formula>"ק"</formula>
    </cfRule>
    <cfRule type="cellIs" dxfId="7313" priority="269" operator="equal">
      <formula>"כמ"</formula>
    </cfRule>
    <cfRule type="cellIs" dxfId="7312" priority="272" operator="equal">
      <formula>"מנוחה"</formula>
    </cfRule>
    <cfRule type="cellIs" dxfId="7311" priority="273" operator="equal">
      <formula>"מיל"</formula>
    </cfRule>
  </conditionalFormatting>
  <conditionalFormatting sqref="BN15:BT16">
    <cfRule type="cellIs" dxfId="7310" priority="257" operator="equal">
      <formula>"מנוחה"</formula>
    </cfRule>
    <cfRule type="cellIs" dxfId="7309" priority="256" operator="equal">
      <formula>"מ"</formula>
    </cfRule>
    <cfRule type="cellIs" dxfId="7308" priority="254" operator="equal">
      <formula>"כמ"</formula>
    </cfRule>
    <cfRule type="cellIs" dxfId="7307" priority="253" operator="equal">
      <formula>"כמש"</formula>
    </cfRule>
    <cfRule type="cellIs" dxfId="7306" priority="255" operator="equal">
      <formula>"ק"</formula>
    </cfRule>
    <cfRule type="cellIs" dxfId="7305" priority="251" operator="equal">
      <formula>"ל"</formula>
    </cfRule>
    <cfRule type="cellIs" dxfId="7304" priority="252" operator="equal">
      <formula>"י"</formula>
    </cfRule>
    <cfRule type="cellIs" dxfId="7303" priority="258" operator="equal">
      <formula>"מיל"</formula>
    </cfRule>
  </conditionalFormatting>
  <conditionalFormatting sqref="BN19:BT20">
    <cfRule type="cellIs" dxfId="7302" priority="242" operator="equal">
      <formula>"מנוחה"</formula>
    </cfRule>
    <cfRule type="cellIs" dxfId="7301" priority="239" operator="equal">
      <formula>"כמ"</formula>
    </cfRule>
    <cfRule type="cellIs" dxfId="7300" priority="237" operator="equal">
      <formula>"י"</formula>
    </cfRule>
    <cfRule type="cellIs" dxfId="7299" priority="236" operator="equal">
      <formula>"ל"</formula>
    </cfRule>
    <cfRule type="cellIs" dxfId="7298" priority="243" operator="equal">
      <formula>"מיל"</formula>
    </cfRule>
    <cfRule type="cellIs" dxfId="7297" priority="241" operator="equal">
      <formula>"מ"</formula>
    </cfRule>
    <cfRule type="cellIs" dxfId="7296" priority="240" operator="equal">
      <formula>"ק"</formula>
    </cfRule>
    <cfRule type="cellIs" dxfId="7295" priority="238" operator="equal">
      <formula>"כמש"</formula>
    </cfRule>
  </conditionalFormatting>
  <conditionalFormatting sqref="BN23:BT24">
    <cfRule type="cellIs" dxfId="7294" priority="223" operator="equal">
      <formula>"כמש"</formula>
    </cfRule>
    <cfRule type="cellIs" dxfId="7293" priority="222" operator="equal">
      <formula>"י"</formula>
    </cfRule>
    <cfRule type="cellIs" dxfId="7292" priority="221" operator="equal">
      <formula>"ל"</formula>
    </cfRule>
    <cfRule type="cellIs" dxfId="7291" priority="227" operator="equal">
      <formula>"מנוחה"</formula>
    </cfRule>
    <cfRule type="cellIs" dxfId="7290" priority="228" operator="equal">
      <formula>"מיל"</formula>
    </cfRule>
    <cfRule type="cellIs" dxfId="7289" priority="226" operator="equal">
      <formula>"מ"</formula>
    </cfRule>
    <cfRule type="cellIs" dxfId="7288" priority="225" operator="equal">
      <formula>"ק"</formula>
    </cfRule>
    <cfRule type="cellIs" dxfId="7287" priority="224" operator="equal">
      <formula>"כמ"</formula>
    </cfRule>
  </conditionalFormatting>
  <conditionalFormatting sqref="BN27:BT28">
    <cfRule type="cellIs" dxfId="7286" priority="207" operator="equal">
      <formula>"י"</formula>
    </cfRule>
    <cfRule type="cellIs" dxfId="7285" priority="208" operator="equal">
      <formula>"כמש"</formula>
    </cfRule>
    <cfRule type="cellIs" dxfId="7284" priority="209" operator="equal">
      <formula>"כמ"</formula>
    </cfRule>
    <cfRule type="cellIs" dxfId="7283" priority="210" operator="equal">
      <formula>"ק"</formula>
    </cfRule>
    <cfRule type="cellIs" dxfId="7282" priority="211" operator="equal">
      <formula>"מ"</formula>
    </cfRule>
    <cfRule type="cellIs" dxfId="7281" priority="206" operator="equal">
      <formula>"ל"</formula>
    </cfRule>
    <cfRule type="cellIs" dxfId="7280" priority="213" operator="equal">
      <formula>"מיל"</formula>
    </cfRule>
    <cfRule type="cellIs" dxfId="7279" priority="212" operator="equal">
      <formula>"מנוחה"</formula>
    </cfRule>
  </conditionalFormatting>
  <conditionalFormatting sqref="BN31:BT32">
    <cfRule type="cellIs" dxfId="7278" priority="191" operator="equal">
      <formula>"ל"</formula>
    </cfRule>
    <cfRule type="cellIs" dxfId="7277" priority="195" operator="equal">
      <formula>"ק"</formula>
    </cfRule>
    <cfRule type="cellIs" dxfId="7276" priority="196" operator="equal">
      <formula>"מ"</formula>
    </cfRule>
    <cfRule type="cellIs" dxfId="7275" priority="197" operator="equal">
      <formula>"מנוחה"</formula>
    </cfRule>
    <cfRule type="cellIs" dxfId="7274" priority="192" operator="equal">
      <formula>"י"</formula>
    </cfRule>
    <cfRule type="cellIs" dxfId="7273" priority="198" operator="equal">
      <formula>"מיל"</formula>
    </cfRule>
    <cfRule type="cellIs" dxfId="7272" priority="193" operator="equal">
      <formula>"כמש"</formula>
    </cfRule>
    <cfRule type="cellIs" dxfId="7271" priority="194" operator="equal">
      <formula>"כמ"</formula>
    </cfRule>
  </conditionalFormatting>
  <conditionalFormatting sqref="BN6:CB6">
    <cfRule type="cellIs" dxfId="7270" priority="17" operator="equal">
      <formula>"מ"</formula>
    </cfRule>
    <cfRule type="cellIs" dxfId="7269" priority="19" operator="equal">
      <formula>"מיל"</formula>
    </cfRule>
    <cfRule type="cellIs" dxfId="7268" priority="18" operator="equal">
      <formula>"מנוחה"</formula>
    </cfRule>
    <cfRule type="cellIs" dxfId="7267" priority="16" operator="equal">
      <formula>"ק"</formula>
    </cfRule>
    <cfRule type="cellIs" dxfId="7266" priority="15" operator="equal">
      <formula>"כמ"</formula>
    </cfRule>
    <cfRule type="cellIs" dxfId="7265" priority="14" operator="equal">
      <formula>"כמש"</formula>
    </cfRule>
    <cfRule type="cellIs" dxfId="7264" priority="13" operator="equal">
      <formula>"י"</formula>
    </cfRule>
    <cfRule type="cellIs" dxfId="7263" priority="12" operator="equal">
      <formula>"ל"</formula>
    </cfRule>
  </conditionalFormatting>
  <conditionalFormatting sqref="BO7:BO8 BQ7:BQ8 BS7:BS8">
    <cfRule type="cellIs" dxfId="7262" priority="294" operator="equal">
      <formula>"ח"</formula>
    </cfRule>
  </conditionalFormatting>
  <conditionalFormatting sqref="BO11:BO12 BQ11:BQ12 BS11:BS12">
    <cfRule type="cellIs" dxfId="7261" priority="279" operator="equal">
      <formula>"ח"</formula>
    </cfRule>
  </conditionalFormatting>
  <conditionalFormatting sqref="BO15:BO16 BQ15:BQ16 BS15:BS16">
    <cfRule type="cellIs" dxfId="7260" priority="264" operator="equal">
      <formula>"ח"</formula>
    </cfRule>
  </conditionalFormatting>
  <conditionalFormatting sqref="BO19:BO20 BQ19:BQ20 BS19:BS20">
    <cfRule type="cellIs" dxfId="7259" priority="249" operator="equal">
      <formula>"ח"</formula>
    </cfRule>
  </conditionalFormatting>
  <conditionalFormatting sqref="BO23:BO24 BQ23:BQ24 BS23:BS24">
    <cfRule type="cellIs" dxfId="7258" priority="234" operator="equal">
      <formula>"ח"</formula>
    </cfRule>
  </conditionalFormatting>
  <conditionalFormatting sqref="BO27:BO28 BQ27:BQ28 BS27:BS28">
    <cfRule type="cellIs" dxfId="7257" priority="219" operator="equal">
      <formula>"ח"</formula>
    </cfRule>
  </conditionalFormatting>
  <conditionalFormatting sqref="BO31:BO32 BQ31:BQ32 BS31:BS32">
    <cfRule type="cellIs" dxfId="7256" priority="204" operator="equal">
      <formula>"ח"</formula>
    </cfRule>
  </conditionalFormatting>
  <conditionalFormatting sqref="BP5">
    <cfRule type="cellIs" dxfId="7255" priority="838" stopIfTrue="1" operator="equal">
      <formula>"ח"</formula>
    </cfRule>
  </conditionalFormatting>
  <conditionalFormatting sqref="BP6 BP9:BP10 BP13:BP14 BP17:BP18 BP21:BP22 BP25:BP26 BP29:BP30 BP33:BP34">
    <cfRule type="cellIs" dxfId="7254" priority="849" operator="equal">
      <formula>"ח"</formula>
    </cfRule>
  </conditionalFormatting>
  <conditionalFormatting sqref="BP7:BP8">
    <cfRule type="cellIs" dxfId="7253" priority="292" operator="equal">
      <formula>"ח"</formula>
    </cfRule>
  </conditionalFormatting>
  <conditionalFormatting sqref="BP11:BP12">
    <cfRule type="cellIs" dxfId="7252" priority="277" operator="equal">
      <formula>"ח"</formula>
    </cfRule>
  </conditionalFormatting>
  <conditionalFormatting sqref="BP15:BP16">
    <cfRule type="cellIs" dxfId="7251" priority="262" operator="equal">
      <formula>"ח"</formula>
    </cfRule>
  </conditionalFormatting>
  <conditionalFormatting sqref="BP19:BP20">
    <cfRule type="cellIs" dxfId="7250" priority="247" operator="equal">
      <formula>"ח"</formula>
    </cfRule>
  </conditionalFormatting>
  <conditionalFormatting sqref="BP23:BP24">
    <cfRule type="cellIs" dxfId="7249" priority="232" operator="equal">
      <formula>"ח"</formula>
    </cfRule>
  </conditionalFormatting>
  <conditionalFormatting sqref="BP27:BP28">
    <cfRule type="cellIs" dxfId="7248" priority="217" operator="equal">
      <formula>"ח"</formula>
    </cfRule>
  </conditionalFormatting>
  <conditionalFormatting sqref="BP31:BP32">
    <cfRule type="cellIs" dxfId="7247" priority="202" operator="equal">
      <formula>"ח"</formula>
    </cfRule>
  </conditionalFormatting>
  <conditionalFormatting sqref="BP5:BQ6">
    <cfRule type="cellIs" dxfId="7246" priority="839" operator="equal">
      <formula>"כש"</formula>
    </cfRule>
    <cfRule type="cellIs" dxfId="7245" priority="840" operator="equal">
      <formula>"כ"</formula>
    </cfRule>
  </conditionalFormatting>
  <conditionalFormatting sqref="BQ3:CA3 BQ4">
    <cfRule type="cellIs" dxfId="7244" priority="658" operator="equal">
      <formula>"מנוחה"</formula>
    </cfRule>
    <cfRule type="cellIs" dxfId="7243" priority="659" operator="equal">
      <formula>"מיל"</formula>
    </cfRule>
    <cfRule type="cellIs" dxfId="7242" priority="653" operator="equal">
      <formula>"י"</formula>
    </cfRule>
    <cfRule type="cellIs" dxfId="7241" priority="662" operator="equal">
      <formula>"כ"</formula>
    </cfRule>
    <cfRule type="cellIs" dxfId="7240" priority="661" operator="equal">
      <formula>"כש"</formula>
    </cfRule>
    <cfRule type="cellIs" dxfId="7239" priority="660" operator="equal">
      <formula>"ח"</formula>
    </cfRule>
    <cfRule type="cellIs" dxfId="7238" priority="652" operator="equal">
      <formula>"ל"</formula>
    </cfRule>
    <cfRule type="cellIs" dxfId="7237" priority="657" operator="equal">
      <formula>"מ"</formula>
    </cfRule>
    <cfRule type="cellIs" dxfId="7236" priority="656" operator="equal">
      <formula>"ק"</formula>
    </cfRule>
    <cfRule type="cellIs" dxfId="7235" priority="655" operator="equal">
      <formula>"כמ"</formula>
    </cfRule>
    <cfRule type="cellIs" dxfId="7234" priority="654" operator="equal">
      <formula>"כמש"</formula>
    </cfRule>
  </conditionalFormatting>
  <conditionalFormatting sqref="BR5">
    <cfRule type="cellIs" dxfId="7233" priority="816" stopIfTrue="1" operator="equal">
      <formula>"ח"</formula>
    </cfRule>
  </conditionalFormatting>
  <conditionalFormatting sqref="BR6 BR9:BR10 BR13:BR14 BR17:BR18 BR21:BR22 BR25:BR26 BR29:BR30 BR33:BR34">
    <cfRule type="cellIs" dxfId="7232" priority="827" operator="equal">
      <formula>"ח"</formula>
    </cfRule>
  </conditionalFormatting>
  <conditionalFormatting sqref="BR7:BR8">
    <cfRule type="cellIs" dxfId="7231" priority="291" operator="equal">
      <formula>"ח"</formula>
    </cfRule>
  </conditionalFormatting>
  <conditionalFormatting sqref="BR11:BR12">
    <cfRule type="cellIs" dxfId="7230" priority="276" operator="equal">
      <formula>"ח"</formula>
    </cfRule>
  </conditionalFormatting>
  <conditionalFormatting sqref="BR15:BR16">
    <cfRule type="cellIs" dxfId="7229" priority="261" operator="equal">
      <formula>"ח"</formula>
    </cfRule>
  </conditionalFormatting>
  <conditionalFormatting sqref="BR19:BR20">
    <cfRule type="cellIs" dxfId="7228" priority="246" operator="equal">
      <formula>"ח"</formula>
    </cfRule>
  </conditionalFormatting>
  <conditionalFormatting sqref="BR23:BR24">
    <cfRule type="cellIs" dxfId="7227" priority="231" operator="equal">
      <formula>"ח"</formula>
    </cfRule>
  </conditionalFormatting>
  <conditionalFormatting sqref="BR27:BR28">
    <cfRule type="cellIs" dxfId="7226" priority="216" operator="equal">
      <formula>"ח"</formula>
    </cfRule>
  </conditionalFormatting>
  <conditionalFormatting sqref="BR31:BR32">
    <cfRule type="cellIs" dxfId="7225" priority="201" operator="equal">
      <formula>"ח"</formula>
    </cfRule>
  </conditionalFormatting>
  <conditionalFormatting sqref="BR5:BS6 BM21:BS22 BM25:BS26 BM29:BS30">
    <cfRule type="cellIs" dxfId="7224" priority="817" operator="equal">
      <formula>"כש"</formula>
    </cfRule>
    <cfRule type="cellIs" dxfId="7223" priority="818" operator="equal">
      <formula>"כ"</formula>
    </cfRule>
  </conditionalFormatting>
  <conditionalFormatting sqref="BT5">
    <cfRule type="cellIs" dxfId="7222" priority="794" stopIfTrue="1" operator="equal">
      <formula>"ח"</formula>
    </cfRule>
  </conditionalFormatting>
  <conditionalFormatting sqref="BT6 BT9:BT10 BT13:BT14 BT17:BT18 BT21:BT22 BT25:BT26 BT29:BT30 BT33:BT34">
    <cfRule type="cellIs" dxfId="7221" priority="805" operator="equal">
      <formula>"ח"</formula>
    </cfRule>
  </conditionalFormatting>
  <conditionalFormatting sqref="BT7:BT8">
    <cfRule type="cellIs" dxfId="7220" priority="280" operator="equal">
      <formula>"ח"</formula>
    </cfRule>
  </conditionalFormatting>
  <conditionalFormatting sqref="BT11:BT12">
    <cfRule type="cellIs" dxfId="7219" priority="265" operator="equal">
      <formula>"ח"</formula>
    </cfRule>
  </conditionalFormatting>
  <conditionalFormatting sqref="BT15:BT16">
    <cfRule type="cellIs" dxfId="7218" priority="250" operator="equal">
      <formula>"ח"</formula>
    </cfRule>
  </conditionalFormatting>
  <conditionalFormatting sqref="BT19:BT20">
    <cfRule type="cellIs" dxfId="7217" priority="235" operator="equal">
      <formula>"ח"</formula>
    </cfRule>
  </conditionalFormatting>
  <conditionalFormatting sqref="BT23:BT24">
    <cfRule type="cellIs" dxfId="7216" priority="220" operator="equal">
      <formula>"ח"</formula>
    </cfRule>
  </conditionalFormatting>
  <conditionalFormatting sqref="BT27:BT28">
    <cfRule type="cellIs" dxfId="7215" priority="205" operator="equal">
      <formula>"ח"</formula>
    </cfRule>
  </conditionalFormatting>
  <conditionalFormatting sqref="BT31:BT32">
    <cfRule type="cellIs" dxfId="7214" priority="190" operator="equal">
      <formula>"ח"</formula>
    </cfRule>
  </conditionalFormatting>
  <conditionalFormatting sqref="BT5:BU5 BT6:BW6 BU7:BW7 BU8 BT9:BU9 BT10:BW10 BU11:BW11 BU12 BM14:BW14 BU15:BW15 BU16 BT17:BU17 BT18:BW18 BU19:BW19 BU20 BT21:BU21 BT22:BW22 BU23:BW23 BU24 BT25:BU25 BT26:BW26 BU27:BW27 BU28 BT29:BU29 BT30:BW30 BU31:BW31 BU32 BT33:BU33">
    <cfRule type="cellIs" dxfId="7213" priority="796" operator="equal">
      <formula>"כ"</formula>
    </cfRule>
    <cfRule type="cellIs" dxfId="7212" priority="795" operator="equal">
      <formula>"כש"</formula>
    </cfRule>
  </conditionalFormatting>
  <conditionalFormatting sqref="BV5">
    <cfRule type="cellIs" dxfId="7211" priority="68" operator="equal">
      <formula>"ח"</formula>
    </cfRule>
  </conditionalFormatting>
  <conditionalFormatting sqref="BV8:BV9">
    <cfRule type="cellIs" dxfId="7210" priority="188" operator="equal">
      <formula>"ח"</formula>
    </cfRule>
  </conditionalFormatting>
  <conditionalFormatting sqref="BV12:BV13">
    <cfRule type="cellIs" dxfId="7209" priority="173" operator="equal">
      <formula>"ח"</formula>
    </cfRule>
  </conditionalFormatting>
  <conditionalFormatting sqref="BV16:BV17">
    <cfRule type="cellIs" dxfId="7208" priority="158" operator="equal">
      <formula>"ח"</formula>
    </cfRule>
  </conditionalFormatting>
  <conditionalFormatting sqref="BV20:BV21">
    <cfRule type="cellIs" dxfId="7207" priority="143" operator="equal">
      <formula>"ח"</formula>
    </cfRule>
  </conditionalFormatting>
  <conditionalFormatting sqref="BV24:BV25">
    <cfRule type="cellIs" dxfId="7206" priority="128" operator="equal">
      <formula>"ח"</formula>
    </cfRule>
  </conditionalFormatting>
  <conditionalFormatting sqref="BV28:BV29">
    <cfRule type="cellIs" dxfId="7205" priority="113" operator="equal">
      <formula>"ח"</formula>
    </cfRule>
  </conditionalFormatting>
  <conditionalFormatting sqref="BV32:BV33">
    <cfRule type="cellIs" dxfId="7204" priority="98" operator="equal">
      <formula>"ח"</formula>
    </cfRule>
  </conditionalFormatting>
  <conditionalFormatting sqref="BV5:CB5">
    <cfRule type="cellIs" dxfId="7203" priority="64" operator="equal">
      <formula>"כש"</formula>
    </cfRule>
    <cfRule type="cellIs" dxfId="7202" priority="65" operator="equal">
      <formula>"כ"</formula>
    </cfRule>
  </conditionalFormatting>
  <conditionalFormatting sqref="BV8:CB9">
    <cfRule type="cellIs" dxfId="7201" priority="183" operator="equal">
      <formula>"מיל"</formula>
    </cfRule>
    <cfRule type="cellIs" dxfId="7200" priority="184" operator="equal">
      <formula>"כש"</formula>
    </cfRule>
    <cfRule type="cellIs" dxfId="7199" priority="185" operator="equal">
      <formula>"כ"</formula>
    </cfRule>
    <cfRule type="cellIs" dxfId="7198" priority="182" operator="equal">
      <formula>"מנוחה"</formula>
    </cfRule>
    <cfRule type="cellIs" dxfId="7197" priority="176" operator="equal">
      <formula>"ל"</formula>
    </cfRule>
    <cfRule type="cellIs" dxfId="7196" priority="177" operator="equal">
      <formula>"י"</formula>
    </cfRule>
    <cfRule type="cellIs" dxfId="7195" priority="178" operator="equal">
      <formula>"כמש"</formula>
    </cfRule>
    <cfRule type="cellIs" dxfId="7194" priority="179" operator="equal">
      <formula>"כמ"</formula>
    </cfRule>
    <cfRule type="cellIs" dxfId="7193" priority="180" operator="equal">
      <formula>"ק"</formula>
    </cfRule>
    <cfRule type="cellIs" dxfId="7192" priority="181" operator="equal">
      <formula>"מ"</formula>
    </cfRule>
  </conditionalFormatting>
  <conditionalFormatting sqref="BV12:CB13">
    <cfRule type="cellIs" dxfId="7191" priority="170" operator="equal">
      <formula>"כ"</formula>
    </cfRule>
    <cfRule type="cellIs" dxfId="7190" priority="169" operator="equal">
      <formula>"כש"</formula>
    </cfRule>
    <cfRule type="cellIs" dxfId="7189" priority="168" operator="equal">
      <formula>"מיל"</formula>
    </cfRule>
    <cfRule type="cellIs" dxfId="7188" priority="167" operator="equal">
      <formula>"מנוחה"</formula>
    </cfRule>
    <cfRule type="cellIs" dxfId="7187" priority="166" operator="equal">
      <formula>"מ"</formula>
    </cfRule>
    <cfRule type="cellIs" dxfId="7186" priority="165" operator="equal">
      <formula>"ק"</formula>
    </cfRule>
    <cfRule type="cellIs" dxfId="7185" priority="164" operator="equal">
      <formula>"כמ"</formula>
    </cfRule>
    <cfRule type="cellIs" dxfId="7184" priority="162" operator="equal">
      <formula>"י"</formula>
    </cfRule>
    <cfRule type="cellIs" dxfId="7183" priority="161" operator="equal">
      <formula>"ל"</formula>
    </cfRule>
    <cfRule type="cellIs" dxfId="7182" priority="163" operator="equal">
      <formula>"כמש"</formula>
    </cfRule>
  </conditionalFormatting>
  <conditionalFormatting sqref="BV16:CB17">
    <cfRule type="cellIs" dxfId="7181" priority="155" operator="equal">
      <formula>"כ"</formula>
    </cfRule>
    <cfRule type="cellIs" dxfId="7180" priority="150" operator="equal">
      <formula>"ק"</formula>
    </cfRule>
    <cfRule type="cellIs" dxfId="7179" priority="149" operator="equal">
      <formula>"כמ"</formula>
    </cfRule>
    <cfRule type="cellIs" dxfId="7178" priority="148" operator="equal">
      <formula>"כמש"</formula>
    </cfRule>
    <cfRule type="cellIs" dxfId="7177" priority="147" operator="equal">
      <formula>"י"</formula>
    </cfRule>
    <cfRule type="cellIs" dxfId="7176" priority="146" operator="equal">
      <formula>"ל"</formula>
    </cfRule>
    <cfRule type="cellIs" dxfId="7175" priority="154" operator="equal">
      <formula>"כש"</formula>
    </cfRule>
    <cfRule type="cellIs" dxfId="7174" priority="153" operator="equal">
      <formula>"מיל"</formula>
    </cfRule>
    <cfRule type="cellIs" dxfId="7173" priority="152" operator="equal">
      <formula>"מנוחה"</formula>
    </cfRule>
    <cfRule type="cellIs" dxfId="7172" priority="151" operator="equal">
      <formula>"מ"</formula>
    </cfRule>
  </conditionalFormatting>
  <conditionalFormatting sqref="BV20:CB21">
    <cfRule type="cellIs" dxfId="7171" priority="140" operator="equal">
      <formula>"כ"</formula>
    </cfRule>
    <cfRule type="cellIs" dxfId="7170" priority="139" operator="equal">
      <formula>"כש"</formula>
    </cfRule>
    <cfRule type="cellIs" dxfId="7169" priority="138" operator="equal">
      <formula>"מיל"</formula>
    </cfRule>
    <cfRule type="cellIs" dxfId="7168" priority="137" operator="equal">
      <formula>"מנוחה"</formula>
    </cfRule>
    <cfRule type="cellIs" dxfId="7167" priority="136" operator="equal">
      <formula>"מ"</formula>
    </cfRule>
    <cfRule type="cellIs" dxfId="7166" priority="135" operator="equal">
      <formula>"ק"</formula>
    </cfRule>
    <cfRule type="cellIs" dxfId="7165" priority="134" operator="equal">
      <formula>"כמ"</formula>
    </cfRule>
    <cfRule type="cellIs" dxfId="7164" priority="133" operator="equal">
      <formula>"כמש"</formula>
    </cfRule>
    <cfRule type="cellIs" dxfId="7163" priority="132" operator="equal">
      <formula>"י"</formula>
    </cfRule>
    <cfRule type="cellIs" dxfId="7162" priority="131" operator="equal">
      <formula>"ל"</formula>
    </cfRule>
  </conditionalFormatting>
  <conditionalFormatting sqref="BV24:CB25">
    <cfRule type="cellIs" dxfId="7161" priority="119" operator="equal">
      <formula>"כמ"</formula>
    </cfRule>
    <cfRule type="cellIs" dxfId="7160" priority="125" operator="equal">
      <formula>"כ"</formula>
    </cfRule>
    <cfRule type="cellIs" dxfId="7159" priority="124" operator="equal">
      <formula>"כש"</formula>
    </cfRule>
    <cfRule type="cellIs" dxfId="7158" priority="123" operator="equal">
      <formula>"מיל"</formula>
    </cfRule>
    <cfRule type="cellIs" dxfId="7157" priority="122" operator="equal">
      <formula>"מנוחה"</formula>
    </cfRule>
    <cfRule type="cellIs" dxfId="7156" priority="121" operator="equal">
      <formula>"מ"</formula>
    </cfRule>
    <cfRule type="cellIs" dxfId="7155" priority="120" operator="equal">
      <formula>"ק"</formula>
    </cfRule>
    <cfRule type="cellIs" dxfId="7154" priority="118" operator="equal">
      <formula>"כמש"</formula>
    </cfRule>
    <cfRule type="cellIs" dxfId="7153" priority="117" operator="equal">
      <formula>"י"</formula>
    </cfRule>
    <cfRule type="cellIs" dxfId="7152" priority="116" operator="equal">
      <formula>"ל"</formula>
    </cfRule>
  </conditionalFormatting>
  <conditionalFormatting sqref="BV28:CB29">
    <cfRule type="cellIs" dxfId="7151" priority="110" operator="equal">
      <formula>"כ"</formula>
    </cfRule>
    <cfRule type="cellIs" dxfId="7150" priority="109" operator="equal">
      <formula>"כש"</formula>
    </cfRule>
    <cfRule type="cellIs" dxfId="7149" priority="108" operator="equal">
      <formula>"מיל"</formula>
    </cfRule>
    <cfRule type="cellIs" dxfId="7148" priority="107" operator="equal">
      <formula>"מנוחה"</formula>
    </cfRule>
    <cfRule type="cellIs" dxfId="7147" priority="106" operator="equal">
      <formula>"מ"</formula>
    </cfRule>
    <cfRule type="cellIs" dxfId="7146" priority="102" operator="equal">
      <formula>"י"</formula>
    </cfRule>
    <cfRule type="cellIs" dxfId="7145" priority="101" operator="equal">
      <formula>"ל"</formula>
    </cfRule>
    <cfRule type="cellIs" dxfId="7144" priority="103" operator="equal">
      <formula>"כמש"</formula>
    </cfRule>
    <cfRule type="cellIs" dxfId="7143" priority="104" operator="equal">
      <formula>"כמ"</formula>
    </cfRule>
    <cfRule type="cellIs" dxfId="7142" priority="105" operator="equal">
      <formula>"ק"</formula>
    </cfRule>
  </conditionalFormatting>
  <conditionalFormatting sqref="BV32:CB33">
    <cfRule type="cellIs" dxfId="7141" priority="91" operator="equal">
      <formula>"מ"</formula>
    </cfRule>
    <cfRule type="cellIs" dxfId="7140" priority="92" operator="equal">
      <formula>"מנוחה"</formula>
    </cfRule>
    <cfRule type="cellIs" dxfId="7139" priority="93" operator="equal">
      <formula>"מיל"</formula>
    </cfRule>
    <cfRule type="cellIs" dxfId="7138" priority="94" operator="equal">
      <formula>"כש"</formula>
    </cfRule>
    <cfRule type="cellIs" dxfId="7137" priority="95" operator="equal">
      <formula>"כ"</formula>
    </cfRule>
    <cfRule type="cellIs" dxfId="7136" priority="86" operator="equal">
      <formula>"ל"</formula>
    </cfRule>
    <cfRule type="cellIs" dxfId="7135" priority="87" operator="equal">
      <formula>"י"</formula>
    </cfRule>
    <cfRule type="cellIs" dxfId="7134" priority="88" operator="equal">
      <formula>"כמש"</formula>
    </cfRule>
    <cfRule type="cellIs" dxfId="7133" priority="89" operator="equal">
      <formula>"כמ"</formula>
    </cfRule>
    <cfRule type="cellIs" dxfId="7132" priority="90" operator="equal">
      <formula>"ק"</formula>
    </cfRule>
  </conditionalFormatting>
  <conditionalFormatting sqref="BW5 BY5 CA5">
    <cfRule type="cellIs" dxfId="7131" priority="69" operator="equal">
      <formula>"ח"</formula>
    </cfRule>
  </conditionalFormatting>
  <conditionalFormatting sqref="BW8:BW9 BY8:BY9 CA8:CA9">
    <cfRule type="cellIs" dxfId="7130" priority="189" operator="equal">
      <formula>"ח"</formula>
    </cfRule>
  </conditionalFormatting>
  <conditionalFormatting sqref="BW12:BW13 BY12:BY13 CA12:CA13">
    <cfRule type="cellIs" dxfId="7129" priority="174" operator="equal">
      <formula>"ח"</formula>
    </cfRule>
  </conditionalFormatting>
  <conditionalFormatting sqref="BW16:BW17 BY16:BY17 CA16:CA17">
    <cfRule type="cellIs" dxfId="7128" priority="159" operator="equal">
      <formula>"ח"</formula>
    </cfRule>
  </conditionalFormatting>
  <conditionalFormatting sqref="BW20:BW21 BY20:BY21 CA20:CA21">
    <cfRule type="cellIs" dxfId="7127" priority="144" operator="equal">
      <formula>"ח"</formula>
    </cfRule>
  </conditionalFormatting>
  <conditionalFormatting sqref="BW24:BW25 BY24:BY25 CA24:CA25">
    <cfRule type="cellIs" dxfId="7126" priority="129" operator="equal">
      <formula>"ח"</formula>
    </cfRule>
  </conditionalFormatting>
  <conditionalFormatting sqref="BW28:BW29 BY28:BY29 CA28:CA29">
    <cfRule type="cellIs" dxfId="7125" priority="114" operator="equal">
      <formula>"ח"</formula>
    </cfRule>
  </conditionalFormatting>
  <conditionalFormatting sqref="BW32:BW33 BY32:BY33 CA32:CA33">
    <cfRule type="cellIs" dxfId="7124" priority="99" operator="equal">
      <formula>"ח"</formula>
    </cfRule>
  </conditionalFormatting>
  <conditionalFormatting sqref="BX5">
    <cfRule type="cellIs" dxfId="7123" priority="67" operator="equal">
      <formula>"ח"</formula>
    </cfRule>
  </conditionalFormatting>
  <conditionalFormatting sqref="BX6:BX7 BX10:BX11 BX14:BX15 BX18:BX19 BX22:BX23 BX26:BX27 BX34">
    <cfRule type="cellIs" dxfId="7122" priority="783" operator="equal">
      <formula>"ח"</formula>
    </cfRule>
  </conditionalFormatting>
  <conditionalFormatting sqref="BX8:BX9">
    <cfRule type="cellIs" dxfId="7121" priority="187" operator="equal">
      <formula>"ח"</formula>
    </cfRule>
  </conditionalFormatting>
  <conditionalFormatting sqref="BX12:BX13">
    <cfRule type="cellIs" dxfId="7120" priority="172" operator="equal">
      <formula>"ח"</formula>
    </cfRule>
  </conditionalFormatting>
  <conditionalFormatting sqref="BX16:BX17">
    <cfRule type="cellIs" dxfId="7119" priority="157" operator="equal">
      <formula>"ח"</formula>
    </cfRule>
  </conditionalFormatting>
  <conditionalFormatting sqref="BX20:BX21">
    <cfRule type="cellIs" dxfId="7118" priority="142" operator="equal">
      <formula>"ח"</formula>
    </cfRule>
  </conditionalFormatting>
  <conditionalFormatting sqref="BX24:BX25">
    <cfRule type="cellIs" dxfId="7117" priority="127" operator="equal">
      <formula>"ח"</formula>
    </cfRule>
  </conditionalFormatting>
  <conditionalFormatting sqref="BX28:BX33">
    <cfRule type="cellIs" dxfId="7116" priority="1" operator="equal">
      <formula>"ח"</formula>
    </cfRule>
  </conditionalFormatting>
  <conditionalFormatting sqref="BX6:CB7 BX10:CB11 BX14:CB15 BX18:CB19 BX22:CB23 BX26:CB27 BT34:CB34">
    <cfRule type="cellIs" dxfId="7115" priority="596" operator="equal">
      <formula>"כ"</formula>
    </cfRule>
    <cfRule type="cellIs" dxfId="7114" priority="595" operator="equal">
      <formula>"כש"</formula>
    </cfRule>
  </conditionalFormatting>
  <conditionalFormatting sqref="BX30:CB31">
    <cfRule type="cellIs" dxfId="7113" priority="2" operator="equal">
      <formula>"ל"</formula>
    </cfRule>
    <cfRule type="cellIs" dxfId="7112" priority="8" operator="equal">
      <formula>"מנוחה"</formula>
    </cfRule>
    <cfRule type="cellIs" dxfId="7111" priority="5" operator="equal">
      <formula>"כמ"</formula>
    </cfRule>
    <cfRule type="cellIs" dxfId="7110" priority="6" operator="equal">
      <formula>"ק"</formula>
    </cfRule>
    <cfRule type="cellIs" dxfId="7109" priority="7" operator="equal">
      <formula>"מ"</formula>
    </cfRule>
    <cfRule type="cellIs" dxfId="7108" priority="4" operator="equal">
      <formula>"כמש"</formula>
    </cfRule>
    <cfRule type="cellIs" dxfId="7107" priority="3" operator="equal">
      <formula>"י"</formula>
    </cfRule>
    <cfRule type="cellIs" dxfId="7106" priority="11" operator="equal">
      <formula>"כ"</formula>
    </cfRule>
    <cfRule type="cellIs" dxfId="7105" priority="10" operator="equal">
      <formula>"כש"</formula>
    </cfRule>
    <cfRule type="cellIs" dxfId="7104" priority="9" operator="equal">
      <formula>"מיל"</formula>
    </cfRule>
  </conditionalFormatting>
  <conditionalFormatting sqref="BZ5">
    <cfRule type="cellIs" dxfId="7103" priority="66" operator="equal">
      <formula>"ח"</formula>
    </cfRule>
  </conditionalFormatting>
  <conditionalFormatting sqref="BZ6:BZ7 BZ10:BZ11 BZ14:BZ15 BZ18:BZ19 BZ22:BZ23 BZ26:BZ27 BZ30:BZ31 BZ34">
    <cfRule type="cellIs" dxfId="7102" priority="772" operator="equal">
      <formula>"ח"</formula>
    </cfRule>
  </conditionalFormatting>
  <conditionalFormatting sqref="BZ8:BZ9">
    <cfRule type="cellIs" dxfId="7101" priority="186" operator="equal">
      <formula>"ח"</formula>
    </cfRule>
  </conditionalFormatting>
  <conditionalFormatting sqref="BZ12:BZ13">
    <cfRule type="cellIs" dxfId="7100" priority="171" operator="equal">
      <formula>"ח"</formula>
    </cfRule>
  </conditionalFormatting>
  <conditionalFormatting sqref="BZ16:BZ17">
    <cfRule type="cellIs" dxfId="7099" priority="156" operator="equal">
      <formula>"ח"</formula>
    </cfRule>
  </conditionalFormatting>
  <conditionalFormatting sqref="BZ20:BZ21">
    <cfRule type="cellIs" dxfId="7098" priority="141" operator="equal">
      <formula>"ח"</formula>
    </cfRule>
  </conditionalFormatting>
  <conditionalFormatting sqref="BZ24:BZ25">
    <cfRule type="cellIs" dxfId="7097" priority="126" operator="equal">
      <formula>"ח"</formula>
    </cfRule>
  </conditionalFormatting>
  <conditionalFormatting sqref="BZ28:BZ29">
    <cfRule type="cellIs" dxfId="7096" priority="111" operator="equal">
      <formula>"ח"</formula>
    </cfRule>
  </conditionalFormatting>
  <conditionalFormatting sqref="BZ32:BZ33">
    <cfRule type="cellIs" dxfId="7095" priority="96" operator="equal">
      <formula>"ח"</formula>
    </cfRule>
  </conditionalFormatting>
  <conditionalFormatting sqref="CB5">
    <cfRule type="cellIs" dxfId="7094" priority="55" operator="equal">
      <formula>"ח"</formula>
    </cfRule>
  </conditionalFormatting>
  <conditionalFormatting sqref="CB6:CB7 CB10:CB11 CB14:CB15 CB18:CB19 CB22:CB23 CB26:CB27 CB30:CB31 CB34">
    <cfRule type="cellIs" dxfId="7093" priority="594" operator="equal">
      <formula>"ח"</formula>
    </cfRule>
  </conditionalFormatting>
  <conditionalFormatting sqref="CB8:CB9">
    <cfRule type="cellIs" dxfId="7092" priority="175" operator="equal">
      <formula>"ח"</formula>
    </cfRule>
  </conditionalFormatting>
  <conditionalFormatting sqref="CB12:CB13">
    <cfRule type="cellIs" dxfId="7091" priority="160" operator="equal">
      <formula>"ח"</formula>
    </cfRule>
  </conditionalFormatting>
  <conditionalFormatting sqref="CB16:CB17">
    <cfRule type="cellIs" dxfId="7090" priority="145" operator="equal">
      <formula>"ח"</formula>
    </cfRule>
  </conditionalFormatting>
  <conditionalFormatting sqref="CB20:CB21">
    <cfRule type="cellIs" dxfId="7089" priority="130" operator="equal">
      <formula>"ח"</formula>
    </cfRule>
  </conditionalFormatting>
  <conditionalFormatting sqref="CB24:CB25">
    <cfRule type="cellIs" dxfId="7088" priority="115" operator="equal">
      <formula>"ח"</formula>
    </cfRule>
  </conditionalFormatting>
  <conditionalFormatting sqref="CB28:CB29">
    <cfRule type="cellIs" dxfId="7087" priority="100" operator="equal">
      <formula>"ח"</formula>
    </cfRule>
  </conditionalFormatting>
  <conditionalFormatting sqref="CB32:CB33">
    <cfRule type="cellIs" dxfId="7086" priority="85" operator="equal">
      <formula>"ח"</formula>
    </cfRule>
  </conditionalFormatting>
  <conditionalFormatting sqref="CE5 CC5:CD34">
    <cfRule type="cellIs" dxfId="7085" priority="564" operator="equal">
      <formula>"ל"</formula>
    </cfRule>
    <cfRule type="cellIs" dxfId="7084" priority="571" operator="equal">
      <formula>"מיל"</formula>
    </cfRule>
    <cfRule type="cellIs" dxfId="7083" priority="570" operator="equal">
      <formula>"מנוחה"</formula>
    </cfRule>
    <cfRule type="cellIs" dxfId="7082" priority="565" operator="equal">
      <formula>"י"</formula>
    </cfRule>
    <cfRule type="cellIs" dxfId="7081" priority="566" operator="equal">
      <formula>"כמש"</formula>
    </cfRule>
    <cfRule type="cellIs" dxfId="7080" priority="567" operator="equal">
      <formula>"כמ"</formula>
    </cfRule>
    <cfRule type="cellIs" dxfId="7079" priority="568" operator="equal">
      <formula>"ק"</formula>
    </cfRule>
    <cfRule type="cellIs" dxfId="7078" priority="574" operator="equal">
      <formula>"כ"</formula>
    </cfRule>
    <cfRule type="cellIs" dxfId="7077" priority="573" operator="equal">
      <formula>"כש"</formula>
    </cfRule>
    <cfRule type="cellIs" dxfId="7076" priority="569" operator="equal">
      <formula>"מ"</formula>
    </cfRule>
    <cfRule type="cellIs" dxfId="7075" priority="572" operator="equal">
      <formula>"ח"</formula>
    </cfRule>
  </conditionalFormatting>
  <conditionalFormatting sqref="CF5:CG34">
    <cfRule type="cellIs" dxfId="7074" priority="986" operator="lessThan">
      <formula>4</formula>
    </cfRule>
  </conditionalFormatting>
  <hyperlinks>
    <hyperlink ref="X4:Y4" r:id="rId11" tooltip="עדכון במייל" display="עדכון במייל" xr:uid="{00000000-0004-0000-03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300-000000000000}">
          <x14:formula1>
            <xm:f>מיילים!$M$2:$M$40</xm:f>
          </x14:formula1>
          <xm:sqref>X3:AO3</xm:sqref>
        </x14:dataValidation>
        <x14:dataValidation type="list" allowBlank="1" showInputMessage="1" xr:uid="{00000000-0002-0000-0300-000001000000}">
          <x14:formula1>
            <xm:f>מקרא!$B$5:$B$60</xm:f>
          </x14:formula1>
          <xm:sqref>Y24:AG24 AI18:AO18 AW5:BM34 D26:AO34 Z5:AO17 R14:X15 Y5:Y23 Z19:AH20 D25:AG25 Z18:AG18 BS5:BS6 BO5:BO6 BT6 BR6 BP6 BQ5:BQ6 BN7:BT34 BN6 D5:X13 AD5:AE24 D14:P15 BU5:CB34 Z21:AF21 AH21:AO21 Z23:AO23 AJ22:AO22 Z22:AH22 AJ19:AO20 D16:X19 D20:V20 X20 D21:X24 AI25:AO25 AI24:AL24 AN24:AO24</xm:sqref>
        </x14:dataValidation>
        <x14:dataValidation type="list" allowBlank="1" showInputMessage="1" showErrorMessage="1" xr:uid="{00000000-0002-0000-0300-000002000000}">
          <x14:formula1>
            <xm:f>מקרא!$B$5:$B$60</xm:f>
          </x14:formula1>
          <xm:sqref>BP5 BR5 BN5 BT5</xm:sqref>
        </x14:dataValidation>
        <x14:dataValidation type="list" allowBlank="1" showInputMessage="1" showErrorMessage="1" xr:uid="{00000000-0002-0000-0300-000003000000}">
          <x14:formula1>
            <xm:f>מיילים!$M$2:$M$36</xm:f>
          </x14:formula1>
          <xm:sqref>T3:U3</xm:sqref>
        </x14:dataValidation>
        <x14:dataValidation type="list" allowBlank="1" showInputMessage="1" showErrorMessage="1" xr:uid="{00000000-0002-0000-0300-000004000000}">
          <x14:formula1>
            <xm:f>מיילים!$M$3:$M$37</xm:f>
          </x14:formula1>
          <xm:sqref>R3:S3 V3:W3</xm:sqref>
        </x14:dataValidation>
        <x14:dataValidation type="list" allowBlank="1" showInputMessage="1" showErrorMessage="1" xr:uid="{00000000-0002-0000-0300-000005000000}">
          <x14:formula1>
            <xm:f>מיילים!$M$2:$M$31</xm:f>
          </x14:formula1>
          <xm:sqref>P3:Q3 AW3:AZ3 BS3:CA3 BE3:BO3 AD3:AE3 D3:N3</xm:sqref>
        </x14:dataValidation>
        <x14:dataValidation type="list" allowBlank="1" showInputMessage="1" showErrorMessage="1" xr:uid="{00000000-0002-0000-0300-000006000000}">
          <x14:formula1>
            <xm:f>מיילים!$M$2:$M$38</xm:f>
          </x14:formula1>
          <xm:sqref>BQ3:BR3 BC3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K39"/>
  <sheetViews>
    <sheetView rightToLeft="1" tabSelected="1" zoomScale="85" zoomScaleNormal="80" workbookViewId="0">
      <pane ySplit="4" topLeftCell="A5" activePane="bottomLeft" state="frozen"/>
      <selection pane="bottomLeft" activeCell="D7" sqref="D7"/>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29" width="4.625" style="1" customWidth="1"/>
    <col min="30" max="30" width="8.625" style="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284</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0">
        <v>5</v>
      </c>
      <c r="AU1" s="341"/>
      <c r="AV1" s="342"/>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366">
        <v>5</v>
      </c>
      <c r="CD1" s="367"/>
      <c r="CE1" s="368"/>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69"/>
      <c r="CD2" s="370"/>
      <c r="CE2" s="371"/>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557"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5"/>
      <c r="BO3" s="533" t="s">
        <v>21</v>
      </c>
      <c r="BP3" s="534"/>
      <c r="BQ3" s="533" t="s">
        <v>23</v>
      </c>
      <c r="BR3" s="534"/>
      <c r="BS3" s="535" t="s">
        <v>28</v>
      </c>
      <c r="BT3" s="536"/>
      <c r="BU3" s="393"/>
      <c r="BV3" s="394"/>
      <c r="BW3" s="395" t="s">
        <v>30</v>
      </c>
      <c r="BX3" s="395"/>
      <c r="BY3" s="395" t="s">
        <v>31</v>
      </c>
      <c r="BZ3" s="395"/>
      <c r="CA3" s="396" t="s">
        <v>227</v>
      </c>
      <c r="CB3" s="397"/>
      <c r="CC3" s="369"/>
      <c r="CD3" s="370"/>
      <c r="CE3" s="371"/>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384"/>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6"/>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72"/>
      <c r="CD4" s="373"/>
      <c r="CE4" s="374"/>
      <c r="CF4" s="24" t="s">
        <v>38</v>
      </c>
      <c r="CG4" s="23" t="s">
        <v>39</v>
      </c>
      <c r="CH4" s="95" t="s">
        <v>36</v>
      </c>
      <c r="CI4" s="95" t="s">
        <v>37</v>
      </c>
      <c r="CJ4" s="412"/>
      <c r="CK4" s="413"/>
    </row>
    <row r="5" spans="1:89" ht="15" customHeight="1">
      <c r="A5" s="22">
        <v>1</v>
      </c>
      <c r="B5" s="22" t="s">
        <v>130</v>
      </c>
      <c r="C5" s="506">
        <v>18</v>
      </c>
      <c r="D5" s="148"/>
      <c r="E5" s="146"/>
      <c r="F5" s="148"/>
      <c r="G5" s="146"/>
      <c r="H5" s="149"/>
      <c r="I5" s="146"/>
      <c r="J5" s="148"/>
      <c r="K5" s="146"/>
      <c r="L5" s="149"/>
      <c r="M5" s="146"/>
      <c r="N5" s="148"/>
      <c r="O5" s="325"/>
      <c r="P5" s="148"/>
      <c r="Q5" s="146"/>
      <c r="R5" s="310" t="s">
        <v>57</v>
      </c>
      <c r="S5" s="146"/>
      <c r="T5" s="149"/>
      <c r="U5" s="146"/>
      <c r="V5" s="149"/>
      <c r="W5" s="146"/>
      <c r="X5" s="147"/>
      <c r="Y5" s="146" t="s">
        <v>53</v>
      </c>
      <c r="Z5" s="148"/>
      <c r="AA5" s="146"/>
      <c r="AB5" s="148"/>
      <c r="AC5" s="146"/>
      <c r="AD5" s="147"/>
      <c r="AE5" s="146" t="s">
        <v>137</v>
      </c>
      <c r="AF5" s="148"/>
      <c r="AG5" s="146"/>
      <c r="AH5" s="148" t="s">
        <v>41</v>
      </c>
      <c r="AI5" s="146"/>
      <c r="AJ5" s="148"/>
      <c r="AK5" s="146"/>
      <c r="AL5" s="148"/>
      <c r="AM5" s="146"/>
      <c r="AN5" s="157" t="s">
        <v>57</v>
      </c>
      <c r="AO5" s="146"/>
      <c r="AP5" s="564"/>
      <c r="AQ5" s="565"/>
      <c r="AR5" s="104"/>
      <c r="AS5" s="105"/>
      <c r="AT5" s="22">
        <v>1</v>
      </c>
      <c r="AU5" s="22" t="s">
        <v>130</v>
      </c>
      <c r="AV5" s="506">
        <v>18</v>
      </c>
      <c r="AW5" s="81"/>
      <c r="AX5" s="188" t="s">
        <v>47</v>
      </c>
      <c r="AY5" s="68"/>
      <c r="AZ5" s="66"/>
      <c r="BA5" s="68"/>
      <c r="BB5" s="68"/>
      <c r="BC5" s="110"/>
      <c r="BD5" s="188" t="s">
        <v>47</v>
      </c>
      <c r="BE5" s="81"/>
      <c r="BF5" s="67" t="s">
        <v>61</v>
      </c>
      <c r="BG5" s="68"/>
      <c r="BH5" s="70" t="s">
        <v>61</v>
      </c>
      <c r="BI5" s="68"/>
      <c r="BJ5" s="69" t="s">
        <v>61</v>
      </c>
      <c r="BK5" s="110"/>
      <c r="BL5" s="66" t="s">
        <v>34</v>
      </c>
      <c r="BM5" s="38"/>
      <c r="BN5" s="71" t="s">
        <v>33</v>
      </c>
      <c r="BO5" s="68"/>
      <c r="BP5" s="71" t="s">
        <v>41</v>
      </c>
      <c r="BQ5" s="68"/>
      <c r="BR5" s="73" t="s">
        <v>33</v>
      </c>
      <c r="BS5" s="68"/>
      <c r="BT5" s="70" t="s">
        <v>61</v>
      </c>
      <c r="BU5" s="108"/>
      <c r="BV5" s="66"/>
      <c r="BW5" s="68"/>
      <c r="BX5" s="66"/>
      <c r="BY5" s="68"/>
      <c r="BZ5" s="68"/>
      <c r="CA5" s="83"/>
      <c r="CB5" s="66"/>
      <c r="CC5" s="22">
        <v>1</v>
      </c>
      <c r="CD5" s="22" t="s">
        <v>130</v>
      </c>
      <c r="CE5" s="506">
        <v>17</v>
      </c>
      <c r="CF5" s="311">
        <f t="shared" ref="CF5:CF35" si="0">COUNTIF(AX5:CB5,"י")+COUNTIF(AX5:CB5,"Y")+COUNTIF(AX5:CB5,"2")</f>
        <v>2</v>
      </c>
      <c r="CG5" s="76">
        <f t="shared" ref="CG5:CG35" si="1">COUNTIF(AW5:CB5,"ל")+COUNTIF(AW5:CB5,"L")+COUNTIF(AW5:CB5,"ל2")</f>
        <v>3</v>
      </c>
      <c r="CH5" s="93"/>
      <c r="CI5" s="94"/>
      <c r="CJ5" s="449"/>
      <c r="CK5" s="450"/>
    </row>
    <row r="6" spans="1:89" ht="15" customHeight="1">
      <c r="A6" s="22">
        <v>2</v>
      </c>
      <c r="B6" s="22" t="s">
        <v>131</v>
      </c>
      <c r="C6" s="508"/>
      <c r="D6" s="125"/>
      <c r="E6" s="124"/>
      <c r="F6" s="125"/>
      <c r="G6" s="124"/>
      <c r="H6" s="125"/>
      <c r="I6" s="124"/>
      <c r="J6" s="125"/>
      <c r="K6" s="124"/>
      <c r="L6" s="125"/>
      <c r="M6" s="124"/>
      <c r="N6" s="125"/>
      <c r="O6" s="326"/>
      <c r="P6" s="125"/>
      <c r="Q6" s="124"/>
      <c r="R6" s="310" t="s">
        <v>57</v>
      </c>
      <c r="S6" s="124"/>
      <c r="T6" s="123"/>
      <c r="U6" s="124"/>
      <c r="V6" s="123"/>
      <c r="W6" s="124"/>
      <c r="X6" s="123"/>
      <c r="Y6" s="146" t="s">
        <v>53</v>
      </c>
      <c r="Z6" s="125"/>
      <c r="AA6" s="124"/>
      <c r="AB6" s="125"/>
      <c r="AC6" s="124"/>
      <c r="AD6" s="123"/>
      <c r="AE6" s="124" t="s">
        <v>137</v>
      </c>
      <c r="AF6" s="125"/>
      <c r="AG6" s="146"/>
      <c r="AH6" s="148" t="s">
        <v>41</v>
      </c>
      <c r="AI6" s="124"/>
      <c r="AJ6" s="125"/>
      <c r="AK6" s="124"/>
      <c r="AL6" s="125"/>
      <c r="AM6" s="124"/>
      <c r="AN6" s="157" t="s">
        <v>57</v>
      </c>
      <c r="AO6" s="124"/>
      <c r="AP6" s="570"/>
      <c r="AQ6" s="571"/>
      <c r="AR6" s="104"/>
      <c r="AS6" s="105"/>
      <c r="AT6" s="22">
        <v>2</v>
      </c>
      <c r="AU6" s="22" t="s">
        <v>131</v>
      </c>
      <c r="AV6" s="508"/>
      <c r="AW6" s="16"/>
      <c r="AX6" s="71"/>
      <c r="AY6" s="73"/>
      <c r="AZ6" s="71"/>
      <c r="BA6" s="73"/>
      <c r="BB6" s="73"/>
      <c r="BC6" s="59"/>
      <c r="BD6" s="71"/>
      <c r="BE6" s="16"/>
      <c r="BF6" s="71"/>
      <c r="BG6" s="73"/>
      <c r="BH6" s="66"/>
      <c r="BI6" s="73"/>
      <c r="BJ6" s="73"/>
      <c r="BK6" s="59"/>
      <c r="BL6" s="71"/>
      <c r="BM6" s="38"/>
      <c r="BN6" s="66" t="s">
        <v>34</v>
      </c>
      <c r="BO6" s="68"/>
      <c r="BP6" s="66" t="s">
        <v>34</v>
      </c>
      <c r="BQ6" s="68"/>
      <c r="BR6" s="68" t="s">
        <v>34</v>
      </c>
      <c r="BS6" s="110"/>
      <c r="BT6" s="75" t="s">
        <v>34</v>
      </c>
      <c r="BU6" s="108"/>
      <c r="BV6" s="66"/>
      <c r="BW6" s="68"/>
      <c r="BX6" s="70" t="s">
        <v>61</v>
      </c>
      <c r="BY6" s="68"/>
      <c r="BZ6" s="73" t="s">
        <v>33</v>
      </c>
      <c r="CA6" s="68"/>
      <c r="CB6" s="71" t="s">
        <v>33</v>
      </c>
      <c r="CC6" s="22">
        <v>2</v>
      </c>
      <c r="CD6" s="22" t="s">
        <v>131</v>
      </c>
      <c r="CE6" s="508"/>
      <c r="CF6" s="311">
        <f t="shared" si="0"/>
        <v>2</v>
      </c>
      <c r="CG6" s="76">
        <f t="shared" si="1"/>
        <v>4</v>
      </c>
      <c r="CH6" s="27"/>
      <c r="CI6" s="28"/>
      <c r="CJ6" s="449"/>
      <c r="CK6" s="450"/>
    </row>
    <row r="7" spans="1:89" ht="15" customHeight="1">
      <c r="A7" s="142">
        <v>3</v>
      </c>
      <c r="B7" s="142" t="s">
        <v>132</v>
      </c>
      <c r="C7" s="506">
        <v>19</v>
      </c>
      <c r="D7" s="119"/>
      <c r="E7" s="118"/>
      <c r="F7" s="119" t="s">
        <v>41</v>
      </c>
      <c r="G7" s="118"/>
      <c r="H7" s="120"/>
      <c r="I7" s="118" t="s">
        <v>136</v>
      </c>
      <c r="J7" s="119"/>
      <c r="K7" s="118"/>
      <c r="L7" s="120"/>
      <c r="M7" s="118"/>
      <c r="N7" s="119" t="s">
        <v>350</v>
      </c>
      <c r="O7" s="327"/>
      <c r="P7" s="119" t="s">
        <v>344</v>
      </c>
      <c r="Q7" s="118"/>
      <c r="R7" s="149" t="s">
        <v>57</v>
      </c>
      <c r="S7" s="118"/>
      <c r="T7" s="15"/>
      <c r="U7" s="118"/>
      <c r="V7" s="328" t="s">
        <v>57</v>
      </c>
      <c r="W7" s="118"/>
      <c r="X7" s="117"/>
      <c r="Y7" s="121"/>
      <c r="Z7" s="119"/>
      <c r="AA7" s="118"/>
      <c r="AB7" s="119"/>
      <c r="AC7" s="118" t="s">
        <v>51</v>
      </c>
      <c r="AD7" s="117"/>
      <c r="AE7" s="118"/>
      <c r="AF7" s="119"/>
      <c r="AG7" s="121"/>
      <c r="AH7" s="148" t="s">
        <v>41</v>
      </c>
      <c r="AI7" s="118"/>
      <c r="AJ7" s="119"/>
      <c r="AK7" s="118"/>
      <c r="AL7" s="119" t="s">
        <v>41</v>
      </c>
      <c r="AM7" s="118"/>
      <c r="AN7" s="157" t="s">
        <v>57</v>
      </c>
      <c r="AO7" s="118"/>
      <c r="AP7" s="566"/>
      <c r="AQ7" s="567"/>
      <c r="AR7" s="33"/>
      <c r="AS7" s="34"/>
      <c r="AT7" s="142">
        <v>3</v>
      </c>
      <c r="AU7" s="142" t="s">
        <v>132</v>
      </c>
      <c r="AV7" s="506">
        <v>19</v>
      </c>
      <c r="AW7" s="14"/>
      <c r="AX7" s="71" t="s">
        <v>33</v>
      </c>
      <c r="AY7" s="69"/>
      <c r="AZ7" s="71" t="s">
        <v>41</v>
      </c>
      <c r="BA7" s="69"/>
      <c r="BB7" s="159" t="s">
        <v>41</v>
      </c>
      <c r="BC7" s="69"/>
      <c r="BD7" s="71" t="s">
        <v>33</v>
      </c>
      <c r="BE7" s="14"/>
      <c r="BF7" s="70"/>
      <c r="BG7" s="72"/>
      <c r="BH7" s="66" t="s">
        <v>41</v>
      </c>
      <c r="BI7" s="72"/>
      <c r="BJ7" s="72" t="s">
        <v>41</v>
      </c>
      <c r="BK7" s="58"/>
      <c r="BL7" s="70"/>
      <c r="BM7" s="37"/>
      <c r="BN7" s="70"/>
      <c r="BO7" s="72"/>
      <c r="BP7" s="70"/>
      <c r="BQ7" s="72"/>
      <c r="BR7" s="72"/>
      <c r="BS7" s="15"/>
      <c r="BT7" s="194" t="s">
        <v>47</v>
      </c>
      <c r="BU7" s="96"/>
      <c r="BV7" s="70"/>
      <c r="BW7" s="69"/>
      <c r="BX7" s="67" t="s">
        <v>34</v>
      </c>
      <c r="BY7" s="69"/>
      <c r="BZ7" s="69" t="s">
        <v>34</v>
      </c>
      <c r="CA7" s="87"/>
      <c r="CB7" s="67" t="s">
        <v>41</v>
      </c>
      <c r="CC7" s="142">
        <v>3</v>
      </c>
      <c r="CD7" s="142" t="s">
        <v>132</v>
      </c>
      <c r="CE7" s="506">
        <v>18</v>
      </c>
      <c r="CF7" s="311">
        <f t="shared" si="0"/>
        <v>2</v>
      </c>
      <c r="CG7" s="76">
        <f t="shared" si="1"/>
        <v>3</v>
      </c>
      <c r="CH7" s="27"/>
      <c r="CI7" s="28"/>
      <c r="CJ7" s="449"/>
      <c r="CK7" s="450"/>
    </row>
    <row r="8" spans="1:89" ht="15" customHeight="1">
      <c r="A8" s="142">
        <v>4</v>
      </c>
      <c r="B8" s="142" t="s">
        <v>133</v>
      </c>
      <c r="C8" s="507"/>
      <c r="D8" s="117" t="s">
        <v>184</v>
      </c>
      <c r="E8" s="118"/>
      <c r="F8" s="119" t="s">
        <v>41</v>
      </c>
      <c r="G8" s="118"/>
      <c r="H8" s="330" t="s">
        <v>306</v>
      </c>
      <c r="I8" s="118"/>
      <c r="J8" s="119"/>
      <c r="K8" s="118"/>
      <c r="L8" s="331" t="s">
        <v>150</v>
      </c>
      <c r="M8" s="118"/>
      <c r="N8" s="324" t="s">
        <v>345</v>
      </c>
      <c r="O8" s="327"/>
      <c r="P8" s="119" t="s">
        <v>344</v>
      </c>
      <c r="Q8" s="118"/>
      <c r="R8" s="310" t="s">
        <v>57</v>
      </c>
      <c r="S8" s="118"/>
      <c r="T8" s="330" t="s">
        <v>306</v>
      </c>
      <c r="U8" s="118"/>
      <c r="V8" s="331" t="s">
        <v>150</v>
      </c>
      <c r="W8" s="118"/>
      <c r="X8" s="117" t="s">
        <v>184</v>
      </c>
      <c r="Y8" s="121"/>
      <c r="Z8" s="119"/>
      <c r="AA8" s="118"/>
      <c r="AB8" s="119"/>
      <c r="AC8" s="118" t="s">
        <v>51</v>
      </c>
      <c r="AD8" s="117" t="s">
        <v>184</v>
      </c>
      <c r="AE8" s="118"/>
      <c r="AF8" s="119"/>
      <c r="AG8" s="121"/>
      <c r="AH8" s="148" t="s">
        <v>41</v>
      </c>
      <c r="AI8" s="118"/>
      <c r="AJ8" s="117" t="s">
        <v>184</v>
      </c>
      <c r="AK8" s="118" t="s">
        <v>136</v>
      </c>
      <c r="AL8" s="14" t="s">
        <v>42</v>
      </c>
      <c r="AM8" s="118"/>
      <c r="AN8" s="157" t="s">
        <v>57</v>
      </c>
      <c r="AO8" s="118"/>
      <c r="AP8" s="566" t="s">
        <v>258</v>
      </c>
      <c r="AQ8" s="567"/>
      <c r="AR8" s="33"/>
      <c r="AS8" s="34"/>
      <c r="AT8" s="142">
        <v>4</v>
      </c>
      <c r="AU8" s="142" t="s">
        <v>133</v>
      </c>
      <c r="AV8" s="507"/>
      <c r="AW8" s="14"/>
      <c r="AX8" s="67" t="s">
        <v>34</v>
      </c>
      <c r="AY8" s="69"/>
      <c r="AZ8" s="67" t="s">
        <v>34</v>
      </c>
      <c r="BA8" s="69"/>
      <c r="BB8" s="159" t="s">
        <v>41</v>
      </c>
      <c r="BC8" s="87"/>
      <c r="BD8" s="67" t="s">
        <v>34</v>
      </c>
      <c r="BE8" s="14"/>
      <c r="BF8" s="70" t="s">
        <v>33</v>
      </c>
      <c r="BG8" s="69"/>
      <c r="BH8" s="66" t="s">
        <v>41</v>
      </c>
      <c r="BI8" s="69"/>
      <c r="BJ8" s="73" t="s">
        <v>41</v>
      </c>
      <c r="BK8" s="69"/>
      <c r="BL8" s="71" t="s">
        <v>33</v>
      </c>
      <c r="BM8" s="37"/>
      <c r="BN8" s="70"/>
      <c r="BO8" s="72"/>
      <c r="BP8" s="70"/>
      <c r="BQ8" s="72"/>
      <c r="BR8" s="72"/>
      <c r="BS8" s="15"/>
      <c r="BT8" s="70"/>
      <c r="BU8" s="96"/>
      <c r="BV8" s="70"/>
      <c r="BW8" s="69"/>
      <c r="BX8" s="67"/>
      <c r="BY8" s="69"/>
      <c r="BZ8" s="69"/>
      <c r="CA8" s="97"/>
      <c r="CB8" s="71" t="s">
        <v>41</v>
      </c>
      <c r="CC8" s="142">
        <v>4</v>
      </c>
      <c r="CD8" s="142" t="s">
        <v>133</v>
      </c>
      <c r="CE8" s="507"/>
      <c r="CF8" s="311">
        <f t="shared" si="0"/>
        <v>2</v>
      </c>
      <c r="CG8" s="76">
        <f t="shared" si="1"/>
        <v>3</v>
      </c>
      <c r="CH8" s="27"/>
      <c r="CI8" s="28"/>
      <c r="CJ8" s="449"/>
      <c r="CK8" s="450"/>
    </row>
    <row r="9" spans="1:89" ht="15" customHeight="1">
      <c r="A9" s="142">
        <v>5</v>
      </c>
      <c r="B9" s="142" t="s">
        <v>127</v>
      </c>
      <c r="C9" s="507"/>
      <c r="D9" s="119" t="s">
        <v>347</v>
      </c>
      <c r="E9" s="118"/>
      <c r="F9" s="300" t="s">
        <v>41</v>
      </c>
      <c r="G9" s="118"/>
      <c r="H9" s="300" t="s">
        <v>147</v>
      </c>
      <c r="I9" s="118"/>
      <c r="J9" s="119" t="s">
        <v>348</v>
      </c>
      <c r="K9" s="118"/>
      <c r="L9" s="300" t="s">
        <v>147</v>
      </c>
      <c r="M9" s="118"/>
      <c r="N9" s="119" t="s">
        <v>42</v>
      </c>
      <c r="O9" s="327" t="s">
        <v>51</v>
      </c>
      <c r="P9" s="318" t="s">
        <v>147</v>
      </c>
      <c r="Q9" s="118"/>
      <c r="R9" s="310" t="s">
        <v>57</v>
      </c>
      <c r="S9" s="118"/>
      <c r="T9" s="322" t="s">
        <v>150</v>
      </c>
      <c r="U9" s="118"/>
      <c r="V9" s="300" t="s">
        <v>57</v>
      </c>
      <c r="W9" s="118"/>
      <c r="X9" s="324" t="s">
        <v>345</v>
      </c>
      <c r="Y9" s="121"/>
      <c r="Z9" s="119"/>
      <c r="AA9" s="118"/>
      <c r="AB9" s="119"/>
      <c r="AC9" s="118"/>
      <c r="AD9" s="117"/>
      <c r="AE9" s="118"/>
      <c r="AF9" s="119"/>
      <c r="AG9" s="121"/>
      <c r="AH9" s="148" t="s">
        <v>41</v>
      </c>
      <c r="AI9" s="118"/>
      <c r="AJ9" s="300" t="s">
        <v>147</v>
      </c>
      <c r="AK9" s="118"/>
      <c r="AL9" s="119" t="s">
        <v>41</v>
      </c>
      <c r="AM9" s="118"/>
      <c r="AN9" s="119"/>
      <c r="AO9" s="118" t="s">
        <v>136</v>
      </c>
      <c r="AP9" s="566" t="s">
        <v>257</v>
      </c>
      <c r="AQ9" s="567"/>
      <c r="AR9" s="33"/>
      <c r="AS9" s="34"/>
      <c r="AT9" s="142">
        <v>5</v>
      </c>
      <c r="AU9" s="142" t="s">
        <v>127</v>
      </c>
      <c r="AV9" s="507"/>
      <c r="AW9" s="14"/>
      <c r="AX9" s="70"/>
      <c r="AY9" s="72"/>
      <c r="AZ9" s="70"/>
      <c r="BA9" s="72"/>
      <c r="BB9" s="159" t="s">
        <v>41</v>
      </c>
      <c r="BC9" s="58"/>
      <c r="BD9" s="70"/>
      <c r="BE9" s="14"/>
      <c r="BF9" s="70" t="s">
        <v>34</v>
      </c>
      <c r="BG9" s="69"/>
      <c r="BH9" s="66" t="s">
        <v>41</v>
      </c>
      <c r="BI9" s="69"/>
      <c r="BJ9" s="69" t="s">
        <v>34</v>
      </c>
      <c r="BK9" s="87"/>
      <c r="BL9" s="67" t="s">
        <v>34</v>
      </c>
      <c r="BM9" s="37"/>
      <c r="BN9" s="71" t="s">
        <v>33</v>
      </c>
      <c r="BO9" s="69"/>
      <c r="BP9" s="71" t="s">
        <v>33</v>
      </c>
      <c r="BQ9" s="69"/>
      <c r="BR9" s="73" t="s">
        <v>33</v>
      </c>
      <c r="BS9" s="69"/>
      <c r="BT9" s="71" t="s">
        <v>33</v>
      </c>
      <c r="BU9" s="96"/>
      <c r="BV9" s="70"/>
      <c r="BW9" s="69"/>
      <c r="BX9" s="67"/>
      <c r="BY9" s="69"/>
      <c r="BZ9" s="69"/>
      <c r="CA9" s="97"/>
      <c r="CB9" s="67" t="s">
        <v>41</v>
      </c>
      <c r="CC9" s="142">
        <v>5</v>
      </c>
      <c r="CD9" s="142" t="s">
        <v>127</v>
      </c>
      <c r="CE9" s="507"/>
      <c r="CF9" s="311">
        <f t="shared" si="0"/>
        <v>4</v>
      </c>
      <c r="CG9" s="76">
        <f t="shared" si="1"/>
        <v>3</v>
      </c>
      <c r="CH9" s="27"/>
      <c r="CI9" s="28"/>
      <c r="CJ9" s="449"/>
      <c r="CK9" s="450"/>
    </row>
    <row r="10" spans="1:89" ht="15" customHeight="1">
      <c r="A10" s="142">
        <v>6</v>
      </c>
      <c r="B10" s="142" t="s">
        <v>128</v>
      </c>
      <c r="C10" s="507"/>
      <c r="D10" s="119" t="s">
        <v>347</v>
      </c>
      <c r="E10" s="118"/>
      <c r="F10" s="332" t="s">
        <v>150</v>
      </c>
      <c r="G10" s="118" t="s">
        <v>136</v>
      </c>
      <c r="H10" s="119"/>
      <c r="I10" s="118"/>
      <c r="J10" s="317" t="s">
        <v>349</v>
      </c>
      <c r="K10" s="118"/>
      <c r="L10" s="317"/>
      <c r="M10" s="118"/>
      <c r="N10" s="324" t="s">
        <v>345</v>
      </c>
      <c r="O10" s="327"/>
      <c r="P10" s="119" t="s">
        <v>344</v>
      </c>
      <c r="Q10" s="118"/>
      <c r="R10" s="310" t="s">
        <v>57</v>
      </c>
      <c r="S10" s="118"/>
      <c r="T10" s="117"/>
      <c r="U10" s="118"/>
      <c r="V10" s="331" t="s">
        <v>150</v>
      </c>
      <c r="W10" s="118"/>
      <c r="X10" s="117"/>
      <c r="Y10" s="121"/>
      <c r="Z10" s="119"/>
      <c r="AA10" s="118"/>
      <c r="AB10" s="119"/>
      <c r="AC10" s="118"/>
      <c r="AD10" s="117" t="s">
        <v>42</v>
      </c>
      <c r="AE10" s="118" t="s">
        <v>51</v>
      </c>
      <c r="AF10" s="119"/>
      <c r="AG10" s="121"/>
      <c r="AH10" s="148" t="s">
        <v>41</v>
      </c>
      <c r="AI10" s="118"/>
      <c r="AJ10" s="117"/>
      <c r="AK10" s="118"/>
      <c r="AL10" s="119"/>
      <c r="AM10" s="118"/>
      <c r="AN10" s="119"/>
      <c r="AO10" s="118"/>
      <c r="AP10" s="566"/>
      <c r="AQ10" s="567"/>
      <c r="AR10" s="33"/>
      <c r="AS10" s="34"/>
      <c r="AT10" s="142">
        <v>6</v>
      </c>
      <c r="AU10" s="142" t="s">
        <v>128</v>
      </c>
      <c r="AV10" s="507"/>
      <c r="AW10" s="14"/>
      <c r="AX10" s="70"/>
      <c r="AY10" s="72"/>
      <c r="AZ10" s="70"/>
      <c r="BA10" s="72"/>
      <c r="BB10" s="159" t="s">
        <v>41</v>
      </c>
      <c r="BC10" s="58"/>
      <c r="BD10" s="196" t="s">
        <v>40</v>
      </c>
      <c r="BE10" s="14"/>
      <c r="BF10" s="70"/>
      <c r="BG10" s="72"/>
      <c r="BH10" s="66" t="s">
        <v>41</v>
      </c>
      <c r="BI10" s="72"/>
      <c r="BJ10" s="72"/>
      <c r="BK10" s="58"/>
      <c r="BL10" s="70"/>
      <c r="BM10" s="37"/>
      <c r="BN10" s="67" t="s">
        <v>34</v>
      </c>
      <c r="BO10" s="69"/>
      <c r="BP10" s="67" t="s">
        <v>34</v>
      </c>
      <c r="BQ10" s="69"/>
      <c r="BR10" s="69" t="s">
        <v>34</v>
      </c>
      <c r="BS10" s="87"/>
      <c r="BT10" s="67" t="s">
        <v>34</v>
      </c>
      <c r="BU10" s="96"/>
      <c r="BV10" s="70"/>
      <c r="BW10" s="69"/>
      <c r="BX10" s="71" t="s">
        <v>33</v>
      </c>
      <c r="BY10" s="69"/>
      <c r="BZ10" s="73" t="s">
        <v>33</v>
      </c>
      <c r="CA10" s="69"/>
      <c r="CB10" s="71" t="s">
        <v>41</v>
      </c>
      <c r="CC10" s="142">
        <v>6</v>
      </c>
      <c r="CD10" s="142" t="s">
        <v>128</v>
      </c>
      <c r="CE10" s="507"/>
      <c r="CF10" s="311">
        <f t="shared" si="0"/>
        <v>3</v>
      </c>
      <c r="CG10" s="76">
        <f t="shared" si="1"/>
        <v>4</v>
      </c>
      <c r="CH10" s="27"/>
      <c r="CI10" s="28"/>
      <c r="CJ10" s="449"/>
      <c r="CK10" s="450"/>
    </row>
    <row r="11" spans="1:89" ht="15" customHeight="1">
      <c r="A11" s="142">
        <v>7</v>
      </c>
      <c r="B11" s="142" t="s">
        <v>129</v>
      </c>
      <c r="C11" s="507"/>
      <c r="D11" s="119"/>
      <c r="E11" s="118"/>
      <c r="F11" s="119"/>
      <c r="G11" s="118" t="s">
        <v>136</v>
      </c>
      <c r="H11" s="119"/>
      <c r="I11" s="118"/>
      <c r="J11" s="119"/>
      <c r="K11" s="118"/>
      <c r="L11" s="119"/>
      <c r="M11" s="118"/>
      <c r="N11" s="119" t="s">
        <v>350</v>
      </c>
      <c r="O11" s="327"/>
      <c r="P11" s="119" t="s">
        <v>41</v>
      </c>
      <c r="Q11" s="118"/>
      <c r="R11" s="310" t="s">
        <v>57</v>
      </c>
      <c r="S11" s="118"/>
      <c r="T11" s="117"/>
      <c r="U11" s="118"/>
      <c r="V11" s="117"/>
      <c r="W11" s="118" t="s">
        <v>51</v>
      </c>
      <c r="X11" s="117" t="s">
        <v>41</v>
      </c>
      <c r="Y11" s="121"/>
      <c r="Z11" s="119"/>
      <c r="AA11" s="118"/>
      <c r="AB11" s="119"/>
      <c r="AC11" s="118"/>
      <c r="AD11" s="117"/>
      <c r="AE11" s="118"/>
      <c r="AF11" s="119"/>
      <c r="AG11" s="121"/>
      <c r="AH11" s="148" t="s">
        <v>41</v>
      </c>
      <c r="AI11" s="118"/>
      <c r="AJ11" s="119"/>
      <c r="AK11" s="118"/>
      <c r="AL11" s="119"/>
      <c r="AM11" s="118"/>
      <c r="AN11" s="119"/>
      <c r="AO11" s="118"/>
      <c r="AP11" s="566"/>
      <c r="AQ11" s="567"/>
      <c r="AR11" s="33"/>
      <c r="AS11" s="34"/>
      <c r="AT11" s="142">
        <v>7</v>
      </c>
      <c r="AU11" s="142" t="s">
        <v>129</v>
      </c>
      <c r="AV11" s="507"/>
      <c r="AW11" s="14"/>
      <c r="AX11" s="71" t="s">
        <v>33</v>
      </c>
      <c r="AY11" s="69"/>
      <c r="AZ11" s="71" t="s">
        <v>33</v>
      </c>
      <c r="BA11" s="69"/>
      <c r="BB11" s="159" t="s">
        <v>41</v>
      </c>
      <c r="BC11" s="69"/>
      <c r="BD11" s="71" t="s">
        <v>33</v>
      </c>
      <c r="BE11" s="14"/>
      <c r="BF11" s="70"/>
      <c r="BG11" s="72"/>
      <c r="BH11" s="66" t="s">
        <v>41</v>
      </c>
      <c r="BI11" s="72"/>
      <c r="BJ11" s="72"/>
      <c r="BK11" s="58"/>
      <c r="BL11" s="70"/>
      <c r="BM11" s="37"/>
      <c r="BN11" s="70"/>
      <c r="BO11" s="72"/>
      <c r="BP11" s="70"/>
      <c r="BQ11" s="72"/>
      <c r="BR11" s="72"/>
      <c r="BS11" s="15"/>
      <c r="BT11" s="194" t="s">
        <v>47</v>
      </c>
      <c r="BU11" s="96"/>
      <c r="BV11" s="70"/>
      <c r="BW11" s="69"/>
      <c r="BX11" s="67" t="s">
        <v>34</v>
      </c>
      <c r="BY11" s="69"/>
      <c r="BZ11" s="69" t="s">
        <v>34</v>
      </c>
      <c r="CA11" s="87"/>
      <c r="CB11" s="67" t="s">
        <v>41</v>
      </c>
      <c r="CC11" s="142">
        <v>7</v>
      </c>
      <c r="CD11" s="142" t="s">
        <v>129</v>
      </c>
      <c r="CE11" s="507"/>
      <c r="CF11" s="311">
        <f t="shared" si="0"/>
        <v>3</v>
      </c>
      <c r="CG11" s="76">
        <f t="shared" si="1"/>
        <v>3</v>
      </c>
      <c r="CH11" s="27"/>
      <c r="CI11" s="28"/>
      <c r="CJ11" s="449"/>
      <c r="CK11" s="450"/>
    </row>
    <row r="12" spans="1:89" ht="15" customHeight="1">
      <c r="A12" s="22">
        <v>8</v>
      </c>
      <c r="B12" s="22" t="s">
        <v>130</v>
      </c>
      <c r="C12" s="507"/>
      <c r="D12" s="125"/>
      <c r="E12" s="124"/>
      <c r="F12" s="125"/>
      <c r="G12" s="124"/>
      <c r="H12" s="126"/>
      <c r="I12" s="124"/>
      <c r="J12" s="125"/>
      <c r="K12" s="124"/>
      <c r="L12" s="126"/>
      <c r="M12" s="124"/>
      <c r="N12" s="125"/>
      <c r="O12" s="326" t="s">
        <v>53</v>
      </c>
      <c r="P12" s="125"/>
      <c r="Q12" s="124"/>
      <c r="R12" s="149" t="s">
        <v>57</v>
      </c>
      <c r="S12" s="124"/>
      <c r="T12" s="126"/>
      <c r="U12" s="124"/>
      <c r="V12" s="126"/>
      <c r="W12" s="124"/>
      <c r="X12" s="117" t="s">
        <v>41</v>
      </c>
      <c r="Y12" s="146"/>
      <c r="Z12" s="125"/>
      <c r="AA12" s="124"/>
      <c r="AB12" s="125"/>
      <c r="AC12" s="124"/>
      <c r="AD12" s="123"/>
      <c r="AE12" s="124"/>
      <c r="AF12" s="125"/>
      <c r="AG12" s="146" t="s">
        <v>137</v>
      </c>
      <c r="AH12" s="148" t="s">
        <v>41</v>
      </c>
      <c r="AI12" s="124"/>
      <c r="AJ12" s="125"/>
      <c r="AK12" s="124"/>
      <c r="AL12" s="125"/>
      <c r="AM12" s="124"/>
      <c r="AN12" s="125"/>
      <c r="AO12" s="124"/>
      <c r="AP12" s="568"/>
      <c r="AQ12" s="569"/>
      <c r="AR12" s="104"/>
      <c r="AS12" s="105"/>
      <c r="AT12" s="22">
        <v>8</v>
      </c>
      <c r="AU12" s="22" t="s">
        <v>130</v>
      </c>
      <c r="AV12" s="507"/>
      <c r="AW12" s="16"/>
      <c r="AX12" s="66" t="s">
        <v>34</v>
      </c>
      <c r="AY12" s="68"/>
      <c r="AZ12" s="66" t="s">
        <v>34</v>
      </c>
      <c r="BA12" s="68"/>
      <c r="BB12" s="69" t="s">
        <v>61</v>
      </c>
      <c r="BC12" s="110"/>
      <c r="BD12" s="67" t="s">
        <v>61</v>
      </c>
      <c r="BE12" s="16"/>
      <c r="BF12" s="71" t="s">
        <v>33</v>
      </c>
      <c r="BG12" s="68"/>
      <c r="BH12" s="70" t="s">
        <v>61</v>
      </c>
      <c r="BI12" s="68"/>
      <c r="BJ12" s="73" t="s">
        <v>33</v>
      </c>
      <c r="BK12" s="68"/>
      <c r="BL12" s="71" t="s">
        <v>33</v>
      </c>
      <c r="BM12" s="38"/>
      <c r="BN12" s="71"/>
      <c r="BO12" s="73"/>
      <c r="BP12" s="71"/>
      <c r="BQ12" s="73"/>
      <c r="BR12" s="73"/>
      <c r="BS12" s="18"/>
      <c r="BT12" s="71"/>
      <c r="BU12" s="108"/>
      <c r="BV12" s="68"/>
      <c r="BW12" s="68"/>
      <c r="BX12" s="66"/>
      <c r="BY12" s="68"/>
      <c r="BZ12" s="68"/>
      <c r="CA12" s="83"/>
      <c r="CB12" s="67" t="s">
        <v>61</v>
      </c>
      <c r="CC12" s="22">
        <v>8</v>
      </c>
      <c r="CD12" s="22" t="s">
        <v>130</v>
      </c>
      <c r="CE12" s="507"/>
      <c r="CF12" s="311">
        <f t="shared" si="0"/>
        <v>3</v>
      </c>
      <c r="CG12" s="76">
        <f t="shared" si="1"/>
        <v>2</v>
      </c>
      <c r="CH12" s="27"/>
      <c r="CI12" s="28"/>
      <c r="CJ12" s="449"/>
      <c r="CK12" s="450"/>
    </row>
    <row r="13" spans="1:89" ht="15" customHeight="1">
      <c r="A13" s="22">
        <v>9</v>
      </c>
      <c r="B13" s="22" t="s">
        <v>131</v>
      </c>
      <c r="C13" s="508"/>
      <c r="D13" s="125"/>
      <c r="E13" s="124"/>
      <c r="F13" s="125"/>
      <c r="G13" s="124"/>
      <c r="H13" s="125"/>
      <c r="I13" s="124"/>
      <c r="J13" s="125"/>
      <c r="K13" s="124"/>
      <c r="L13" s="125"/>
      <c r="M13" s="124"/>
      <c r="N13" s="125"/>
      <c r="O13" s="326" t="s">
        <v>53</v>
      </c>
      <c r="P13" s="125"/>
      <c r="Q13" s="124"/>
      <c r="R13" s="310" t="s">
        <v>57</v>
      </c>
      <c r="S13" s="124"/>
      <c r="T13" s="123"/>
      <c r="U13" s="124"/>
      <c r="V13" s="123"/>
      <c r="W13" s="124"/>
      <c r="X13" s="117" t="s">
        <v>41</v>
      </c>
      <c r="Y13" s="146"/>
      <c r="Z13" s="125"/>
      <c r="AA13" s="124"/>
      <c r="AB13" s="125"/>
      <c r="AC13" s="124"/>
      <c r="AD13" s="123"/>
      <c r="AE13" s="124"/>
      <c r="AF13" s="125"/>
      <c r="AG13" s="146" t="s">
        <v>137</v>
      </c>
      <c r="AH13" s="148" t="s">
        <v>41</v>
      </c>
      <c r="AI13" s="124"/>
      <c r="AJ13" s="125"/>
      <c r="AK13" s="124"/>
      <c r="AL13" s="125"/>
      <c r="AM13" s="124"/>
      <c r="AN13" s="125"/>
      <c r="AO13" s="124"/>
      <c r="AP13" s="568"/>
      <c r="AQ13" s="569"/>
      <c r="AR13" s="104"/>
      <c r="AS13" s="105"/>
      <c r="AT13" s="22">
        <v>9</v>
      </c>
      <c r="AU13" s="22" t="s">
        <v>131</v>
      </c>
      <c r="AV13" s="508"/>
      <c r="AW13" s="16"/>
      <c r="AX13" s="71"/>
      <c r="AY13" s="73"/>
      <c r="AZ13" s="71"/>
      <c r="BA13" s="73"/>
      <c r="BB13" s="73"/>
      <c r="BC13" s="59"/>
      <c r="BD13" s="71"/>
      <c r="BE13" s="16"/>
      <c r="BF13" s="66" t="s">
        <v>34</v>
      </c>
      <c r="BG13" s="68"/>
      <c r="BH13" s="66" t="s">
        <v>34</v>
      </c>
      <c r="BI13" s="68"/>
      <c r="BJ13" s="68" t="s">
        <v>34</v>
      </c>
      <c r="BK13" s="110"/>
      <c r="BL13" s="66" t="s">
        <v>34</v>
      </c>
      <c r="BM13" s="38"/>
      <c r="BN13" s="71" t="s">
        <v>33</v>
      </c>
      <c r="BO13" s="68"/>
      <c r="BP13" s="71" t="s">
        <v>33</v>
      </c>
      <c r="BQ13" s="68"/>
      <c r="BR13" s="73" t="s">
        <v>33</v>
      </c>
      <c r="BS13" s="68"/>
      <c r="BT13" s="70" t="s">
        <v>61</v>
      </c>
      <c r="BU13" s="108"/>
      <c r="BV13" s="68"/>
      <c r="BW13" s="68"/>
      <c r="BX13" s="66"/>
      <c r="BY13" s="68"/>
      <c r="BZ13" s="68"/>
      <c r="CA13" s="83"/>
      <c r="CB13" s="67" t="s">
        <v>61</v>
      </c>
      <c r="CC13" s="22">
        <v>9</v>
      </c>
      <c r="CD13" s="22" t="s">
        <v>131</v>
      </c>
      <c r="CE13" s="508"/>
      <c r="CF13" s="311">
        <f t="shared" si="0"/>
        <v>3</v>
      </c>
      <c r="CG13" s="76">
        <f t="shared" si="1"/>
        <v>4</v>
      </c>
      <c r="CH13" s="27"/>
      <c r="CI13" s="28"/>
      <c r="CJ13" s="449"/>
      <c r="CK13" s="450"/>
    </row>
    <row r="14" spans="1:89" ht="15" customHeight="1">
      <c r="A14" s="142">
        <v>10</v>
      </c>
      <c r="B14" s="142" t="s">
        <v>132</v>
      </c>
      <c r="C14" s="506">
        <v>20</v>
      </c>
      <c r="D14" s="119"/>
      <c r="E14" s="118"/>
      <c r="F14" s="119"/>
      <c r="G14" s="118"/>
      <c r="H14" s="321"/>
      <c r="I14" s="118" t="s">
        <v>136</v>
      </c>
      <c r="J14" s="300" t="s">
        <v>151</v>
      </c>
      <c r="K14" s="118"/>
      <c r="L14" s="120"/>
      <c r="M14" s="118"/>
      <c r="N14" s="119"/>
      <c r="O14" s="327"/>
      <c r="P14" s="119"/>
      <c r="Q14" s="118"/>
      <c r="R14" s="149" t="s">
        <v>57</v>
      </c>
      <c r="S14" s="118"/>
      <c r="T14" s="323" t="s">
        <v>151</v>
      </c>
      <c r="U14" s="118"/>
      <c r="V14" s="319" t="s">
        <v>57</v>
      </c>
      <c r="W14" s="118"/>
      <c r="X14" s="119"/>
      <c r="Y14" s="121"/>
      <c r="Z14" s="119"/>
      <c r="AA14" s="118"/>
      <c r="AB14" s="119"/>
      <c r="AC14" s="118" t="s">
        <v>51</v>
      </c>
      <c r="AD14" s="117"/>
      <c r="AE14" s="118"/>
      <c r="AF14" s="300" t="s">
        <v>151</v>
      </c>
      <c r="AG14" s="121"/>
      <c r="AH14" s="148" t="s">
        <v>41</v>
      </c>
      <c r="AI14" s="118"/>
      <c r="AJ14" s="119"/>
      <c r="AK14" s="118"/>
      <c r="AL14" s="300" t="s">
        <v>151</v>
      </c>
      <c r="AM14" s="118"/>
      <c r="AN14" s="119"/>
      <c r="AO14" s="118"/>
      <c r="AP14" s="527"/>
      <c r="AQ14" s="528"/>
      <c r="AR14" s="33"/>
      <c r="AS14" s="34"/>
      <c r="AT14" s="142">
        <v>10</v>
      </c>
      <c r="AU14" s="142" t="s">
        <v>132</v>
      </c>
      <c r="AV14" s="506">
        <v>20</v>
      </c>
      <c r="AW14" s="14"/>
      <c r="AX14" s="70"/>
      <c r="AY14" s="72"/>
      <c r="AZ14" s="70"/>
      <c r="BA14" s="72"/>
      <c r="BB14" s="159" t="s">
        <v>41</v>
      </c>
      <c r="BC14" s="58"/>
      <c r="BD14" s="70"/>
      <c r="BE14" s="14"/>
      <c r="BF14" s="70"/>
      <c r="BG14" s="72"/>
      <c r="BH14" s="70"/>
      <c r="BI14" s="72"/>
      <c r="BJ14" s="72"/>
      <c r="BK14" s="58"/>
      <c r="BL14" s="70"/>
      <c r="BM14" s="37"/>
      <c r="BN14" s="67" t="s">
        <v>34</v>
      </c>
      <c r="BO14" s="69"/>
      <c r="BP14" s="67" t="s">
        <v>34</v>
      </c>
      <c r="BQ14" s="69"/>
      <c r="BR14" s="69" t="s">
        <v>34</v>
      </c>
      <c r="BS14" s="87"/>
      <c r="BT14" s="67" t="s">
        <v>34</v>
      </c>
      <c r="BU14" s="96"/>
      <c r="BV14" s="70"/>
      <c r="BW14" s="69"/>
      <c r="BX14" s="71" t="s">
        <v>33</v>
      </c>
      <c r="BY14" s="69"/>
      <c r="BZ14" s="73" t="s">
        <v>33</v>
      </c>
      <c r="CA14" s="69"/>
      <c r="CB14" s="71" t="s">
        <v>41</v>
      </c>
      <c r="CC14" s="142">
        <v>10</v>
      </c>
      <c r="CD14" s="142" t="s">
        <v>132</v>
      </c>
      <c r="CE14" s="506">
        <v>19</v>
      </c>
      <c r="CF14" s="311">
        <f t="shared" si="0"/>
        <v>2</v>
      </c>
      <c r="CG14" s="76">
        <f t="shared" si="1"/>
        <v>4</v>
      </c>
      <c r="CH14" s="27"/>
      <c r="CI14" s="28"/>
      <c r="CJ14" s="449"/>
      <c r="CK14" s="450"/>
    </row>
    <row r="15" spans="1:89" ht="15" customHeight="1">
      <c r="A15" s="142">
        <v>11</v>
      </c>
      <c r="B15" s="142" t="s">
        <v>133</v>
      </c>
      <c r="C15" s="507"/>
      <c r="D15" s="119"/>
      <c r="E15" s="118"/>
      <c r="F15" s="119"/>
      <c r="G15" s="118"/>
      <c r="H15" s="119"/>
      <c r="I15" s="118"/>
      <c r="J15" s="300" t="s">
        <v>151</v>
      </c>
      <c r="K15" s="118"/>
      <c r="L15" s="119"/>
      <c r="M15" s="118"/>
      <c r="N15" s="117"/>
      <c r="O15" s="327"/>
      <c r="P15" s="320" t="s">
        <v>151</v>
      </c>
      <c r="Q15" s="118"/>
      <c r="R15" s="310" t="s">
        <v>57</v>
      </c>
      <c r="S15" s="118"/>
      <c r="T15" s="320" t="s">
        <v>151</v>
      </c>
      <c r="U15" s="118"/>
      <c r="V15" s="117"/>
      <c r="W15" s="118"/>
      <c r="X15" s="117" t="s">
        <v>351</v>
      </c>
      <c r="Y15" s="121"/>
      <c r="Z15" s="119"/>
      <c r="AA15" s="118"/>
      <c r="AB15" s="119"/>
      <c r="AC15" s="118" t="s">
        <v>51</v>
      </c>
      <c r="AD15" s="314"/>
      <c r="AE15" s="118"/>
      <c r="AF15" s="300" t="s">
        <v>151</v>
      </c>
      <c r="AG15" s="121"/>
      <c r="AH15" s="148" t="s">
        <v>41</v>
      </c>
      <c r="AI15" s="118"/>
      <c r="AJ15" s="119"/>
      <c r="AK15" s="118"/>
      <c r="AL15" s="300" t="s">
        <v>151</v>
      </c>
      <c r="AM15" s="118"/>
      <c r="AN15" s="119"/>
      <c r="AO15" s="118" t="s">
        <v>136</v>
      </c>
      <c r="AP15" s="527"/>
      <c r="AQ15" s="528"/>
      <c r="AR15" s="33"/>
      <c r="AS15" s="34"/>
      <c r="AT15" s="142">
        <v>11</v>
      </c>
      <c r="AU15" s="142" t="s">
        <v>133</v>
      </c>
      <c r="AV15" s="507"/>
      <c r="AW15" s="14"/>
      <c r="AX15" s="71" t="s">
        <v>33</v>
      </c>
      <c r="AY15" s="69"/>
      <c r="AZ15" s="71" t="s">
        <v>33</v>
      </c>
      <c r="BA15" s="69"/>
      <c r="BB15" s="159" t="s">
        <v>41</v>
      </c>
      <c r="BC15" s="69"/>
      <c r="BD15" s="71" t="s">
        <v>33</v>
      </c>
      <c r="BE15" s="14"/>
      <c r="BF15" s="70"/>
      <c r="BG15" s="72"/>
      <c r="BH15" s="70"/>
      <c r="BI15" s="72"/>
      <c r="BJ15" s="72"/>
      <c r="BK15" s="58"/>
      <c r="BL15" s="70"/>
      <c r="BM15" s="37"/>
      <c r="BN15" s="70"/>
      <c r="BO15" s="72"/>
      <c r="BP15" s="70"/>
      <c r="BQ15" s="72"/>
      <c r="BR15" s="72"/>
      <c r="BS15" s="15"/>
      <c r="BT15" s="70"/>
      <c r="BU15" s="96"/>
      <c r="BV15" s="70"/>
      <c r="BW15" s="69"/>
      <c r="BX15" s="67" t="s">
        <v>34</v>
      </c>
      <c r="BY15" s="69"/>
      <c r="BZ15" s="69" t="s">
        <v>34</v>
      </c>
      <c r="CA15" s="87"/>
      <c r="CB15" s="67" t="s">
        <v>34</v>
      </c>
      <c r="CC15" s="142">
        <v>11</v>
      </c>
      <c r="CD15" s="142" t="s">
        <v>133</v>
      </c>
      <c r="CE15" s="507"/>
      <c r="CF15" s="311">
        <f t="shared" si="0"/>
        <v>3</v>
      </c>
      <c r="CG15" s="76">
        <f t="shared" si="1"/>
        <v>3</v>
      </c>
      <c r="CH15" s="27"/>
      <c r="CI15" s="28"/>
      <c r="CJ15" s="449"/>
      <c r="CK15" s="450"/>
    </row>
    <row r="16" spans="1:89" ht="15" customHeight="1">
      <c r="A16" s="142">
        <v>12</v>
      </c>
      <c r="B16" s="142" t="s">
        <v>127</v>
      </c>
      <c r="C16" s="507"/>
      <c r="D16" s="119"/>
      <c r="E16" s="118"/>
      <c r="F16" s="119"/>
      <c r="G16" s="118"/>
      <c r="H16" s="119"/>
      <c r="I16" s="118"/>
      <c r="J16" s="300" t="s">
        <v>151</v>
      </c>
      <c r="K16" s="118"/>
      <c r="L16" s="119"/>
      <c r="M16" s="118"/>
      <c r="N16" s="119"/>
      <c r="O16" s="118"/>
      <c r="P16" s="320" t="s">
        <v>151</v>
      </c>
      <c r="Q16" s="118" t="s">
        <v>136</v>
      </c>
      <c r="R16" s="310" t="s">
        <v>57</v>
      </c>
      <c r="S16" s="118"/>
      <c r="T16" s="320" t="s">
        <v>151</v>
      </c>
      <c r="U16" s="118"/>
      <c r="V16" s="117"/>
      <c r="W16" s="118" t="s">
        <v>51</v>
      </c>
      <c r="X16" s="117"/>
      <c r="Y16" s="121"/>
      <c r="Z16" s="119"/>
      <c r="AA16" s="118"/>
      <c r="AB16" s="119"/>
      <c r="AC16" s="118"/>
      <c r="AD16" s="117"/>
      <c r="AE16" s="118"/>
      <c r="AF16" s="300" t="s">
        <v>151</v>
      </c>
      <c r="AG16" s="121"/>
      <c r="AH16" s="148" t="s">
        <v>41</v>
      </c>
      <c r="AI16" s="118"/>
      <c r="AJ16" s="119"/>
      <c r="AK16" s="118"/>
      <c r="AL16" s="300" t="s">
        <v>151</v>
      </c>
      <c r="AM16" s="118"/>
      <c r="AN16" s="119"/>
      <c r="AO16" s="118"/>
      <c r="AP16" s="527"/>
      <c r="AQ16" s="528"/>
      <c r="AR16" s="33"/>
      <c r="AS16" s="34"/>
      <c r="AT16" s="142">
        <v>12</v>
      </c>
      <c r="AU16" s="142" t="s">
        <v>127</v>
      </c>
      <c r="AV16" s="507"/>
      <c r="AW16" s="14"/>
      <c r="AX16" s="67" t="s">
        <v>34</v>
      </c>
      <c r="AY16" s="69"/>
      <c r="AZ16" s="67" t="s">
        <v>34</v>
      </c>
      <c r="BA16" s="69"/>
      <c r="BB16" s="159" t="s">
        <v>41</v>
      </c>
      <c r="BC16" s="87"/>
      <c r="BD16" s="67" t="s">
        <v>34</v>
      </c>
      <c r="BE16" s="14"/>
      <c r="BF16" s="71" t="s">
        <v>33</v>
      </c>
      <c r="BG16" s="69"/>
      <c r="BH16" s="71" t="s">
        <v>33</v>
      </c>
      <c r="BI16" s="69"/>
      <c r="BJ16" s="73" t="s">
        <v>33</v>
      </c>
      <c r="BK16" s="69"/>
      <c r="BL16" s="71" t="s">
        <v>33</v>
      </c>
      <c r="BM16" s="37"/>
      <c r="BN16" s="70"/>
      <c r="BO16" s="72"/>
      <c r="BP16" s="70"/>
      <c r="BQ16" s="72"/>
      <c r="BR16" s="72"/>
      <c r="BS16" s="15"/>
      <c r="BT16" s="70"/>
      <c r="BU16" s="96"/>
      <c r="BV16" s="70"/>
      <c r="BW16" s="69"/>
      <c r="BX16" s="67"/>
      <c r="BY16" s="69"/>
      <c r="BZ16" s="69"/>
      <c r="CA16" s="97"/>
      <c r="CB16" s="67"/>
      <c r="CC16" s="142">
        <v>12</v>
      </c>
      <c r="CD16" s="142" t="s">
        <v>127</v>
      </c>
      <c r="CE16" s="507"/>
      <c r="CF16" s="311">
        <f t="shared" si="0"/>
        <v>4</v>
      </c>
      <c r="CG16" s="76">
        <f t="shared" si="1"/>
        <v>3</v>
      </c>
      <c r="CH16" s="27"/>
      <c r="CI16" s="28"/>
      <c r="CJ16" s="449"/>
      <c r="CK16" s="450"/>
    </row>
    <row r="17" spans="1:89" ht="15" customHeight="1">
      <c r="A17" s="142">
        <v>13</v>
      </c>
      <c r="B17" s="142" t="s">
        <v>128</v>
      </c>
      <c r="C17" s="507"/>
      <c r="D17" s="119"/>
      <c r="E17" s="118"/>
      <c r="F17" s="317"/>
      <c r="G17" s="118"/>
      <c r="H17" s="119"/>
      <c r="I17" s="118"/>
      <c r="J17" s="300" t="s">
        <v>151</v>
      </c>
      <c r="K17" s="118"/>
      <c r="L17" s="317"/>
      <c r="M17" s="118"/>
      <c r="N17" s="119"/>
      <c r="O17" s="118"/>
      <c r="P17" s="320" t="s">
        <v>151</v>
      </c>
      <c r="Q17" s="118" t="s">
        <v>136</v>
      </c>
      <c r="R17" s="310" t="s">
        <v>57</v>
      </c>
      <c r="S17" s="118"/>
      <c r="T17" s="320" t="s">
        <v>151</v>
      </c>
      <c r="U17" s="118"/>
      <c r="V17" s="117"/>
      <c r="W17" s="118"/>
      <c r="X17" s="117" t="s">
        <v>351</v>
      </c>
      <c r="Y17" s="121"/>
      <c r="Z17" s="119"/>
      <c r="AA17" s="118"/>
      <c r="AB17" s="119"/>
      <c r="AC17" s="118" t="s">
        <v>51</v>
      </c>
      <c r="AD17" s="117" t="s">
        <v>42</v>
      </c>
      <c r="AE17" s="118"/>
      <c r="AF17" s="300" t="s">
        <v>151</v>
      </c>
      <c r="AG17" s="121"/>
      <c r="AH17" s="148" t="s">
        <v>41</v>
      </c>
      <c r="AI17" s="118"/>
      <c r="AJ17" s="119"/>
      <c r="AK17" s="118"/>
      <c r="AL17" s="300" t="s">
        <v>151</v>
      </c>
      <c r="AM17" s="118"/>
      <c r="AN17" s="119"/>
      <c r="AO17" s="118"/>
      <c r="AP17" s="566"/>
      <c r="AQ17" s="567"/>
      <c r="AR17" s="33"/>
      <c r="AS17" s="34"/>
      <c r="AT17" s="142">
        <v>13</v>
      </c>
      <c r="AU17" s="142" t="s">
        <v>128</v>
      </c>
      <c r="AV17" s="507"/>
      <c r="AW17" s="14"/>
      <c r="AX17" s="70"/>
      <c r="AY17" s="72"/>
      <c r="AZ17" s="70"/>
      <c r="BA17" s="72"/>
      <c r="BB17" s="159" t="s">
        <v>41</v>
      </c>
      <c r="BC17" s="58"/>
      <c r="BD17" s="188" t="s">
        <v>47</v>
      </c>
      <c r="BE17" s="14"/>
      <c r="BF17" s="67" t="s">
        <v>34</v>
      </c>
      <c r="BG17" s="69"/>
      <c r="BH17" s="67" t="s">
        <v>34</v>
      </c>
      <c r="BI17" s="69"/>
      <c r="BJ17" s="69" t="s">
        <v>34</v>
      </c>
      <c r="BK17" s="87"/>
      <c r="BL17" s="67" t="s">
        <v>34</v>
      </c>
      <c r="BM17" s="37"/>
      <c r="BN17" s="71" t="s">
        <v>33</v>
      </c>
      <c r="BO17" s="69"/>
      <c r="BP17" s="71" t="s">
        <v>33</v>
      </c>
      <c r="BQ17" s="69"/>
      <c r="BR17" s="73" t="s">
        <v>33</v>
      </c>
      <c r="BS17" s="69"/>
      <c r="BT17" s="71" t="s">
        <v>33</v>
      </c>
      <c r="BU17" s="96"/>
      <c r="BV17" s="70"/>
      <c r="BW17" s="69"/>
      <c r="BX17" s="67"/>
      <c r="BY17" s="69"/>
      <c r="BZ17" s="69"/>
      <c r="CA17" s="97"/>
      <c r="CB17" s="67"/>
      <c r="CC17" s="142">
        <v>13</v>
      </c>
      <c r="CD17" s="142" t="s">
        <v>128</v>
      </c>
      <c r="CE17" s="507"/>
      <c r="CF17" s="311">
        <f t="shared" si="0"/>
        <v>4</v>
      </c>
      <c r="CG17" s="76">
        <f t="shared" si="1"/>
        <v>5</v>
      </c>
      <c r="CH17" s="27"/>
      <c r="CI17" s="28"/>
      <c r="CJ17" s="449"/>
      <c r="CK17" s="450"/>
    </row>
    <row r="18" spans="1:89" ht="15" customHeight="1">
      <c r="A18" s="142">
        <v>14</v>
      </c>
      <c r="B18" s="142" t="s">
        <v>129</v>
      </c>
      <c r="C18" s="507"/>
      <c r="D18" s="119"/>
      <c r="E18" s="118" t="s">
        <v>51</v>
      </c>
      <c r="F18" s="119"/>
      <c r="G18" s="118"/>
      <c r="H18" s="119"/>
      <c r="I18" s="118"/>
      <c r="J18" s="300" t="s">
        <v>151</v>
      </c>
      <c r="K18" s="118"/>
      <c r="L18" s="119"/>
      <c r="M18" s="118"/>
      <c r="N18" s="119"/>
      <c r="O18" s="327"/>
      <c r="P18" s="320" t="s">
        <v>151</v>
      </c>
      <c r="Q18" s="118"/>
      <c r="R18" s="310" t="s">
        <v>57</v>
      </c>
      <c r="S18" s="118"/>
      <c r="T18" s="320" t="s">
        <v>151</v>
      </c>
      <c r="U18" s="118"/>
      <c r="V18" s="300" t="s">
        <v>57</v>
      </c>
      <c r="W18" s="118"/>
      <c r="X18" s="117"/>
      <c r="Y18" s="121"/>
      <c r="Z18" s="119"/>
      <c r="AA18" s="118"/>
      <c r="AB18" s="119"/>
      <c r="AC18" s="118"/>
      <c r="AD18" s="117"/>
      <c r="AE18" s="118"/>
      <c r="AF18" s="300" t="s">
        <v>151</v>
      </c>
      <c r="AG18" s="121"/>
      <c r="AH18" s="222" t="s">
        <v>41</v>
      </c>
      <c r="AI18" s="118"/>
      <c r="AJ18" s="119"/>
      <c r="AK18" s="118" t="s">
        <v>136</v>
      </c>
      <c r="AL18" s="300" t="s">
        <v>151</v>
      </c>
      <c r="AM18" s="118"/>
      <c r="AN18" s="119"/>
      <c r="AO18" s="118"/>
      <c r="AP18" s="566"/>
      <c r="AQ18" s="567"/>
      <c r="AR18" s="33"/>
      <c r="AS18" s="34"/>
      <c r="AT18" s="142">
        <v>14</v>
      </c>
      <c r="AU18" s="142" t="s">
        <v>129</v>
      </c>
      <c r="AV18" s="507"/>
      <c r="AW18" s="14"/>
      <c r="AX18" s="70"/>
      <c r="AY18" s="72"/>
      <c r="AZ18" s="70"/>
      <c r="BA18" s="72"/>
      <c r="BB18" s="159" t="s">
        <v>41</v>
      </c>
      <c r="BC18" s="58"/>
      <c r="BD18" s="70"/>
      <c r="BE18" s="14"/>
      <c r="BF18" s="70"/>
      <c r="BG18" s="72"/>
      <c r="BH18" s="70"/>
      <c r="BI18" s="72"/>
      <c r="BJ18" s="72"/>
      <c r="BK18" s="58"/>
      <c r="BL18" s="70"/>
      <c r="BM18" s="37"/>
      <c r="BN18" s="67" t="s">
        <v>34</v>
      </c>
      <c r="BO18" s="69"/>
      <c r="BP18" s="67" t="s">
        <v>34</v>
      </c>
      <c r="BQ18" s="69"/>
      <c r="BR18" s="69" t="s">
        <v>34</v>
      </c>
      <c r="BS18" s="87"/>
      <c r="BT18" s="67" t="s">
        <v>34</v>
      </c>
      <c r="BU18" s="96"/>
      <c r="BV18" s="70"/>
      <c r="BW18" s="69"/>
      <c r="BX18" s="71" t="s">
        <v>41</v>
      </c>
      <c r="BY18" s="69"/>
      <c r="BZ18" s="73" t="s">
        <v>33</v>
      </c>
      <c r="CA18" s="69"/>
      <c r="CB18" s="71" t="s">
        <v>33</v>
      </c>
      <c r="CC18" s="142">
        <v>14</v>
      </c>
      <c r="CD18" s="142" t="s">
        <v>129</v>
      </c>
      <c r="CE18" s="507"/>
      <c r="CF18" s="311">
        <f t="shared" si="0"/>
        <v>2</v>
      </c>
      <c r="CG18" s="76">
        <f t="shared" si="1"/>
        <v>4</v>
      </c>
      <c r="CH18" s="27"/>
      <c r="CI18" s="28"/>
      <c r="CJ18" s="449"/>
      <c r="CK18" s="450"/>
    </row>
    <row r="19" spans="1:89" ht="15" customHeight="1">
      <c r="A19" s="22">
        <v>15</v>
      </c>
      <c r="B19" s="22" t="s">
        <v>130</v>
      </c>
      <c r="C19" s="507"/>
      <c r="D19" s="125"/>
      <c r="E19" s="124"/>
      <c r="F19" s="125"/>
      <c r="G19" s="124"/>
      <c r="H19" s="125"/>
      <c r="I19" s="124"/>
      <c r="J19" s="125"/>
      <c r="K19" s="124"/>
      <c r="L19" s="125"/>
      <c r="M19" s="124"/>
      <c r="N19" s="125"/>
      <c r="O19" s="326"/>
      <c r="P19" s="125"/>
      <c r="Q19" s="124"/>
      <c r="R19" s="310" t="s">
        <v>57</v>
      </c>
      <c r="S19" s="124"/>
      <c r="T19" s="123"/>
      <c r="U19" s="124"/>
      <c r="V19" s="300" t="s">
        <v>57</v>
      </c>
      <c r="W19" s="124"/>
      <c r="X19" s="123"/>
      <c r="Y19" s="146" t="s">
        <v>53</v>
      </c>
      <c r="Z19" s="125"/>
      <c r="AA19" s="124"/>
      <c r="AB19" s="125"/>
      <c r="AC19" s="124"/>
      <c r="AD19" s="123"/>
      <c r="AE19" s="124"/>
      <c r="AF19" s="125"/>
      <c r="AG19" s="146" t="s">
        <v>137</v>
      </c>
      <c r="AH19" s="148" t="s">
        <v>41</v>
      </c>
      <c r="AI19" s="124"/>
      <c r="AJ19" s="125"/>
      <c r="AK19" s="124"/>
      <c r="AL19" s="125"/>
      <c r="AM19" s="124"/>
      <c r="AN19" s="125"/>
      <c r="AO19" s="124"/>
      <c r="AP19" s="570"/>
      <c r="AQ19" s="571"/>
      <c r="AR19" s="104"/>
      <c r="AS19" s="105"/>
      <c r="AT19" s="22">
        <v>15</v>
      </c>
      <c r="AU19" s="22" t="s">
        <v>130</v>
      </c>
      <c r="AV19" s="507"/>
      <c r="AW19" s="16"/>
      <c r="AX19" s="71" t="s">
        <v>33</v>
      </c>
      <c r="AY19" s="68"/>
      <c r="AZ19" s="70" t="s">
        <v>61</v>
      </c>
      <c r="BA19" s="68"/>
      <c r="BB19" s="72" t="s">
        <v>61</v>
      </c>
      <c r="BC19" s="68"/>
      <c r="BD19" s="71" t="s">
        <v>33</v>
      </c>
      <c r="BE19" s="16"/>
      <c r="BF19" s="71"/>
      <c r="BG19" s="73"/>
      <c r="BH19" s="71"/>
      <c r="BI19" s="73"/>
      <c r="BJ19" s="73"/>
      <c r="BK19" s="59"/>
      <c r="BL19" s="71"/>
      <c r="BM19" s="38"/>
      <c r="BN19" s="188" t="s">
        <v>47</v>
      </c>
      <c r="BO19" s="73"/>
      <c r="BP19" s="71"/>
      <c r="BQ19" s="73"/>
      <c r="BR19" s="73"/>
      <c r="BS19" s="18"/>
      <c r="BT19" s="71"/>
      <c r="BU19" s="108"/>
      <c r="BV19" s="68"/>
      <c r="BW19" s="68"/>
      <c r="BX19" s="67" t="s">
        <v>61</v>
      </c>
      <c r="BY19" s="68"/>
      <c r="BZ19" s="68" t="s">
        <v>34</v>
      </c>
      <c r="CA19" s="110"/>
      <c r="CB19" s="66" t="s">
        <v>34</v>
      </c>
      <c r="CC19" s="22">
        <v>15</v>
      </c>
      <c r="CD19" s="22" t="s">
        <v>130</v>
      </c>
      <c r="CE19" s="507"/>
      <c r="CF19" s="311">
        <f t="shared" si="0"/>
        <v>2</v>
      </c>
      <c r="CG19" s="76">
        <f t="shared" si="1"/>
        <v>3</v>
      </c>
      <c r="CH19" s="27"/>
      <c r="CI19" s="28"/>
      <c r="CJ19" s="449"/>
      <c r="CK19" s="450"/>
    </row>
    <row r="20" spans="1:89" ht="15" customHeight="1">
      <c r="A20" s="22">
        <v>16</v>
      </c>
      <c r="B20" s="22" t="s">
        <v>131</v>
      </c>
      <c r="C20" s="508"/>
      <c r="D20" s="125"/>
      <c r="E20" s="124"/>
      <c r="F20" s="125"/>
      <c r="G20" s="124"/>
      <c r="H20" s="125"/>
      <c r="I20" s="124"/>
      <c r="J20" s="125"/>
      <c r="K20" s="124"/>
      <c r="L20" s="125"/>
      <c r="M20" s="124"/>
      <c r="N20" s="125"/>
      <c r="O20" s="326"/>
      <c r="P20" s="125"/>
      <c r="Q20" s="124"/>
      <c r="R20" s="310" t="s">
        <v>57</v>
      </c>
      <c r="S20" s="124"/>
      <c r="T20" s="123"/>
      <c r="U20" s="124"/>
      <c r="V20" s="300" t="s">
        <v>57</v>
      </c>
      <c r="W20" s="124"/>
      <c r="X20" s="123"/>
      <c r="Y20" s="146" t="s">
        <v>53</v>
      </c>
      <c r="Z20" s="125"/>
      <c r="AA20" s="124"/>
      <c r="AB20" s="125"/>
      <c r="AC20" s="124"/>
      <c r="AD20" s="123"/>
      <c r="AE20" s="124"/>
      <c r="AF20" s="125"/>
      <c r="AG20" s="146" t="s">
        <v>137</v>
      </c>
      <c r="AH20" s="148" t="s">
        <v>41</v>
      </c>
      <c r="AI20" s="124"/>
      <c r="AJ20" s="125"/>
      <c r="AK20" s="124"/>
      <c r="AL20" s="125"/>
      <c r="AM20" s="124"/>
      <c r="AN20" s="125"/>
      <c r="AO20" s="124"/>
      <c r="AP20" s="570"/>
      <c r="AQ20" s="571"/>
      <c r="AR20" s="104"/>
      <c r="AS20" s="105"/>
      <c r="AT20" s="22">
        <v>16</v>
      </c>
      <c r="AU20" s="22" t="s">
        <v>131</v>
      </c>
      <c r="AV20" s="508"/>
      <c r="AW20" s="16"/>
      <c r="AX20" s="66" t="s">
        <v>34</v>
      </c>
      <c r="AY20" s="68"/>
      <c r="AZ20" s="66" t="s">
        <v>34</v>
      </c>
      <c r="BA20" s="68"/>
      <c r="BB20" s="69" t="s">
        <v>61</v>
      </c>
      <c r="BC20" s="110"/>
      <c r="BD20" s="66" t="s">
        <v>34</v>
      </c>
      <c r="BE20" s="16"/>
      <c r="BF20" s="66" t="s">
        <v>33</v>
      </c>
      <c r="BG20" s="68"/>
      <c r="BH20" s="71" t="s">
        <v>33</v>
      </c>
      <c r="BI20" s="68"/>
      <c r="BJ20" s="73" t="s">
        <v>33</v>
      </c>
      <c r="BK20" s="68"/>
      <c r="BL20" s="71" t="s">
        <v>33</v>
      </c>
      <c r="BM20" s="38"/>
      <c r="BN20" s="71"/>
      <c r="BO20" s="73"/>
      <c r="BP20" s="71"/>
      <c r="BQ20" s="73"/>
      <c r="BR20" s="73"/>
      <c r="BS20" s="18"/>
      <c r="BT20" s="188" t="s">
        <v>47</v>
      </c>
      <c r="BU20" s="108"/>
      <c r="BV20" s="68"/>
      <c r="BW20" s="68"/>
      <c r="BX20" s="66"/>
      <c r="BY20" s="68"/>
      <c r="BZ20" s="68"/>
      <c r="CA20" s="83"/>
      <c r="CB20" s="66"/>
      <c r="CC20" s="22">
        <v>16</v>
      </c>
      <c r="CD20" s="22" t="s">
        <v>131</v>
      </c>
      <c r="CE20" s="508"/>
      <c r="CF20" s="311">
        <f t="shared" si="0"/>
        <v>4</v>
      </c>
      <c r="CG20" s="76">
        <f t="shared" si="1"/>
        <v>4</v>
      </c>
      <c r="CH20" s="27"/>
      <c r="CI20" s="28"/>
      <c r="CJ20" s="449"/>
      <c r="CK20" s="450"/>
    </row>
    <row r="21" spans="1:89" ht="15" customHeight="1">
      <c r="A21" s="142">
        <v>17</v>
      </c>
      <c r="B21" s="142" t="s">
        <v>132</v>
      </c>
      <c r="C21" s="506">
        <v>21</v>
      </c>
      <c r="D21" s="119"/>
      <c r="E21" s="118"/>
      <c r="F21" s="119"/>
      <c r="G21" s="118"/>
      <c r="H21" s="119"/>
      <c r="I21" s="118"/>
      <c r="J21" s="119"/>
      <c r="K21" s="118"/>
      <c r="L21" s="119"/>
      <c r="M21" s="118"/>
      <c r="N21" s="119"/>
      <c r="O21" s="327"/>
      <c r="P21" s="119"/>
      <c r="Q21" s="118" t="s">
        <v>136</v>
      </c>
      <c r="R21" s="310" t="s">
        <v>57</v>
      </c>
      <c r="S21" s="118"/>
      <c r="T21" s="119"/>
      <c r="U21" s="118" t="s">
        <v>51</v>
      </c>
      <c r="V21" s="300" t="s">
        <v>57</v>
      </c>
      <c r="W21" s="118"/>
      <c r="X21" s="119"/>
      <c r="Y21" s="121"/>
      <c r="Z21" s="119"/>
      <c r="AA21" s="118"/>
      <c r="AB21" s="119"/>
      <c r="AC21" s="118"/>
      <c r="AD21" s="117"/>
      <c r="AE21" s="118"/>
      <c r="AF21" s="119"/>
      <c r="AG21" s="121"/>
      <c r="AH21" s="148" t="s">
        <v>41</v>
      </c>
      <c r="AI21" s="118"/>
      <c r="AJ21" s="119"/>
      <c r="AK21" s="118"/>
      <c r="AL21" s="119"/>
      <c r="AM21" s="118"/>
      <c r="AN21" s="119"/>
      <c r="AO21" s="118"/>
      <c r="AP21" s="527"/>
      <c r="AQ21" s="528"/>
      <c r="AR21" s="33"/>
      <c r="AS21" s="34"/>
      <c r="AT21" s="142">
        <v>17</v>
      </c>
      <c r="AU21" s="142" t="s">
        <v>132</v>
      </c>
      <c r="AV21" s="506">
        <v>21</v>
      </c>
      <c r="AW21" s="14"/>
      <c r="AX21" s="70"/>
      <c r="AY21" s="72"/>
      <c r="AZ21" s="70"/>
      <c r="BA21" s="72"/>
      <c r="BB21" s="159" t="s">
        <v>41</v>
      </c>
      <c r="BC21" s="58"/>
      <c r="BD21" s="70"/>
      <c r="BE21" s="14"/>
      <c r="BF21" s="67" t="s">
        <v>34</v>
      </c>
      <c r="BG21" s="69"/>
      <c r="BH21" s="67" t="s">
        <v>34</v>
      </c>
      <c r="BI21" s="69"/>
      <c r="BJ21" s="69" t="s">
        <v>34</v>
      </c>
      <c r="BK21" s="87"/>
      <c r="BL21" s="67" t="s">
        <v>34</v>
      </c>
      <c r="BM21" s="37"/>
      <c r="BN21" s="71" t="s">
        <v>33</v>
      </c>
      <c r="BO21" s="69"/>
      <c r="BP21" s="71" t="s">
        <v>33</v>
      </c>
      <c r="BQ21" s="69"/>
      <c r="BR21" s="73" t="s">
        <v>33</v>
      </c>
      <c r="BS21" s="69"/>
      <c r="BT21" s="70" t="s">
        <v>61</v>
      </c>
      <c r="BU21" s="96"/>
      <c r="BV21" s="70"/>
      <c r="BW21" s="69"/>
      <c r="BX21" s="67"/>
      <c r="BY21" s="69"/>
      <c r="BZ21" s="69"/>
      <c r="CA21" s="97"/>
      <c r="CB21" s="67"/>
      <c r="CC21" s="142">
        <v>17</v>
      </c>
      <c r="CD21" s="142" t="s">
        <v>132</v>
      </c>
      <c r="CE21" s="506">
        <v>20</v>
      </c>
      <c r="CF21" s="311">
        <f t="shared" si="0"/>
        <v>3</v>
      </c>
      <c r="CG21" s="76">
        <f t="shared" si="1"/>
        <v>4</v>
      </c>
      <c r="CH21" s="27"/>
      <c r="CI21" s="28"/>
      <c r="CJ21" s="449"/>
      <c r="CK21" s="450"/>
    </row>
    <row r="22" spans="1:89" ht="15" customHeight="1">
      <c r="A22" s="142">
        <v>18</v>
      </c>
      <c r="B22" s="142" t="s">
        <v>133</v>
      </c>
      <c r="C22" s="507"/>
      <c r="D22" s="119"/>
      <c r="E22" s="118"/>
      <c r="F22" s="119"/>
      <c r="G22" s="118"/>
      <c r="H22" s="119"/>
      <c r="I22" s="118"/>
      <c r="J22" s="119"/>
      <c r="K22" s="118"/>
      <c r="L22" s="119"/>
      <c r="M22" s="118"/>
      <c r="N22" s="119"/>
      <c r="O22" s="327"/>
      <c r="P22" s="119"/>
      <c r="Q22" s="118"/>
      <c r="R22" s="310" t="s">
        <v>57</v>
      </c>
      <c r="S22" s="118"/>
      <c r="T22" s="117"/>
      <c r="U22" s="118" t="s">
        <v>51</v>
      </c>
      <c r="V22" s="300" t="s">
        <v>57</v>
      </c>
      <c r="W22" s="118"/>
      <c r="X22" s="117"/>
      <c r="Y22" s="121"/>
      <c r="Z22" s="119"/>
      <c r="AA22" s="118"/>
      <c r="AB22" s="119"/>
      <c r="AC22" s="118"/>
      <c r="AD22" s="333"/>
      <c r="AE22" s="118"/>
      <c r="AF22" s="119"/>
      <c r="AG22" s="121"/>
      <c r="AH22" s="148" t="s">
        <v>41</v>
      </c>
      <c r="AI22" s="118"/>
      <c r="AJ22" s="119"/>
      <c r="AK22" s="118"/>
      <c r="AL22" s="119"/>
      <c r="AM22" s="118" t="s">
        <v>136</v>
      </c>
      <c r="AN22" s="119"/>
      <c r="AO22" s="118"/>
      <c r="AP22" s="527"/>
      <c r="AQ22" s="528"/>
      <c r="AR22" s="33"/>
      <c r="AS22" s="34"/>
      <c r="AT22" s="142">
        <v>18</v>
      </c>
      <c r="AU22" s="142" t="s">
        <v>133</v>
      </c>
      <c r="AV22" s="507"/>
      <c r="AW22" s="14"/>
      <c r="AX22" s="70"/>
      <c r="AY22" s="72"/>
      <c r="AZ22" s="70"/>
      <c r="BA22" s="72"/>
      <c r="BB22" s="159" t="s">
        <v>41</v>
      </c>
      <c r="BC22" s="58"/>
      <c r="BD22" s="70"/>
      <c r="BE22" s="14"/>
      <c r="BF22" s="70"/>
      <c r="BG22" s="72"/>
      <c r="BH22" s="70"/>
      <c r="BI22" s="72"/>
      <c r="BJ22" s="72"/>
      <c r="BK22" s="58"/>
      <c r="BL22" s="70"/>
      <c r="BM22" s="37"/>
      <c r="BN22" s="67" t="s">
        <v>34</v>
      </c>
      <c r="BO22" s="69"/>
      <c r="BP22" s="67" t="s">
        <v>34</v>
      </c>
      <c r="BQ22" s="69"/>
      <c r="BR22" s="69" t="s">
        <v>34</v>
      </c>
      <c r="BS22" s="87"/>
      <c r="BT22" s="67" t="s">
        <v>34</v>
      </c>
      <c r="BU22" s="96"/>
      <c r="BV22" s="70"/>
      <c r="BW22" s="69"/>
      <c r="BX22" s="71" t="s">
        <v>33</v>
      </c>
      <c r="BY22" s="69"/>
      <c r="BZ22" s="73" t="s">
        <v>33</v>
      </c>
      <c r="CA22" s="69"/>
      <c r="CB22" s="71" t="s">
        <v>33</v>
      </c>
      <c r="CC22" s="142">
        <v>18</v>
      </c>
      <c r="CD22" s="142" t="s">
        <v>133</v>
      </c>
      <c r="CE22" s="507"/>
      <c r="CF22" s="311">
        <f t="shared" si="0"/>
        <v>3</v>
      </c>
      <c r="CG22" s="76">
        <f t="shared" si="1"/>
        <v>4</v>
      </c>
      <c r="CH22" s="27"/>
      <c r="CI22" s="28"/>
      <c r="CJ22" s="449"/>
      <c r="CK22" s="450"/>
    </row>
    <row r="23" spans="1:89" ht="15" customHeight="1">
      <c r="A23" s="142">
        <v>19</v>
      </c>
      <c r="B23" s="142" t="s">
        <v>127</v>
      </c>
      <c r="C23" s="507"/>
      <c r="D23" s="119"/>
      <c r="E23" s="118" t="s">
        <v>51</v>
      </c>
      <c r="F23" s="119"/>
      <c r="G23" s="118"/>
      <c r="H23" s="119"/>
      <c r="I23" s="118"/>
      <c r="J23" s="119"/>
      <c r="K23" s="118"/>
      <c r="L23" s="119"/>
      <c r="M23" s="118"/>
      <c r="N23" s="119"/>
      <c r="O23" s="327"/>
      <c r="P23" s="119"/>
      <c r="Q23" s="118"/>
      <c r="R23" s="310" t="s">
        <v>57</v>
      </c>
      <c r="S23" s="118"/>
      <c r="T23" s="117"/>
      <c r="U23" s="118"/>
      <c r="V23" s="300" t="s">
        <v>57</v>
      </c>
      <c r="W23" s="118"/>
      <c r="X23" s="117"/>
      <c r="Y23" s="121"/>
      <c r="Z23" s="119"/>
      <c r="AA23" s="118"/>
      <c r="AB23" s="119"/>
      <c r="AC23" s="118"/>
      <c r="AD23" s="117"/>
      <c r="AE23" s="118"/>
      <c r="AF23" s="119"/>
      <c r="AG23" s="121"/>
      <c r="AH23" s="148" t="s">
        <v>41</v>
      </c>
      <c r="AI23" s="118"/>
      <c r="AJ23" s="119" t="s">
        <v>41</v>
      </c>
      <c r="AK23" s="118"/>
      <c r="AL23" s="119"/>
      <c r="AM23" s="118"/>
      <c r="AN23" s="119"/>
      <c r="AO23" s="118" t="s">
        <v>136</v>
      </c>
      <c r="AP23" s="527"/>
      <c r="AQ23" s="528"/>
      <c r="AR23" s="33"/>
      <c r="AS23" s="34"/>
      <c r="AT23" s="142">
        <v>19</v>
      </c>
      <c r="AU23" s="142" t="s">
        <v>127</v>
      </c>
      <c r="AV23" s="507"/>
      <c r="AW23" s="14"/>
      <c r="AX23" s="71" t="s">
        <v>33</v>
      </c>
      <c r="AY23" s="69"/>
      <c r="AZ23" s="71" t="s">
        <v>33</v>
      </c>
      <c r="BA23" s="69"/>
      <c r="BB23" s="159" t="s">
        <v>41</v>
      </c>
      <c r="BC23" s="69"/>
      <c r="BD23" s="71" t="s">
        <v>33</v>
      </c>
      <c r="BE23" s="14"/>
      <c r="BF23" s="70"/>
      <c r="BG23" s="72"/>
      <c r="BH23" s="70"/>
      <c r="BI23" s="72"/>
      <c r="BJ23" s="72"/>
      <c r="BK23" s="58"/>
      <c r="BL23" s="70"/>
      <c r="BM23" s="37"/>
      <c r="BN23" s="70"/>
      <c r="BO23" s="72"/>
      <c r="BP23" s="70"/>
      <c r="BQ23" s="72"/>
      <c r="BR23" s="72"/>
      <c r="BS23" s="15"/>
      <c r="BT23" s="70"/>
      <c r="BU23" s="96"/>
      <c r="BV23" s="70"/>
      <c r="BW23" s="69"/>
      <c r="BX23" s="67" t="s">
        <v>34</v>
      </c>
      <c r="BY23" s="69"/>
      <c r="BZ23" s="69" t="s">
        <v>34</v>
      </c>
      <c r="CA23" s="87"/>
      <c r="CB23" s="67" t="s">
        <v>34</v>
      </c>
      <c r="CC23" s="142">
        <v>19</v>
      </c>
      <c r="CD23" s="142" t="s">
        <v>127</v>
      </c>
      <c r="CE23" s="507"/>
      <c r="CF23" s="311">
        <f t="shared" si="0"/>
        <v>3</v>
      </c>
      <c r="CG23" s="76">
        <f t="shared" si="1"/>
        <v>3</v>
      </c>
      <c r="CH23" s="27"/>
      <c r="CI23" s="28"/>
      <c r="CJ23" s="545"/>
      <c r="CK23" s="546"/>
    </row>
    <row r="24" spans="1:89" ht="15" customHeight="1">
      <c r="A24" s="142">
        <v>20</v>
      </c>
      <c r="B24" s="142" t="s">
        <v>128</v>
      </c>
      <c r="C24" s="507"/>
      <c r="D24" s="119"/>
      <c r="E24" s="118"/>
      <c r="F24" s="317"/>
      <c r="G24" s="118"/>
      <c r="H24" s="119"/>
      <c r="I24" s="118"/>
      <c r="J24" s="317"/>
      <c r="K24" s="118" t="s">
        <v>51</v>
      </c>
      <c r="L24" s="317"/>
      <c r="M24" s="118"/>
      <c r="N24" s="119"/>
      <c r="O24" s="327"/>
      <c r="P24" s="119"/>
      <c r="Q24" s="118"/>
      <c r="R24" s="310" t="s">
        <v>57</v>
      </c>
      <c r="S24" s="118"/>
      <c r="T24" s="117"/>
      <c r="U24" s="118"/>
      <c r="V24" s="300" t="s">
        <v>57</v>
      </c>
      <c r="W24" s="118"/>
      <c r="X24" s="117"/>
      <c r="Y24" s="121"/>
      <c r="Z24" s="119"/>
      <c r="AA24" s="118"/>
      <c r="AB24" s="119"/>
      <c r="AC24" s="118"/>
      <c r="AD24" s="117" t="s">
        <v>42</v>
      </c>
      <c r="AE24" s="118"/>
      <c r="AF24" s="119"/>
      <c r="AG24" s="121"/>
      <c r="AH24" s="222" t="s">
        <v>41</v>
      </c>
      <c r="AI24" s="118"/>
      <c r="AJ24" s="119"/>
      <c r="AK24" s="118"/>
      <c r="AL24" s="119"/>
      <c r="AM24" s="118" t="s">
        <v>136</v>
      </c>
      <c r="AN24" s="119"/>
      <c r="AO24" s="118"/>
      <c r="AP24" s="527"/>
      <c r="AQ24" s="528"/>
      <c r="AR24" s="33"/>
      <c r="AS24" s="34"/>
      <c r="AT24" s="142">
        <v>20</v>
      </c>
      <c r="AU24" s="142" t="s">
        <v>128</v>
      </c>
      <c r="AV24" s="507"/>
      <c r="AW24" s="14"/>
      <c r="AX24" s="67" t="s">
        <v>34</v>
      </c>
      <c r="AY24" s="69"/>
      <c r="AZ24" s="67" t="s">
        <v>34</v>
      </c>
      <c r="BA24" s="69"/>
      <c r="BB24" s="159" t="s">
        <v>41</v>
      </c>
      <c r="BC24" s="87"/>
      <c r="BD24" s="67" t="s">
        <v>34</v>
      </c>
      <c r="BE24" s="14"/>
      <c r="BF24" s="71" t="s">
        <v>33</v>
      </c>
      <c r="BG24" s="69"/>
      <c r="BH24" s="71" t="s">
        <v>33</v>
      </c>
      <c r="BI24" s="69"/>
      <c r="BJ24" s="73" t="s">
        <v>33</v>
      </c>
      <c r="BK24" s="69"/>
      <c r="BL24" s="71" t="s">
        <v>33</v>
      </c>
      <c r="BM24" s="37"/>
      <c r="BN24" s="70"/>
      <c r="BO24" s="72"/>
      <c r="BP24" s="70"/>
      <c r="BQ24" s="72"/>
      <c r="BR24" s="72"/>
      <c r="BS24" s="15"/>
      <c r="BT24" s="70"/>
      <c r="BU24" s="96"/>
      <c r="BV24" s="70"/>
      <c r="BW24" s="69"/>
      <c r="BX24" s="67"/>
      <c r="BY24" s="69"/>
      <c r="BZ24" s="69"/>
      <c r="CA24" s="97"/>
      <c r="CB24" s="67"/>
      <c r="CC24" s="142">
        <v>20</v>
      </c>
      <c r="CD24" s="142" t="s">
        <v>128</v>
      </c>
      <c r="CE24" s="507"/>
      <c r="CF24" s="311">
        <f t="shared" si="0"/>
        <v>4</v>
      </c>
      <c r="CG24" s="76">
        <f t="shared" si="1"/>
        <v>3</v>
      </c>
      <c r="CH24" s="27"/>
      <c r="CI24" s="28"/>
      <c r="CJ24" s="449"/>
      <c r="CK24" s="450"/>
    </row>
    <row r="25" spans="1:89" ht="15" customHeight="1">
      <c r="A25" s="142">
        <v>21</v>
      </c>
      <c r="B25" s="142" t="s">
        <v>129</v>
      </c>
      <c r="C25" s="507"/>
      <c r="D25" s="119"/>
      <c r="E25" s="118"/>
      <c r="F25" s="119"/>
      <c r="G25" s="118"/>
      <c r="H25" s="119"/>
      <c r="I25" s="118"/>
      <c r="J25" s="119"/>
      <c r="K25" s="118" t="s">
        <v>51</v>
      </c>
      <c r="L25" s="119"/>
      <c r="M25" s="118"/>
      <c r="N25" s="119"/>
      <c r="O25" s="327"/>
      <c r="P25" s="119"/>
      <c r="Q25" s="118"/>
      <c r="R25" s="310" t="s">
        <v>57</v>
      </c>
      <c r="S25" s="118"/>
      <c r="T25" s="117"/>
      <c r="U25" s="118"/>
      <c r="V25" s="300" t="s">
        <v>57</v>
      </c>
      <c r="W25" s="118"/>
      <c r="X25" s="117"/>
      <c r="Y25" s="121"/>
      <c r="Z25" s="119"/>
      <c r="AA25" s="118"/>
      <c r="AB25" s="119"/>
      <c r="AC25" s="118"/>
      <c r="AD25" s="117"/>
      <c r="AE25" s="118"/>
      <c r="AF25" s="119"/>
      <c r="AG25" s="121"/>
      <c r="AH25" s="222" t="s">
        <v>41</v>
      </c>
      <c r="AI25" s="118"/>
      <c r="AJ25" s="119"/>
      <c r="AK25" s="118"/>
      <c r="AL25" s="119"/>
      <c r="AM25" s="118" t="s">
        <v>136</v>
      </c>
      <c r="AN25" s="119"/>
      <c r="AO25" s="118"/>
      <c r="AP25" s="527" t="s">
        <v>285</v>
      </c>
      <c r="AQ25" s="528"/>
      <c r="AR25" s="33"/>
      <c r="AS25" s="34"/>
      <c r="AT25" s="142">
        <v>21</v>
      </c>
      <c r="AU25" s="142" t="s">
        <v>129</v>
      </c>
      <c r="AV25" s="507"/>
      <c r="AW25" s="14"/>
      <c r="AX25" s="70"/>
      <c r="AY25" s="72"/>
      <c r="AZ25" s="70"/>
      <c r="BA25" s="72"/>
      <c r="BB25" s="159" t="s">
        <v>41</v>
      </c>
      <c r="BC25" s="58"/>
      <c r="BD25" s="70"/>
      <c r="BE25" s="14"/>
      <c r="BF25" s="71" t="s">
        <v>34</v>
      </c>
      <c r="BG25" s="69"/>
      <c r="BH25" s="67" t="s">
        <v>34</v>
      </c>
      <c r="BI25" s="69"/>
      <c r="BJ25" s="69" t="s">
        <v>34</v>
      </c>
      <c r="BK25" s="87"/>
      <c r="BL25" s="67" t="s">
        <v>34</v>
      </c>
      <c r="BM25" s="37"/>
      <c r="BN25" s="71" t="s">
        <v>33</v>
      </c>
      <c r="BO25" s="69"/>
      <c r="BP25" s="71" t="s">
        <v>33</v>
      </c>
      <c r="BQ25" s="69"/>
      <c r="BR25" s="73" t="s">
        <v>41</v>
      </c>
      <c r="BS25" s="69"/>
      <c r="BT25" s="70" t="s">
        <v>61</v>
      </c>
      <c r="BU25" s="96"/>
      <c r="BV25" s="70"/>
      <c r="BW25" s="69"/>
      <c r="BX25" s="67"/>
      <c r="BY25" s="69"/>
      <c r="BZ25" s="69"/>
      <c r="CA25" s="97"/>
      <c r="CB25" s="67"/>
      <c r="CC25" s="142">
        <v>21</v>
      </c>
      <c r="CD25" s="142" t="s">
        <v>129</v>
      </c>
      <c r="CE25" s="507"/>
      <c r="CF25" s="311">
        <f t="shared" si="0"/>
        <v>2</v>
      </c>
      <c r="CG25" s="76">
        <f t="shared" si="1"/>
        <v>4</v>
      </c>
      <c r="CH25" s="27"/>
      <c r="CI25" s="28"/>
      <c r="CJ25" s="449"/>
      <c r="CK25" s="450"/>
    </row>
    <row r="26" spans="1:89" ht="15" customHeight="1">
      <c r="A26" s="22">
        <v>22</v>
      </c>
      <c r="B26" s="22" t="s">
        <v>130</v>
      </c>
      <c r="C26" s="507"/>
      <c r="D26" s="125"/>
      <c r="E26" s="124"/>
      <c r="F26" s="125"/>
      <c r="G26" s="124"/>
      <c r="H26" s="126"/>
      <c r="I26" s="124"/>
      <c r="J26" s="125"/>
      <c r="K26" s="124"/>
      <c r="L26" s="126"/>
      <c r="M26" s="124"/>
      <c r="N26" s="125"/>
      <c r="O26" s="326"/>
      <c r="P26" s="125"/>
      <c r="Q26" s="124"/>
      <c r="R26" s="125"/>
      <c r="S26" s="124"/>
      <c r="T26" s="123"/>
      <c r="U26" s="124"/>
      <c r="V26" s="126"/>
      <c r="W26" s="124"/>
      <c r="X26" s="123"/>
      <c r="Y26" s="146" t="s">
        <v>53</v>
      </c>
      <c r="Z26" s="125"/>
      <c r="AA26" s="124"/>
      <c r="AB26" s="125"/>
      <c r="AC26" s="124"/>
      <c r="AD26" s="123"/>
      <c r="AE26" s="124"/>
      <c r="AF26" s="125"/>
      <c r="AG26" s="146"/>
      <c r="AH26" s="125"/>
      <c r="AI26" s="124" t="s">
        <v>137</v>
      </c>
      <c r="AJ26" s="125"/>
      <c r="AK26" s="124"/>
      <c r="AL26" s="125"/>
      <c r="AM26" s="124"/>
      <c r="AN26" s="125"/>
      <c r="AO26" s="124"/>
      <c r="AP26" s="568" t="s">
        <v>286</v>
      </c>
      <c r="AQ26" s="569"/>
      <c r="AR26" s="104"/>
      <c r="AS26" s="105"/>
      <c r="AT26" s="22">
        <v>22</v>
      </c>
      <c r="AU26" s="22" t="s">
        <v>130</v>
      </c>
      <c r="AV26" s="507"/>
      <c r="AW26" s="16"/>
      <c r="AX26" s="71"/>
      <c r="AY26" s="73"/>
      <c r="AZ26" s="71"/>
      <c r="BA26" s="73"/>
      <c r="BB26" s="73"/>
      <c r="BC26" s="59"/>
      <c r="BD26" s="71"/>
      <c r="BE26" s="16"/>
      <c r="BF26" s="71"/>
      <c r="BG26" s="73"/>
      <c r="BH26" s="71"/>
      <c r="BI26" s="73"/>
      <c r="BJ26" s="73"/>
      <c r="BK26" s="59"/>
      <c r="BL26" s="71"/>
      <c r="BM26" s="38"/>
      <c r="BN26" s="66" t="s">
        <v>34</v>
      </c>
      <c r="BO26" s="68"/>
      <c r="BP26" s="66" t="s">
        <v>34</v>
      </c>
      <c r="BQ26" s="68"/>
      <c r="BR26" s="69" t="s">
        <v>61</v>
      </c>
      <c r="BS26" s="110"/>
      <c r="BT26" s="70" t="s">
        <v>61</v>
      </c>
      <c r="BU26" s="108"/>
      <c r="BV26" s="68"/>
      <c r="BW26" s="68"/>
      <c r="BX26" s="71" t="s">
        <v>33</v>
      </c>
      <c r="BY26" s="68"/>
      <c r="BZ26" s="73" t="s">
        <v>33</v>
      </c>
      <c r="CA26" s="68"/>
      <c r="CB26" s="71" t="s">
        <v>33</v>
      </c>
      <c r="CC26" s="22">
        <v>22</v>
      </c>
      <c r="CD26" s="22" t="s">
        <v>130</v>
      </c>
      <c r="CE26" s="507"/>
      <c r="CF26" s="311">
        <f t="shared" si="0"/>
        <v>3</v>
      </c>
      <c r="CG26" s="76">
        <f t="shared" si="1"/>
        <v>2</v>
      </c>
      <c r="CH26" s="27"/>
      <c r="CI26" s="28"/>
      <c r="CJ26" s="449"/>
      <c r="CK26" s="450"/>
    </row>
    <row r="27" spans="1:89" ht="15" customHeight="1">
      <c r="A27" s="22">
        <v>23</v>
      </c>
      <c r="B27" s="22" t="s">
        <v>131</v>
      </c>
      <c r="C27" s="508"/>
      <c r="D27" s="125"/>
      <c r="E27" s="124"/>
      <c r="F27" s="125"/>
      <c r="G27" s="124"/>
      <c r="H27" s="125"/>
      <c r="I27" s="124"/>
      <c r="J27" s="125"/>
      <c r="K27" s="124"/>
      <c r="L27" s="125"/>
      <c r="M27" s="124"/>
      <c r="N27" s="125"/>
      <c r="O27" s="326" t="s">
        <v>53</v>
      </c>
      <c r="P27" s="125"/>
      <c r="Q27" s="124"/>
      <c r="R27" s="125"/>
      <c r="S27" s="124"/>
      <c r="T27" s="123"/>
      <c r="U27" s="124"/>
      <c r="V27" s="123"/>
      <c r="W27" s="124"/>
      <c r="X27" s="123"/>
      <c r="Y27" s="146"/>
      <c r="Z27" s="125"/>
      <c r="AA27" s="124"/>
      <c r="AB27" s="125"/>
      <c r="AC27" s="124"/>
      <c r="AD27" s="123"/>
      <c r="AE27" s="124"/>
      <c r="AF27" s="125"/>
      <c r="AG27" s="146"/>
      <c r="AH27" s="125"/>
      <c r="AI27" s="124" t="s">
        <v>137</v>
      </c>
      <c r="AJ27" s="125"/>
      <c r="AK27" s="124"/>
      <c r="AL27" s="125"/>
      <c r="AM27" s="124"/>
      <c r="AN27" s="125"/>
      <c r="AO27" s="124"/>
      <c r="AP27" s="568" t="s">
        <v>287</v>
      </c>
      <c r="AQ27" s="569"/>
      <c r="AR27" s="104"/>
      <c r="AS27" s="105"/>
      <c r="AT27" s="22">
        <v>23</v>
      </c>
      <c r="AU27" s="22" t="s">
        <v>131</v>
      </c>
      <c r="AV27" s="508"/>
      <c r="AW27" s="16"/>
      <c r="AX27" s="71" t="s">
        <v>33</v>
      </c>
      <c r="AY27" s="68"/>
      <c r="AZ27" s="71" t="s">
        <v>33</v>
      </c>
      <c r="BA27" s="68"/>
      <c r="BB27" s="72" t="s">
        <v>61</v>
      </c>
      <c r="BC27" s="68"/>
      <c r="BD27" s="71" t="s">
        <v>33</v>
      </c>
      <c r="BE27" s="16"/>
      <c r="BF27" s="71"/>
      <c r="BG27" s="73"/>
      <c r="BH27" s="71"/>
      <c r="BI27" s="73"/>
      <c r="BJ27" s="73"/>
      <c r="BK27" s="59"/>
      <c r="BL27" s="71"/>
      <c r="BM27" s="38"/>
      <c r="BN27" s="71"/>
      <c r="BO27" s="73"/>
      <c r="BP27" s="71"/>
      <c r="BQ27" s="73"/>
      <c r="BR27" s="73"/>
      <c r="BS27" s="18"/>
      <c r="BT27" s="188" t="s">
        <v>47</v>
      </c>
      <c r="BU27" s="108"/>
      <c r="BV27" s="68"/>
      <c r="BW27" s="68"/>
      <c r="BX27" s="66" t="s">
        <v>34</v>
      </c>
      <c r="BY27" s="68"/>
      <c r="BZ27" s="68" t="s">
        <v>34</v>
      </c>
      <c r="CA27" s="110"/>
      <c r="CB27" s="66" t="s">
        <v>34</v>
      </c>
      <c r="CC27" s="22">
        <v>23</v>
      </c>
      <c r="CD27" s="22" t="s">
        <v>131</v>
      </c>
      <c r="CE27" s="508"/>
      <c r="CF27" s="311">
        <f t="shared" si="0"/>
        <v>3</v>
      </c>
      <c r="CG27" s="76">
        <f t="shared" si="1"/>
        <v>4</v>
      </c>
      <c r="CH27" s="27"/>
      <c r="CI27" s="28"/>
      <c r="CJ27" s="449"/>
      <c r="CK27" s="450"/>
    </row>
    <row r="28" spans="1:89" ht="15" customHeight="1">
      <c r="A28" s="142">
        <v>24</v>
      </c>
      <c r="B28" s="142" t="s">
        <v>132</v>
      </c>
      <c r="C28" s="506">
        <v>23</v>
      </c>
      <c r="D28" s="119"/>
      <c r="E28" s="118"/>
      <c r="F28" s="119"/>
      <c r="G28" s="118"/>
      <c r="H28" s="119"/>
      <c r="I28" s="118"/>
      <c r="J28" s="117" t="s">
        <v>41</v>
      </c>
      <c r="K28" s="118"/>
      <c r="L28" s="119"/>
      <c r="M28" s="118"/>
      <c r="N28" s="119"/>
      <c r="O28" s="327"/>
      <c r="P28" s="119"/>
      <c r="Q28" s="118"/>
      <c r="R28" s="119"/>
      <c r="S28" s="118" t="s">
        <v>136</v>
      </c>
      <c r="T28" s="117"/>
      <c r="U28" s="118"/>
      <c r="V28" s="117"/>
      <c r="W28" s="118" t="s">
        <v>51</v>
      </c>
      <c r="X28" s="117"/>
      <c r="Y28" s="121"/>
      <c r="Z28" s="119"/>
      <c r="AA28" s="118"/>
      <c r="AB28" s="119"/>
      <c r="AC28" s="118"/>
      <c r="AD28" s="117"/>
      <c r="AE28" s="118"/>
      <c r="AF28" s="119"/>
      <c r="AG28" s="121"/>
      <c r="AH28" s="119"/>
      <c r="AI28" s="118"/>
      <c r="AJ28" s="119"/>
      <c r="AK28" s="118"/>
      <c r="AL28" s="119"/>
      <c r="AM28" s="118"/>
      <c r="AN28" s="119"/>
      <c r="AO28" s="118"/>
      <c r="AP28" s="527"/>
      <c r="AQ28" s="528"/>
      <c r="AR28" s="33"/>
      <c r="AS28" s="34"/>
      <c r="AT28" s="142">
        <v>24</v>
      </c>
      <c r="AU28" s="142" t="s">
        <v>132</v>
      </c>
      <c r="AV28" s="506">
        <v>22</v>
      </c>
      <c r="AW28" s="14"/>
      <c r="AX28" s="67" t="s">
        <v>34</v>
      </c>
      <c r="AY28" s="69"/>
      <c r="AZ28" s="67" t="s">
        <v>34</v>
      </c>
      <c r="BA28" s="69"/>
      <c r="BB28" s="159" t="s">
        <v>41</v>
      </c>
      <c r="BC28" s="87"/>
      <c r="BD28" s="67" t="s">
        <v>34</v>
      </c>
      <c r="BE28" s="14"/>
      <c r="BF28" s="71" t="s">
        <v>33</v>
      </c>
      <c r="BG28" s="69"/>
      <c r="BH28" s="71" t="s">
        <v>33</v>
      </c>
      <c r="BI28" s="69"/>
      <c r="BJ28" s="73" t="s">
        <v>33</v>
      </c>
      <c r="BK28" s="69"/>
      <c r="BL28" s="71" t="s">
        <v>41</v>
      </c>
      <c r="BM28" s="37"/>
      <c r="BN28" s="70"/>
      <c r="BO28" s="72"/>
      <c r="BP28" s="70"/>
      <c r="BQ28" s="72"/>
      <c r="BR28" s="72"/>
      <c r="BS28" s="15"/>
      <c r="BT28" s="70"/>
      <c r="BU28" s="96"/>
      <c r="BV28" s="70"/>
      <c r="BW28" s="69"/>
      <c r="BX28" s="67"/>
      <c r="BY28" s="69"/>
      <c r="BZ28" s="69"/>
      <c r="CA28" s="97"/>
      <c r="CB28" s="67"/>
      <c r="CC28" s="142">
        <v>24</v>
      </c>
      <c r="CD28" s="142" t="s">
        <v>132</v>
      </c>
      <c r="CE28" s="506">
        <v>21</v>
      </c>
      <c r="CF28" s="311">
        <f t="shared" si="0"/>
        <v>3</v>
      </c>
      <c r="CG28" s="76">
        <f t="shared" si="1"/>
        <v>3</v>
      </c>
      <c r="CH28" s="27"/>
      <c r="CI28" s="28"/>
      <c r="CJ28" s="449"/>
      <c r="CK28" s="450"/>
    </row>
    <row r="29" spans="1:89" ht="15" customHeight="1">
      <c r="A29" s="142">
        <v>25</v>
      </c>
      <c r="B29" s="142" t="s">
        <v>133</v>
      </c>
      <c r="C29" s="507"/>
      <c r="D29" s="119"/>
      <c r="E29" s="118"/>
      <c r="F29" s="119"/>
      <c r="G29" s="118"/>
      <c r="H29" s="329" t="s">
        <v>151</v>
      </c>
      <c r="I29" s="118"/>
      <c r="J29" s="117" t="s">
        <v>41</v>
      </c>
      <c r="K29" s="118"/>
      <c r="L29" s="119"/>
      <c r="M29" s="118"/>
      <c r="N29" s="119"/>
      <c r="O29" s="327"/>
      <c r="P29" s="119"/>
      <c r="Q29" s="118"/>
      <c r="R29" s="117"/>
      <c r="S29" s="118" t="s">
        <v>51</v>
      </c>
      <c r="T29" s="117"/>
      <c r="U29" s="118"/>
      <c r="V29" s="117"/>
      <c r="W29" s="118"/>
      <c r="X29" s="117"/>
      <c r="Y29" s="121"/>
      <c r="Z29" s="119"/>
      <c r="AA29" s="118"/>
      <c r="AB29" s="119"/>
      <c r="AC29" s="118"/>
      <c r="AD29" s="117"/>
      <c r="AE29" s="118"/>
      <c r="AF29" s="119"/>
      <c r="AG29" s="121"/>
      <c r="AH29" s="119"/>
      <c r="AI29" s="118" t="s">
        <v>136</v>
      </c>
      <c r="AJ29" s="119"/>
      <c r="AK29" s="118"/>
      <c r="AL29" s="119"/>
      <c r="AM29" s="118"/>
      <c r="AN29" s="119"/>
      <c r="AO29" s="118"/>
      <c r="AP29" s="545" t="s">
        <v>339</v>
      </c>
      <c r="AQ29" s="546"/>
      <c r="AR29" s="33"/>
      <c r="AS29" s="34"/>
      <c r="AT29" s="142">
        <v>25</v>
      </c>
      <c r="AU29" s="142" t="s">
        <v>133</v>
      </c>
      <c r="AV29" s="507"/>
      <c r="AW29" s="14"/>
      <c r="AX29" s="70"/>
      <c r="AY29" s="72"/>
      <c r="AZ29" s="70"/>
      <c r="BA29" s="72"/>
      <c r="BB29" s="159" t="s">
        <v>41</v>
      </c>
      <c r="BC29" s="58"/>
      <c r="BD29" s="70"/>
      <c r="BE29" s="14"/>
      <c r="BF29" s="67" t="s">
        <v>34</v>
      </c>
      <c r="BG29" s="69"/>
      <c r="BH29" s="67" t="s">
        <v>34</v>
      </c>
      <c r="BI29" s="69"/>
      <c r="BJ29" s="69" t="s">
        <v>34</v>
      </c>
      <c r="BK29" s="87"/>
      <c r="BL29" s="67" t="s">
        <v>41</v>
      </c>
      <c r="BM29" s="37"/>
      <c r="BN29" s="71" t="s">
        <v>33</v>
      </c>
      <c r="BO29" s="69"/>
      <c r="BP29" s="71" t="s">
        <v>33</v>
      </c>
      <c r="BQ29" s="69"/>
      <c r="BR29" s="73" t="s">
        <v>33</v>
      </c>
      <c r="BS29" s="69"/>
      <c r="BT29" s="71" t="s">
        <v>33</v>
      </c>
      <c r="BU29" s="96"/>
      <c r="BV29" s="70"/>
      <c r="BW29" s="69"/>
      <c r="BX29" s="67"/>
      <c r="BY29" s="69"/>
      <c r="BZ29" s="69"/>
      <c r="CA29" s="97"/>
      <c r="CB29" s="67"/>
      <c r="CC29" s="142">
        <v>25</v>
      </c>
      <c r="CD29" s="142" t="s">
        <v>133</v>
      </c>
      <c r="CE29" s="507"/>
      <c r="CF29" s="311">
        <f t="shared" si="0"/>
        <v>4</v>
      </c>
      <c r="CG29" s="76">
        <f t="shared" si="1"/>
        <v>3</v>
      </c>
      <c r="CH29" s="27"/>
      <c r="CI29" s="28"/>
      <c r="CJ29" s="449"/>
      <c r="CK29" s="450"/>
    </row>
    <row r="30" spans="1:89" ht="15" customHeight="1">
      <c r="A30" s="142">
        <v>26</v>
      </c>
      <c r="B30" s="142" t="s">
        <v>127</v>
      </c>
      <c r="C30" s="507"/>
      <c r="D30" s="122"/>
      <c r="E30" s="118"/>
      <c r="F30" s="122"/>
      <c r="G30" s="118" t="s">
        <v>51</v>
      </c>
      <c r="H30" s="329" t="s">
        <v>151</v>
      </c>
      <c r="I30" s="118"/>
      <c r="J30" s="260" t="s">
        <v>41</v>
      </c>
      <c r="K30" s="118"/>
      <c r="L30" s="122"/>
      <c r="M30" s="118"/>
      <c r="N30" s="119"/>
      <c r="O30" s="327"/>
      <c r="P30" s="119"/>
      <c r="Q30" s="118"/>
      <c r="R30" s="122"/>
      <c r="S30" s="118" t="s">
        <v>136</v>
      </c>
      <c r="T30" s="122"/>
      <c r="U30" s="118"/>
      <c r="V30" s="117"/>
      <c r="W30" s="118"/>
      <c r="X30" s="117"/>
      <c r="Y30" s="121"/>
      <c r="Z30" s="122"/>
      <c r="AA30" s="118"/>
      <c r="AB30" s="122"/>
      <c r="AC30" s="118"/>
      <c r="AD30" s="122"/>
      <c r="AE30" s="118"/>
      <c r="AF30" s="122"/>
      <c r="AG30" s="121"/>
      <c r="AH30" s="122"/>
      <c r="AI30" s="118"/>
      <c r="AJ30" s="119"/>
      <c r="AK30" s="118"/>
      <c r="AL30" s="122"/>
      <c r="AM30" s="118"/>
      <c r="AN30" s="122"/>
      <c r="AO30" s="118"/>
      <c r="AP30" s="294" t="s">
        <v>339</v>
      </c>
      <c r="AQ30" s="283" t="s">
        <v>302</v>
      </c>
      <c r="AR30" s="286"/>
      <c r="AS30" s="184"/>
      <c r="AT30" s="142">
        <v>26</v>
      </c>
      <c r="AU30" s="142" t="s">
        <v>127</v>
      </c>
      <c r="AV30" s="507"/>
      <c r="AW30" s="14"/>
      <c r="AX30" s="70"/>
      <c r="AY30" s="72"/>
      <c r="AZ30" s="70"/>
      <c r="BA30" s="72"/>
      <c r="BB30" s="159" t="s">
        <v>41</v>
      </c>
      <c r="BC30" s="58"/>
      <c r="BD30" s="70"/>
      <c r="BE30" s="14"/>
      <c r="BF30" s="70"/>
      <c r="BG30" s="72"/>
      <c r="BH30" s="70"/>
      <c r="BI30" s="72"/>
      <c r="BJ30" s="72"/>
      <c r="BK30" s="58"/>
      <c r="BL30" s="70"/>
      <c r="BM30" s="37"/>
      <c r="BN30" s="67" t="s">
        <v>34</v>
      </c>
      <c r="BO30" s="69"/>
      <c r="BP30" s="67" t="s">
        <v>34</v>
      </c>
      <c r="BQ30" s="69"/>
      <c r="BR30" s="69" t="s">
        <v>34</v>
      </c>
      <c r="BS30" s="87"/>
      <c r="BT30" s="67" t="s">
        <v>34</v>
      </c>
      <c r="BU30" s="96"/>
      <c r="BV30" s="70"/>
      <c r="BW30" s="69"/>
      <c r="BX30" s="71" t="s">
        <v>33</v>
      </c>
      <c r="BY30" s="69"/>
      <c r="BZ30" s="73" t="s">
        <v>33</v>
      </c>
      <c r="CA30" s="69"/>
      <c r="CB30" s="71" t="s">
        <v>33</v>
      </c>
      <c r="CC30" s="142">
        <v>26</v>
      </c>
      <c r="CD30" s="142" t="s">
        <v>127</v>
      </c>
      <c r="CE30" s="507"/>
      <c r="CF30" s="311">
        <f t="shared" si="0"/>
        <v>3</v>
      </c>
      <c r="CG30" s="76">
        <f t="shared" si="1"/>
        <v>4</v>
      </c>
      <c r="CH30" s="27"/>
      <c r="CI30" s="28"/>
      <c r="CJ30" s="449"/>
      <c r="CK30" s="450"/>
    </row>
    <row r="31" spans="1:89" ht="15" customHeight="1">
      <c r="A31" s="142">
        <v>27</v>
      </c>
      <c r="B31" s="142" t="s">
        <v>128</v>
      </c>
      <c r="C31" s="507"/>
      <c r="D31" s="119"/>
      <c r="E31" s="118"/>
      <c r="F31" s="317"/>
      <c r="G31" s="118"/>
      <c r="H31" s="329" t="s">
        <v>151</v>
      </c>
      <c r="I31" s="118"/>
      <c r="J31" s="117" t="s">
        <v>41</v>
      </c>
      <c r="K31" s="118"/>
      <c r="L31" s="317"/>
      <c r="M31" s="118" t="s">
        <v>51</v>
      </c>
      <c r="N31" s="119"/>
      <c r="O31" s="327"/>
      <c r="P31" s="119"/>
      <c r="Q31" s="118"/>
      <c r="R31" s="117" t="s">
        <v>41</v>
      </c>
      <c r="S31" s="118"/>
      <c r="T31" s="122"/>
      <c r="U31" s="118" t="s">
        <v>136</v>
      </c>
      <c r="V31" s="117"/>
      <c r="W31" s="118"/>
      <c r="X31" s="117"/>
      <c r="Y31" s="121"/>
      <c r="Z31" s="119"/>
      <c r="AA31" s="118"/>
      <c r="AB31" s="119"/>
      <c r="AC31" s="118"/>
      <c r="AD31" s="122"/>
      <c r="AE31" s="118"/>
      <c r="AF31" s="119"/>
      <c r="AG31" s="121"/>
      <c r="AH31" s="119"/>
      <c r="AI31" s="118"/>
      <c r="AJ31" s="119"/>
      <c r="AK31" s="118"/>
      <c r="AL31" s="119"/>
      <c r="AM31" s="118"/>
      <c r="AN31" s="119"/>
      <c r="AO31" s="118"/>
      <c r="AP31" s="572" t="s">
        <v>302</v>
      </c>
      <c r="AQ31" s="573"/>
      <c r="AR31" s="33"/>
      <c r="AS31" s="34"/>
      <c r="AT31" s="142">
        <v>27</v>
      </c>
      <c r="AU31" s="142" t="s">
        <v>128</v>
      </c>
      <c r="AV31" s="507"/>
      <c r="AW31" s="14"/>
      <c r="AX31" s="71" t="s">
        <v>33</v>
      </c>
      <c r="AY31" s="69"/>
      <c r="AZ31" s="71" t="s">
        <v>41</v>
      </c>
      <c r="BA31" s="69"/>
      <c r="BB31" s="159" t="s">
        <v>41</v>
      </c>
      <c r="BC31" s="69"/>
      <c r="BD31" s="71" t="s">
        <v>33</v>
      </c>
      <c r="BE31" s="14"/>
      <c r="BF31" s="70"/>
      <c r="BG31" s="72"/>
      <c r="BH31" s="70"/>
      <c r="BI31" s="72"/>
      <c r="BJ31" s="72"/>
      <c r="BK31" s="58"/>
      <c r="BL31" s="70"/>
      <c r="BM31" s="37"/>
      <c r="BN31" s="70"/>
      <c r="BO31" s="72"/>
      <c r="BP31" s="70"/>
      <c r="BQ31" s="72"/>
      <c r="BR31" s="72"/>
      <c r="BS31" s="15"/>
      <c r="BT31" s="70"/>
      <c r="BU31" s="96"/>
      <c r="BV31" s="70"/>
      <c r="BW31" s="69"/>
      <c r="BX31" s="67" t="s">
        <v>34</v>
      </c>
      <c r="BY31" s="69"/>
      <c r="BZ31" s="69" t="s">
        <v>34</v>
      </c>
      <c r="CA31" s="87"/>
      <c r="CB31" s="67" t="s">
        <v>34</v>
      </c>
      <c r="CC31" s="142">
        <v>27</v>
      </c>
      <c r="CD31" s="142" t="s">
        <v>128</v>
      </c>
      <c r="CE31" s="507"/>
      <c r="CF31" s="311">
        <f t="shared" si="0"/>
        <v>2</v>
      </c>
      <c r="CG31" s="76">
        <f t="shared" si="1"/>
        <v>3</v>
      </c>
      <c r="CH31" s="27"/>
      <c r="CI31" s="28"/>
      <c r="CJ31" s="449"/>
      <c r="CK31" s="450"/>
    </row>
    <row r="32" spans="1:89" ht="15" customHeight="1">
      <c r="A32" s="142">
        <v>28</v>
      </c>
      <c r="B32" s="142" t="s">
        <v>129</v>
      </c>
      <c r="C32" s="507"/>
      <c r="D32" s="119"/>
      <c r="E32" s="118" t="s">
        <v>136</v>
      </c>
      <c r="F32" s="119"/>
      <c r="G32" s="118"/>
      <c r="H32" s="119"/>
      <c r="I32" s="118"/>
      <c r="J32" s="119"/>
      <c r="K32" s="118" t="s">
        <v>51</v>
      </c>
      <c r="L32" s="119"/>
      <c r="M32" s="118"/>
      <c r="N32" s="119"/>
      <c r="O32" s="327"/>
      <c r="P32" s="119"/>
      <c r="Q32" s="118"/>
      <c r="R32" s="117" t="s">
        <v>41</v>
      </c>
      <c r="S32" s="118"/>
      <c r="T32" s="122"/>
      <c r="U32" s="118"/>
      <c r="V32" s="117"/>
      <c r="W32" s="118"/>
      <c r="X32" s="117" t="s">
        <v>51</v>
      </c>
      <c r="Y32" s="121"/>
      <c r="Z32" s="119"/>
      <c r="AA32" s="118"/>
      <c r="AB32" s="119"/>
      <c r="AC32" s="118"/>
      <c r="AD32" s="117"/>
      <c r="AE32" s="118"/>
      <c r="AF32" s="119"/>
      <c r="AG32" s="121"/>
      <c r="AH32" s="119"/>
      <c r="AI32" s="118"/>
      <c r="AJ32" s="119"/>
      <c r="AK32" s="118"/>
      <c r="AL32" s="119"/>
      <c r="AM32" s="118"/>
      <c r="AN32" s="119"/>
      <c r="AO32" s="118"/>
      <c r="AP32" s="572" t="s">
        <v>302</v>
      </c>
      <c r="AQ32" s="573"/>
      <c r="AR32" s="33"/>
      <c r="AS32" s="34"/>
      <c r="AT32" s="142">
        <v>28</v>
      </c>
      <c r="AU32" s="142" t="s">
        <v>129</v>
      </c>
      <c r="AV32" s="507"/>
      <c r="AW32" s="14"/>
      <c r="AX32" s="67" t="s">
        <v>34</v>
      </c>
      <c r="AY32" s="69"/>
      <c r="AZ32" s="67" t="s">
        <v>34</v>
      </c>
      <c r="BA32" s="69"/>
      <c r="BB32" s="159" t="s">
        <v>41</v>
      </c>
      <c r="BC32" s="87"/>
      <c r="BD32" s="67" t="s">
        <v>41</v>
      </c>
      <c r="BE32" s="14"/>
      <c r="BF32" s="71" t="s">
        <v>33</v>
      </c>
      <c r="BG32" s="69"/>
      <c r="BH32" s="71" t="s">
        <v>33</v>
      </c>
      <c r="BI32" s="69"/>
      <c r="BJ32" s="73" t="s">
        <v>33</v>
      </c>
      <c r="BK32" s="69"/>
      <c r="BL32" s="71" t="s">
        <v>33</v>
      </c>
      <c r="BM32" s="37"/>
      <c r="BN32" s="70"/>
      <c r="BO32" s="72"/>
      <c r="BP32" s="70"/>
      <c r="BQ32" s="72"/>
      <c r="BR32" s="72"/>
      <c r="BS32" s="15"/>
      <c r="BT32" s="70"/>
      <c r="BU32" s="96"/>
      <c r="BV32" s="70"/>
      <c r="BW32" s="69"/>
      <c r="BX32" s="67"/>
      <c r="BY32" s="69"/>
      <c r="BZ32" s="69"/>
      <c r="CA32" s="97"/>
      <c r="CB32" s="67"/>
      <c r="CC32" s="142">
        <v>28</v>
      </c>
      <c r="CD32" s="142" t="s">
        <v>129</v>
      </c>
      <c r="CE32" s="507"/>
      <c r="CF32" s="311">
        <f t="shared" si="0"/>
        <v>4</v>
      </c>
      <c r="CG32" s="76">
        <f t="shared" si="1"/>
        <v>2</v>
      </c>
      <c r="CH32" s="27"/>
      <c r="CI32" s="28"/>
      <c r="CJ32" s="449"/>
      <c r="CK32" s="450"/>
    </row>
    <row r="33" spans="1:89" ht="15" customHeight="1">
      <c r="A33" s="22">
        <v>29</v>
      </c>
      <c r="B33" s="22" t="s">
        <v>130</v>
      </c>
      <c r="C33" s="507"/>
      <c r="D33" s="125"/>
      <c r="E33" s="124"/>
      <c r="F33" s="125"/>
      <c r="G33" s="124"/>
      <c r="H33" s="125"/>
      <c r="I33" s="124"/>
      <c r="J33" s="125"/>
      <c r="K33" s="124"/>
      <c r="L33" s="125"/>
      <c r="M33" s="124"/>
      <c r="N33" s="125"/>
      <c r="O33" s="326"/>
      <c r="P33" s="125"/>
      <c r="Q33" s="124"/>
      <c r="R33" s="117" t="s">
        <v>41</v>
      </c>
      <c r="S33" s="124"/>
      <c r="T33" s="117" t="s">
        <v>41</v>
      </c>
      <c r="U33" s="124"/>
      <c r="V33" s="123"/>
      <c r="W33" s="124"/>
      <c r="X33" s="123"/>
      <c r="Y33" s="146"/>
      <c r="Z33" s="125"/>
      <c r="AA33" s="124"/>
      <c r="AB33" s="125"/>
      <c r="AC33" s="124"/>
      <c r="AD33" s="123"/>
      <c r="AE33" s="124" t="s">
        <v>53</v>
      </c>
      <c r="AF33" s="125"/>
      <c r="AG33" s="146"/>
      <c r="AH33" s="125"/>
      <c r="AI33" s="124"/>
      <c r="AJ33" s="125"/>
      <c r="AK33" s="124" t="s">
        <v>137</v>
      </c>
      <c r="AL33" s="125"/>
      <c r="AM33" s="124"/>
      <c r="AN33" s="125"/>
      <c r="AO33" s="124"/>
      <c r="AP33" s="520" t="s">
        <v>304</v>
      </c>
      <c r="AQ33" s="571"/>
      <c r="AR33" s="104"/>
      <c r="AS33" s="105"/>
      <c r="AT33" s="22">
        <v>29</v>
      </c>
      <c r="AU33" s="22" t="s">
        <v>130</v>
      </c>
      <c r="AV33" s="507"/>
      <c r="AW33" s="16"/>
      <c r="AX33" s="71"/>
      <c r="AY33" s="73"/>
      <c r="AZ33" s="71"/>
      <c r="BA33" s="73"/>
      <c r="BB33" s="73"/>
      <c r="BC33" s="59"/>
      <c r="BD33" s="71"/>
      <c r="BE33" s="16"/>
      <c r="BF33" s="71" t="s">
        <v>34</v>
      </c>
      <c r="BG33" s="68"/>
      <c r="BH33" s="66" t="s">
        <v>34</v>
      </c>
      <c r="BI33" s="68"/>
      <c r="BJ33" s="68" t="s">
        <v>34</v>
      </c>
      <c r="BK33" s="110"/>
      <c r="BL33" s="66" t="s">
        <v>34</v>
      </c>
      <c r="BM33" s="38"/>
      <c r="BN33" s="71" t="s">
        <v>33</v>
      </c>
      <c r="BO33" s="68"/>
      <c r="BP33" s="71" t="s">
        <v>33</v>
      </c>
      <c r="BQ33" s="68"/>
      <c r="BR33" s="73" t="s">
        <v>33</v>
      </c>
      <c r="BS33" s="68"/>
      <c r="BT33" s="71" t="s">
        <v>33</v>
      </c>
      <c r="BU33" s="108"/>
      <c r="BV33" s="68"/>
      <c r="BW33" s="68"/>
      <c r="BX33" s="66"/>
      <c r="BY33" s="68"/>
      <c r="BZ33" s="68"/>
      <c r="CA33" s="83"/>
      <c r="CB33" s="66"/>
      <c r="CC33" s="22">
        <v>29</v>
      </c>
      <c r="CD33" s="22" t="s">
        <v>130</v>
      </c>
      <c r="CE33" s="507"/>
      <c r="CF33" s="311">
        <f t="shared" si="0"/>
        <v>4</v>
      </c>
      <c r="CG33" s="76">
        <f t="shared" si="1"/>
        <v>4</v>
      </c>
      <c r="CH33" s="27"/>
      <c r="CI33" s="28"/>
      <c r="CJ33" s="449"/>
      <c r="CK33" s="450"/>
    </row>
    <row r="34" spans="1:89" ht="15" customHeight="1">
      <c r="A34" s="22">
        <v>30</v>
      </c>
      <c r="B34" s="22" t="s">
        <v>131</v>
      </c>
      <c r="C34" s="508"/>
      <c r="D34" s="125"/>
      <c r="E34" s="124"/>
      <c r="F34" s="125"/>
      <c r="G34" s="124"/>
      <c r="H34" s="125"/>
      <c r="I34" s="124"/>
      <c r="J34" s="125"/>
      <c r="K34" s="124"/>
      <c r="L34" s="125"/>
      <c r="M34" s="124" t="s">
        <v>53</v>
      </c>
      <c r="N34" s="125"/>
      <c r="O34" s="326"/>
      <c r="P34" s="125"/>
      <c r="Q34" s="124"/>
      <c r="R34" s="117" t="s">
        <v>41</v>
      </c>
      <c r="S34" s="124"/>
      <c r="T34" s="117" t="s">
        <v>41</v>
      </c>
      <c r="U34" s="124"/>
      <c r="V34" s="123"/>
      <c r="W34" s="124"/>
      <c r="X34" s="123"/>
      <c r="Y34" s="146"/>
      <c r="Z34" s="125"/>
      <c r="AA34" s="124"/>
      <c r="AB34" s="125"/>
      <c r="AC34" s="124"/>
      <c r="AD34" s="123"/>
      <c r="AE34" s="124"/>
      <c r="AF34" s="125"/>
      <c r="AG34" s="146"/>
      <c r="AH34" s="125"/>
      <c r="AI34" s="124" t="s">
        <v>137</v>
      </c>
      <c r="AJ34" s="125"/>
      <c r="AK34" s="124"/>
      <c r="AL34" s="125"/>
      <c r="AM34" s="124"/>
      <c r="AN34" s="125"/>
      <c r="AO34" s="124"/>
      <c r="AP34" s="568"/>
      <c r="AQ34" s="569"/>
      <c r="AR34" s="128"/>
      <c r="AS34" s="129"/>
      <c r="AT34" s="22">
        <v>30</v>
      </c>
      <c r="AU34" s="22" t="s">
        <v>131</v>
      </c>
      <c r="AV34" s="508"/>
      <c r="AW34" s="16"/>
      <c r="AX34" s="71"/>
      <c r="AY34" s="73"/>
      <c r="AZ34" s="71"/>
      <c r="BA34" s="73"/>
      <c r="BB34" s="73"/>
      <c r="BC34" s="59"/>
      <c r="BD34" s="71"/>
      <c r="BE34" s="16"/>
      <c r="BF34" s="71"/>
      <c r="BG34" s="73"/>
      <c r="BH34" s="71"/>
      <c r="BI34" s="73"/>
      <c r="BJ34" s="73"/>
      <c r="BK34" s="59"/>
      <c r="BL34" s="71"/>
      <c r="BM34" s="38"/>
      <c r="BN34" s="66" t="s">
        <v>34</v>
      </c>
      <c r="BO34" s="68"/>
      <c r="BP34" s="66" t="s">
        <v>34</v>
      </c>
      <c r="BQ34" s="68"/>
      <c r="BR34" s="68" t="s">
        <v>34</v>
      </c>
      <c r="BS34" s="110"/>
      <c r="BT34" s="75" t="s">
        <v>34</v>
      </c>
      <c r="BU34" s="108"/>
      <c r="BV34" s="68"/>
      <c r="BW34" s="68"/>
      <c r="BX34" s="71" t="s">
        <v>33</v>
      </c>
      <c r="BY34" s="68"/>
      <c r="BZ34" s="73" t="s">
        <v>33</v>
      </c>
      <c r="CA34" s="68"/>
      <c r="CB34" s="71" t="s">
        <v>33</v>
      </c>
      <c r="CC34" s="22">
        <v>30</v>
      </c>
      <c r="CD34" s="22" t="s">
        <v>131</v>
      </c>
      <c r="CE34" s="508"/>
      <c r="CF34" s="311">
        <f>COUNTIF(AX34:CB34,"י")+COUNTIF(AX34:CB34,"Y")+COUNTIF(AX34:CB34,"2")</f>
        <v>3</v>
      </c>
      <c r="CG34" s="76">
        <f>COUNTIF(AW34:CB34,"ל")+COUNTIF(AW34:CB34,"L")+COUNTIF(AW34:CB34,"ל2")</f>
        <v>4</v>
      </c>
      <c r="CH34" s="102"/>
      <c r="CI34" s="103"/>
      <c r="CJ34" s="551"/>
      <c r="CK34" s="552"/>
    </row>
    <row r="35" spans="1:89" ht="15" customHeight="1" thickBot="1">
      <c r="A35" s="142">
        <v>31</v>
      </c>
      <c r="B35" s="142" t="s">
        <v>132</v>
      </c>
      <c r="C35" s="138">
        <v>23</v>
      </c>
      <c r="D35" s="119"/>
      <c r="E35" s="118"/>
      <c r="F35" s="119"/>
      <c r="G35" s="118"/>
      <c r="H35" s="119"/>
      <c r="I35" s="118" t="s">
        <v>51</v>
      </c>
      <c r="J35" s="119"/>
      <c r="K35" s="118"/>
      <c r="L35" s="119"/>
      <c r="M35" s="118" t="s">
        <v>136</v>
      </c>
      <c r="N35" s="119"/>
      <c r="O35" s="327"/>
      <c r="P35" s="119"/>
      <c r="Q35" s="118"/>
      <c r="R35" s="117"/>
      <c r="S35" s="118"/>
      <c r="T35" s="117" t="s">
        <v>41</v>
      </c>
      <c r="U35" s="118"/>
      <c r="V35" s="117"/>
      <c r="W35" s="118"/>
      <c r="X35" s="117"/>
      <c r="Y35" s="121"/>
      <c r="Z35" s="119"/>
      <c r="AA35" s="118"/>
      <c r="AB35" s="119"/>
      <c r="AC35" s="118"/>
      <c r="AD35" s="117"/>
      <c r="AE35" s="118"/>
      <c r="AF35" s="119"/>
      <c r="AG35" s="121"/>
      <c r="AH35" s="119"/>
      <c r="AI35" s="118"/>
      <c r="AJ35" s="119"/>
      <c r="AK35" s="118"/>
      <c r="AL35" s="119"/>
      <c r="AM35" s="118"/>
      <c r="AN35" s="119"/>
      <c r="AO35" s="118"/>
      <c r="AP35" s="574"/>
      <c r="AQ35" s="575"/>
      <c r="AR35" s="35"/>
      <c r="AS35" s="36"/>
      <c r="AT35" s="142">
        <v>31</v>
      </c>
      <c r="AU35" s="142" t="s">
        <v>132</v>
      </c>
      <c r="AV35" s="138">
        <v>23</v>
      </c>
      <c r="AW35" s="14"/>
      <c r="AX35" s="71" t="s">
        <v>33</v>
      </c>
      <c r="AY35" s="69"/>
      <c r="AZ35" s="71" t="s">
        <v>41</v>
      </c>
      <c r="BA35" s="69"/>
      <c r="BB35" s="159" t="s">
        <v>41</v>
      </c>
      <c r="BC35" s="69"/>
      <c r="BD35" s="71" t="s">
        <v>33</v>
      </c>
      <c r="BE35" s="14"/>
      <c r="BF35" s="70"/>
      <c r="BG35" s="72"/>
      <c r="BH35" s="70"/>
      <c r="BI35" s="72"/>
      <c r="BJ35" s="72"/>
      <c r="BK35" s="58"/>
      <c r="BL35" s="70"/>
      <c r="BM35" s="37"/>
      <c r="BN35" s="70"/>
      <c r="BO35" s="72"/>
      <c r="BP35" s="70"/>
      <c r="BQ35" s="72"/>
      <c r="BR35" s="72"/>
      <c r="BS35" s="15"/>
      <c r="BT35" s="188" t="s">
        <v>47</v>
      </c>
      <c r="BU35" s="96"/>
      <c r="BV35" s="70"/>
      <c r="BW35" s="69"/>
      <c r="BX35" s="67" t="s">
        <v>34</v>
      </c>
      <c r="BY35" s="69"/>
      <c r="BZ35" s="69" t="s">
        <v>34</v>
      </c>
      <c r="CA35" s="87"/>
      <c r="CB35" s="67" t="s">
        <v>34</v>
      </c>
      <c r="CC35" s="142">
        <v>31</v>
      </c>
      <c r="CD35" s="142" t="s">
        <v>132</v>
      </c>
      <c r="CE35" s="138">
        <v>22</v>
      </c>
      <c r="CF35" s="312">
        <f t="shared" si="0"/>
        <v>2</v>
      </c>
      <c r="CG35" s="77">
        <f t="shared" si="1"/>
        <v>4</v>
      </c>
      <c r="CH35" s="26"/>
      <c r="CI35" s="21"/>
      <c r="CJ35" s="549"/>
      <c r="CK35" s="550"/>
    </row>
    <row r="36" spans="1:89" ht="15" customHeight="1" thickBot="1">
      <c r="D36" s="8">
        <f>(COUNTIF(D1:D35,"הרצליה")+COUNTIF(D1:D35,"חיפה")+COUNTIF(D1:D35,"רמון")+COUNTIF(D1:D35,"ראש פינה")+COUNTIF(D1:D35,"ה.ב"))</f>
        <v>1</v>
      </c>
      <c r="E36" s="9">
        <f>(COUNTIF(E1:E35,"כ")+COUNTIF(E1:E35,"כמ"))*6+(COUNTIF(E1:E35,"כש")+COUNTIF(E1:E35,"כמש"))*10</f>
        <v>18</v>
      </c>
      <c r="F36" s="8">
        <f t="shared" ref="F36" si="2">(COUNTIF(F1:F35,"הרצליה")+COUNTIF(F1:F35,"חיפה")+COUNTIF(F1:F35,"רמון")+COUNTIF(F1:F35,"ראש פינה")+COUNTIF(F1:F35,"ה.ב"))</f>
        <v>0</v>
      </c>
      <c r="G36" s="9">
        <f t="shared" ref="G36" si="3">(COUNTIF(G1:G35,"כ")+COUNTIF(G1:G35,"כמ"))*6+(COUNTIF(G1:G35,"כש")+COUNTIF(G1:G35,"כמש"))*10</f>
        <v>18</v>
      </c>
      <c r="H36" s="8">
        <f t="shared" ref="H36" si="4">(COUNTIF(H1:H35,"הרצליה")+COUNTIF(H1:H35,"חיפה")+COUNTIF(H1:H35,"רמון")+COUNTIF(H1:H35,"ראש פינה")+COUNTIF(H1:H35,"ה.ב"))</f>
        <v>4</v>
      </c>
      <c r="I36" s="9">
        <f t="shared" ref="I36" si="5">(COUNTIF(I1:I35,"כ")+COUNTIF(I1:I35,"כמ"))*6+(COUNTIF(I1:I35,"כש")+COUNTIF(I1:I35,"כמש"))*10</f>
        <v>18</v>
      </c>
      <c r="J36" s="8">
        <f t="shared" ref="J36" si="6">(COUNTIF(J1:J35,"הרצליה")+COUNTIF(J1:J35,"חיפה")+COUNTIF(J1:J35,"רמון")+COUNTIF(J1:J35,"ראש פינה")+COUNTIF(J1:J35,"ה.ב"))</f>
        <v>5</v>
      </c>
      <c r="K36" s="9">
        <f t="shared" ref="K36" si="7">(COUNTIF(K1:K35,"כ")+COUNTIF(K1:K35,"כמ"))*6+(COUNTIF(K1:K35,"כש")+COUNTIF(K1:K35,"כמש"))*10</f>
        <v>18</v>
      </c>
      <c r="L36" s="8">
        <f t="shared" ref="L36" si="8">(COUNTIF(L1:L35,"הרצליה")+COUNTIF(L1:L35,"חיפה")+COUNTIF(L1:L35,"רמון")+COUNTIF(L1:L35,"ראש פינה")+COUNTIF(L1:L35,"ה.ב"))</f>
        <v>1</v>
      </c>
      <c r="M36" s="9">
        <f t="shared" ref="M36" si="9">(COUNTIF(M1:M35,"כ")+COUNTIF(M1:M35,"כמ"))*6+(COUNTIF(M1:M35,"כש")+COUNTIF(M1:M35,"כמש"))*10</f>
        <v>22</v>
      </c>
      <c r="N36" s="8">
        <f t="shared" ref="N36" si="10">(COUNTIF(N1:N35,"הרצליה")+COUNTIF(N1:N35,"חיפה")+COUNTIF(N1:N35,"רמון")+COUNTIF(N1:N35,"ראש פינה")+COUNTIF(N1:N35,"ה.ב"))</f>
        <v>0</v>
      </c>
      <c r="O36" s="9">
        <f t="shared" ref="O36" si="11">(COUNTIF(O1:O35,"כ")+COUNTIF(O1:O35,"כמ"))*6+(COUNTIF(O1:O35,"כש")+COUNTIF(O1:O35,"כמש"))*10</f>
        <v>36</v>
      </c>
      <c r="P36" s="8">
        <f t="shared" ref="P36" si="12">(COUNTIF(P1:P35,"הרצליה")+COUNTIF(P1:P35,"חיפה")+COUNTIF(P1:P35,"רמון")+COUNTIF(P1:P35,"ראש פינה")+COUNTIF(P1:P35,"ה.ב"))</f>
        <v>5</v>
      </c>
      <c r="Q36" s="9">
        <f t="shared" ref="Q36" si="13">(COUNTIF(Q1:Q35,"כ")+COUNTIF(Q1:Q35,"כמ"))*6+(COUNTIF(Q1:Q35,"כש")+COUNTIF(Q1:Q35,"כמש"))*10</f>
        <v>18</v>
      </c>
      <c r="R36" s="8">
        <f t="shared" ref="R36" si="14">(COUNTIF(R1:R35,"הרצליה")+COUNTIF(R1:R35,"חיפה")+COUNTIF(R1:R35,"רמון")+COUNTIF(R1:R35,"ראש פינה")+COUNTIF(R1:R35,"ה.ב"))</f>
        <v>0</v>
      </c>
      <c r="S36" s="9">
        <f t="shared" ref="S36" si="15">(COUNTIF(S1:S35,"כ")+COUNTIF(S1:S35,"כמ"))*6+(COUNTIF(S1:S35,"כש")+COUNTIF(S1:S35,"כמש"))*10</f>
        <v>18</v>
      </c>
      <c r="T36" s="8">
        <f t="shared" ref="T36" si="16">(COUNTIF(T1:T35,"הרצליה")+COUNTIF(T1:T35,"חיפה")+COUNTIF(T1:T35,"רמון")+COUNTIF(T1:T35,"ראש פינה")+COUNTIF(T1:T35,"ה.ב"))</f>
        <v>5</v>
      </c>
      <c r="U36" s="9">
        <f t="shared" ref="U36" si="17">(COUNTIF(U1:U35,"כ")+COUNTIF(U1:U35,"כמ"))*6+(COUNTIF(U1:U35,"כש")+COUNTIF(U1:U35,"כמש"))*10</f>
        <v>18</v>
      </c>
      <c r="V36" s="8">
        <f t="shared" ref="V36" si="18">(COUNTIF(V1:V35,"הרצליה")+COUNTIF(V1:V35,"חיפה")+COUNTIF(V1:V35,"רמון")+COUNTIF(V1:V35,"ראש פינה")+COUNTIF(V1:V35,"ה.ב"))</f>
        <v>0</v>
      </c>
      <c r="W36" s="9">
        <f t="shared" ref="W36" si="19">(COUNTIF(W1:W35,"כ")+COUNTIF(W1:W35,"כמ"))*6+(COUNTIF(W1:W35,"כש")+COUNTIF(W1:W35,"כמש"))*10</f>
        <v>18</v>
      </c>
      <c r="X36" s="8">
        <f t="shared" ref="X36" si="20">(COUNTIF(X1:X35,"הרצליה")+COUNTIF(X1:X35,"חיפה")+COUNTIF(X1:X35,"רמון")+COUNTIF(X1:X35,"ראש פינה")+COUNTIF(X1:X35,"ה.ב"))</f>
        <v>1</v>
      </c>
      <c r="Y36" s="9">
        <f t="shared" ref="Y36" si="21">(COUNTIF(Y1:Y35,"כ")+COUNTIF(Y1:Y35,"כמ"))*6+(COUNTIF(Y1:Y35,"כש")+COUNTIF(Y1:Y35,"כמש"))*10</f>
        <v>50</v>
      </c>
      <c r="Z36" s="8">
        <f t="shared" ref="Z36" si="22">(COUNTIF(Z1:Z35,"הרצליה")+COUNTIF(Z1:Z35,"חיפה")+COUNTIF(Z1:Z35,"רמון")+COUNTIF(Z1:Z35,"ראש פינה")+COUNTIF(Z1:Z35,"ה.ב"))</f>
        <v>0</v>
      </c>
      <c r="AA36" s="9">
        <f t="shared" ref="AA36" si="23">(COUNTIF(AA1:AA35,"כ")+COUNTIF(AA1:AA35,"כמ"))*6+(COUNTIF(AA1:AA35,"כש")+COUNTIF(AA1:AA35,"כמש"))*10</f>
        <v>0</v>
      </c>
      <c r="AB36" s="8">
        <f t="shared" ref="AB36" si="24">(COUNTIF(AB1:AB35,"הרצליה")+COUNTIF(AB1:AB35,"חיפה")+COUNTIF(AB1:AB35,"רמון")+COUNTIF(AB1:AB35,"ראש פינה")+COUNTIF(AB1:AB35,"ה.ב"))</f>
        <v>0</v>
      </c>
      <c r="AC36" s="9">
        <f t="shared" ref="AC36" si="25">(COUNTIF(AC1:AC35,"כ")+COUNTIF(AC1:AC35,"כמ"))*6+(COUNTIF(AC1:AC35,"כש")+COUNTIF(AC1:AC35,"כמש"))*10</f>
        <v>30</v>
      </c>
      <c r="AD36" s="8">
        <f t="shared" ref="AD36" si="26">(COUNTIF(AD1:AD35,"הרצליה")+COUNTIF(AD1:AD35,"חיפה")+COUNTIF(AD1:AD35,"רמון")+COUNTIF(AD1:AD35,"ראש פינה")+COUNTIF(AD1:AD35,"ה.ב"))</f>
        <v>1</v>
      </c>
      <c r="AE36" s="9">
        <f t="shared" ref="AE36" si="27">(COUNTIF(AE1:AE35,"כ")+COUNTIF(AE1:AE35,"כמ"))*6+(COUNTIF(AE1:AE35,"כש")+COUNTIF(AE1:AE35,"כמש"))*10</f>
        <v>36</v>
      </c>
      <c r="AF36" s="8">
        <f t="shared" ref="AF36" si="28">(COUNTIF(AF1:AF35,"הרצליה")+COUNTIF(AF1:AF35,"חיפה")+COUNTIF(AF1:AF35,"רמון")+COUNTIF(AF1:AF35,"ראש פינה")+COUNTIF(AF1:AF35,"ה.ב"))</f>
        <v>5</v>
      </c>
      <c r="AG36" s="9">
        <f t="shared" ref="AG36" si="29">(COUNTIF(AG1:AG35,"כ")+COUNTIF(AG1:AG35,"כמ"))*6+(COUNTIF(AG1:AG35,"כש")+COUNTIF(AG1:AG35,"כמש"))*10</f>
        <v>40</v>
      </c>
      <c r="AH36" s="8">
        <f t="shared" ref="AH36" si="30">(COUNTIF(AH1:AH35,"הרצליה")+COUNTIF(AH1:AH35,"חיפה")+COUNTIF(AH1:AH35,"רמון")+COUNTIF(AH1:AH35,"ראש פינה")+COUNTIF(AH1:AH35,"ה.ב"))</f>
        <v>0</v>
      </c>
      <c r="AI36" s="9">
        <f t="shared" ref="AI36" si="31">(COUNTIF(AI1:AI35,"כ")+COUNTIF(AI1:AI35,"כמ"))*6+(COUNTIF(AI1:AI35,"כש")+COUNTIF(AI1:AI35,"כמש"))*10</f>
        <v>36</v>
      </c>
      <c r="AJ36" s="8">
        <f t="shared" ref="AJ36" si="32">(COUNTIF(AJ1:AJ35,"הרצליה")+COUNTIF(AJ1:AJ35,"חיפה")+COUNTIF(AJ1:AJ35,"רמון")+COUNTIF(AJ1:AJ35,"ראש פינה")+COUNTIF(AJ1:AJ35,"ה.ב"))</f>
        <v>2</v>
      </c>
      <c r="AK36" s="9">
        <f t="shared" ref="AK36" si="33">(COUNTIF(AK1:AK35,"כ")+COUNTIF(AK1:AK35,"כמ"))*6+(COUNTIF(AK1:AK35,"כש")+COUNTIF(AK1:AK35,"כמש"))*10</f>
        <v>22</v>
      </c>
      <c r="AL36" s="8">
        <f t="shared" ref="AL36" si="34">(COUNTIF(AL1:AL35,"הרצליה")+COUNTIF(AL1:AL35,"חיפה")+COUNTIF(AL1:AL35,"רמון")+COUNTIF(AL1:AL35,"ראש פינה")+COUNTIF(AL1:AL35,"ה.ב"))</f>
        <v>5</v>
      </c>
      <c r="AM36" s="9">
        <f t="shared" ref="AM36" si="35">(COUNTIF(AM1:AM35,"כ")+COUNTIF(AM1:AM35,"כמ"))*6+(COUNTIF(AM1:AM35,"כש")+COUNTIF(AM1:AM35,"כמש"))*10</f>
        <v>18</v>
      </c>
      <c r="AN36" s="8">
        <f t="shared" ref="AN36" si="36">(COUNTIF(AN1:AN35,"הרצליה")+COUNTIF(AN1:AN35,"חיפה")+COUNTIF(AN1:AN35,"רמון")+COUNTIF(AN1:AN35,"ראש פינה")+COUNTIF(AN1:AN35,"ה.ב"))</f>
        <v>0</v>
      </c>
      <c r="AO36" s="9">
        <f t="shared" ref="AO36" si="37">(COUNTIF(AO1:AO35,"כ")+COUNTIF(AO1:AO35,"כמ"))*6+(COUNTIF(AO1:AO35,"כש")+COUNTIF(AO1:AO35,"כמש"))*10</f>
        <v>18</v>
      </c>
      <c r="AT36" s="482" t="s">
        <v>38</v>
      </c>
      <c r="AU36" s="483"/>
      <c r="AV36" s="484"/>
      <c r="AW36" s="485">
        <f>COUNTIF(AX4:AX35,"י")+COUNTIF(AX4:AX35,"Y")+COUNTIF(AX4:AX35,"2")</f>
        <v>8</v>
      </c>
      <c r="AX36" s="465"/>
      <c r="AY36" s="464">
        <f>COUNTIF(AZ4:AZ35,"י")+COUNTIF(AZ4:AZ35,"Y")+COUNTIF(AZ4:AZ35,"2")</f>
        <v>4</v>
      </c>
      <c r="AZ36" s="465"/>
      <c r="BA36" s="464">
        <f>COUNTIF(BB4:BB35,"י")+COUNTIF(BB4:BB35,"Y")+COUNTIF(BB4:BB35,"2")</f>
        <v>0</v>
      </c>
      <c r="BB36" s="465"/>
      <c r="BC36" s="464">
        <f>COUNTIF(BD4:BD35,"י")+COUNTIF(BD4:BD35,"Y")+COUNTIF(BD4:BD35,"2")</f>
        <v>9</v>
      </c>
      <c r="BD36" s="465"/>
      <c r="BE36" s="464">
        <f>COUNTIF(BF4:BF35,"י")+COUNTIF(BF4:BF35,"Y")+COUNTIF(BF4:BF35,"2")</f>
        <v>7</v>
      </c>
      <c r="BF36" s="465"/>
      <c r="BG36" s="464">
        <f>COUNTIF(BH4:BH35,"י")+COUNTIF(BH4:BH35,"Y")+COUNTIF(BH4:BH35,"2")</f>
        <v>5</v>
      </c>
      <c r="BH36" s="465"/>
      <c r="BI36" s="464">
        <f>COUNTIF(BJ4:BJ35,"י")+COUNTIF(BJ4:BJ35,"Y")+COUNTIF(BJ4:BJ35,"2")</f>
        <v>6</v>
      </c>
      <c r="BJ36" s="465"/>
      <c r="BK36" s="464">
        <f>COUNTIF(BL4:BL35,"י")+COUNTIF(BL4:BL35,"Y")+COUNTIF(BL4:BL35,"2")</f>
        <v>6</v>
      </c>
      <c r="BL36" s="465"/>
      <c r="BM36" s="464">
        <f>COUNTIF(BN4:BN35,"י")+COUNTIF(BN4:BN35,"Y")+COUNTIF(BN4:BN35,"2")</f>
        <v>8</v>
      </c>
      <c r="BN36" s="465"/>
      <c r="BO36" s="464">
        <f>COUNTIF(BP4:BP35,"י")+COUNTIF(BP4:BP35,"Y")+COUNTIF(BP4:BP35,"2")</f>
        <v>7</v>
      </c>
      <c r="BP36" s="465"/>
      <c r="BQ36" s="464">
        <f>COUNTIF(BR4:BR35,"י")+COUNTIF(BR4:BR35,"Y")+COUNTIF(BR4:BR35,"2")</f>
        <v>7</v>
      </c>
      <c r="BR36" s="465"/>
      <c r="BS36" s="464">
        <f>COUNTIF(BT4:BT35,"י")+COUNTIF(BT4:BT35,"Y")+COUNTIF(BT4:BT35,"2")</f>
        <v>4</v>
      </c>
      <c r="BT36" s="465"/>
      <c r="BU36" s="464">
        <f>COUNTIF(BV4:BV35,"י")+COUNTIF(BV4:BV35,"Y")+COUNTIF(BV4:BV35,"2")</f>
        <v>0</v>
      </c>
      <c r="BV36" s="465"/>
      <c r="BW36" s="464">
        <f>COUNTIF(BX4:BX35,"י")+COUNTIF(BX4:BX35,"Y")+COUNTIF(BX4:BX35,"2")</f>
        <v>6</v>
      </c>
      <c r="BX36" s="465"/>
      <c r="BY36" s="464">
        <f>COUNTIF(BZ4:BZ35,"י")+COUNTIF(BZ4:BZ35,"Y")+COUNTIF(BZ4:BZ35,"2")</f>
        <v>8</v>
      </c>
      <c r="BZ36" s="465"/>
      <c r="CA36" s="466">
        <f>COUNTIF(CB4:CB35,"י")+COUNTIF(CB4:CB35,"Y")+COUNTIF(CB4:CB35,"2")</f>
        <v>6</v>
      </c>
      <c r="CB36" s="467"/>
      <c r="CC36" s="468" t="s">
        <v>140</v>
      </c>
      <c r="CD36" s="469"/>
      <c r="CE36" s="470"/>
    </row>
    <row r="37" spans="1:89" ht="15" customHeight="1" thickBot="1">
      <c r="C37" t="s">
        <v>322</v>
      </c>
      <c r="D37" s="234">
        <f>D36+אפריל!D36</f>
        <v>8</v>
      </c>
      <c r="E37" s="234">
        <f>E36+אפריל!E36</f>
        <v>94</v>
      </c>
      <c r="F37" s="234">
        <f>F36+אפריל!F36</f>
        <v>9</v>
      </c>
      <c r="G37" s="234">
        <f>G36+אפריל!G36</f>
        <v>108</v>
      </c>
      <c r="H37" s="234">
        <f>H36+אפריל!H36</f>
        <v>7</v>
      </c>
      <c r="I37" s="234">
        <f>I36+אפריל!I36</f>
        <v>98</v>
      </c>
      <c r="J37" s="234">
        <f>J36+אפריל!J36</f>
        <v>6</v>
      </c>
      <c r="K37" s="234">
        <f>K36+אפריל!K36</f>
        <v>54</v>
      </c>
      <c r="L37" s="234">
        <f>L36+אפריל!L36</f>
        <v>5</v>
      </c>
      <c r="M37" s="234">
        <f>M36+אפריל!M36</f>
        <v>110</v>
      </c>
      <c r="N37" s="234">
        <f>N36+אפריל!N36</f>
        <v>12</v>
      </c>
      <c r="O37" s="234">
        <f>O36+אפריל!O36</f>
        <v>178</v>
      </c>
      <c r="P37" s="234">
        <f>P36+אפריל!P36</f>
        <v>9</v>
      </c>
      <c r="Q37" s="234">
        <f>Q36+אפריל!Q36</f>
        <v>104</v>
      </c>
      <c r="R37" s="234">
        <f>R36+אפריל!R36</f>
        <v>4</v>
      </c>
      <c r="S37" s="234">
        <f>S36+אפריל!S36</f>
        <v>90</v>
      </c>
      <c r="T37" s="234">
        <f>T36+אפריל!T36</f>
        <v>9</v>
      </c>
      <c r="U37" s="234">
        <f>U36+אפריל!U36</f>
        <v>94</v>
      </c>
      <c r="V37" s="234">
        <f>V36+אפריל!V36</f>
        <v>2</v>
      </c>
      <c r="W37" s="234">
        <f>W36+אפריל!W36</f>
        <v>90</v>
      </c>
      <c r="X37" s="234">
        <f>X36+אפריל!X36</f>
        <v>14</v>
      </c>
      <c r="Y37" s="234">
        <f>Y36+אפריל!Y36</f>
        <v>246</v>
      </c>
      <c r="Z37" s="234">
        <f>Z36+אפריל!Z36</f>
        <v>2</v>
      </c>
      <c r="AA37" s="234">
        <f>AA36+אפריל!AA36</f>
        <v>0</v>
      </c>
      <c r="AB37" s="234">
        <f>AB36+אפריל!AB36</f>
        <v>4</v>
      </c>
      <c r="AC37" s="234">
        <f>AC36+אפריל!AC36</f>
        <v>164</v>
      </c>
      <c r="AD37" s="234">
        <f>AD36+אפריל!AD36</f>
        <v>1</v>
      </c>
      <c r="AE37" s="234">
        <f>AE36+אפריל!AE36</f>
        <v>180</v>
      </c>
      <c r="AF37" s="234">
        <f>AF36+אפריל!AF36</f>
        <v>10</v>
      </c>
      <c r="AG37" s="234">
        <f>AG36+אפריל!AG36</f>
        <v>200</v>
      </c>
      <c r="AH37" s="234">
        <f>AH36+אפריל!AH36</f>
        <v>2</v>
      </c>
      <c r="AI37" s="234">
        <f>AI36+אפריל!AI36</f>
        <v>168</v>
      </c>
      <c r="AJ37" s="234">
        <f>AJ36+אפריל!AJ36</f>
        <v>6</v>
      </c>
      <c r="AK37" s="234">
        <f>AK36+אפריל!AK36</f>
        <v>102</v>
      </c>
      <c r="AL37" s="234">
        <f>AL36+אפריל!AL36</f>
        <v>9</v>
      </c>
      <c r="AM37" s="234">
        <f>AM36+אפריל!AM36</f>
        <v>90</v>
      </c>
      <c r="AN37" s="234">
        <f>AN36+אפריל!AN36</f>
        <v>1</v>
      </c>
      <c r="AO37" s="234">
        <f>AO36+אפריל!AO36</f>
        <v>42</v>
      </c>
      <c r="AT37" s="478" t="s">
        <v>39</v>
      </c>
      <c r="AU37" s="479"/>
      <c r="AV37" s="480"/>
      <c r="AW37" s="481">
        <f>COUNTIF(AX4:AX35,"ל")+COUNTIF(AX4:AX35,"L")+COUNTIF(AX4:AX35,"ל2")</f>
        <v>8</v>
      </c>
      <c r="AX37" s="475"/>
      <c r="AY37" s="474">
        <f>COUNTIF(AZ4:AZ35,"ל")+COUNTIF(AZ4:AZ35,"L")+COUNTIF(AZ4:AZ35,"ל2")</f>
        <v>7</v>
      </c>
      <c r="AZ37" s="475"/>
      <c r="BA37" s="474">
        <f>COUNTIF(BB4:BB35,"ל")+COUNTIF(BB4:BB35,"L")+COUNTIF(BB4:BB35,"ל2")</f>
        <v>0</v>
      </c>
      <c r="BB37" s="475"/>
      <c r="BC37" s="474">
        <f>COUNTIF(BD4:BD35,"ל")+COUNTIF(BD4:BD35,"L")+COUNTIF(BD4:BD35,"ל2")</f>
        <v>7</v>
      </c>
      <c r="BD37" s="475"/>
      <c r="BE37" s="474">
        <f>COUNTIF(BF4:BF35,"ל")+COUNTIF(BF4:BF35,"L")+COUNTIF(BF4:BF35,"ל2")</f>
        <v>7</v>
      </c>
      <c r="BF37" s="475"/>
      <c r="BG37" s="474">
        <f>COUNTIF(BH4:BH35,"ל")+COUNTIF(BH4:BH35,"L")+COUNTIF(BH4:BH35,"ל2")</f>
        <v>6</v>
      </c>
      <c r="BH37" s="475"/>
      <c r="BI37" s="474">
        <f>COUNTIF(BJ4:BJ35,"ל")+COUNTIF(BJ4:BJ35,"L")+COUNTIF(BJ4:BJ35,"ל2")</f>
        <v>7</v>
      </c>
      <c r="BJ37" s="475"/>
      <c r="BK37" s="474">
        <f>COUNTIF(BL4:BL35,"ל")+COUNTIF(BL4:BL35,"L")+COUNTIF(BL4:BL35,"ל2")</f>
        <v>7</v>
      </c>
      <c r="BL37" s="475"/>
      <c r="BM37" s="474">
        <f>COUNTIF(BN4:BN35,"ל")+COUNTIF(BN4:BN35,"L")+COUNTIF(BN4:BN35,"ל2")</f>
        <v>9</v>
      </c>
      <c r="BN37" s="475"/>
      <c r="BO37" s="474">
        <f>COUNTIF(BP4:BP35,"ל")+COUNTIF(BP4:BP35,"L")+COUNTIF(BP4:BP35,"ל2")</f>
        <v>8</v>
      </c>
      <c r="BP37" s="475"/>
      <c r="BQ37" s="474">
        <f>COUNTIF(BR4:BR35,"ל")+COUNTIF(BR4:BR35,"L")+COUNTIF(BR4:BR35,"ל2")</f>
        <v>7</v>
      </c>
      <c r="BR37" s="475"/>
      <c r="BS37" s="474">
        <f>COUNTIF(BT4:BT35,"ל")+COUNTIF(BT4:BT35,"L")+COUNTIF(BT4:BT35,"ל2")</f>
        <v>12</v>
      </c>
      <c r="BT37" s="475"/>
      <c r="BU37" s="474">
        <f>COUNTIF(BV4:BV35,"ל")+COUNTIF(BV4:BV35,"L")+COUNTIF(BV4:BV35,"ל2")</f>
        <v>0</v>
      </c>
      <c r="BV37" s="475"/>
      <c r="BW37" s="474">
        <f>COUNTIF(BX4:BX35,"ל")+COUNTIF(BX4:BX35,"L")+COUNTIF(BX4:BX35,"ל2")</f>
        <v>7</v>
      </c>
      <c r="BX37" s="475"/>
      <c r="BY37" s="474">
        <f>COUNTIF(BZ4:BZ35,"ל")+COUNTIF(BZ4:BZ35,"L")+COUNTIF(BZ4:BZ35,"ל2")</f>
        <v>8</v>
      </c>
      <c r="BZ37" s="475"/>
      <c r="CA37" s="476">
        <f>COUNTIF(CB4:CB35,"ל")+COUNTIF(CB4:CB35,"L")+COUNTIF(CB4:CB35,"ל2")</f>
        <v>6</v>
      </c>
      <c r="CB37" s="477"/>
      <c r="CC37" s="471"/>
      <c r="CD37" s="472"/>
      <c r="CE37" s="473"/>
    </row>
    <row r="38" spans="1:89" s="63" customFormat="1" ht="15" customHeight="1" thickBot="1">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W38" s="488">
        <f>(AW36*12)+(AW37*12)+(COUNTIF(AX4:AX35,"ק")*8)+(COUNTIF(AX4:AX35,"ח")*8)+(COUNTIF(AX4:AX35,"מ")*8)+(COUNTIF(AX4:AX35,"מיל")*8)</f>
        <v>192</v>
      </c>
      <c r="AX38" s="487"/>
      <c r="AY38" s="486">
        <f>(AY36*12)+(AY37*12)+(COUNTIF(AZ4:AZ35,"ק")*8)+(COUNTIF(AZ4:AZ35,"ח")*8)+(COUNTIF(AZ4:AZ35,"מ")*8)+(COUNTIF(AZ4:AZ35,"מיל")*8)</f>
        <v>156</v>
      </c>
      <c r="AZ38" s="487"/>
      <c r="BA38" s="486">
        <f>(BA36*12)+(BA37*12)+(COUNTIF(BB4:BB35,"ק")*8)+(COUNTIF(BB4:BB35,"ח")*8)+(COUNTIF(BB4:BB35,"מ")*8)+(COUNTIF(BB4:BB35,"מיל")*8)</f>
        <v>168</v>
      </c>
      <c r="BB38" s="487"/>
      <c r="BC38" s="486">
        <f>(BC36*12)+(BC37*12)+(COUNTIF(BD4:BD35,"ק")*8)+(COUNTIF(BD4:BD35,"ח")*8)+(COUNTIF(BD4:BD35,"מ")*8)+(COUNTIF(BD4:BD35,"מיל")*8)</f>
        <v>200</v>
      </c>
      <c r="BD38" s="487"/>
      <c r="BE38" s="486">
        <f>(BE36*12)+(BE37*12)+(COUNTIF(BF4:BF35,"ק")*8)+(COUNTIF(BF4:BF35,"ח")*8)+(COUNTIF(BF4:BF35,"מ")*8)+(COUNTIF(BF4:BF35,"מיל")*8)</f>
        <v>168</v>
      </c>
      <c r="BF38" s="487"/>
      <c r="BG38" s="486">
        <f>(BG36*12)+(BG37*12)+(COUNTIF(BH4:BH35,"ק")*8)+(COUNTIF(BH4:BH35,"ח")*8)+(COUNTIF(BH4:BH35,"מ")*8)+(COUNTIF(BH4:BH35,"מיל")*8)</f>
        <v>172</v>
      </c>
      <c r="BH38" s="487"/>
      <c r="BI38" s="486">
        <f>(BI36*12)+(BI37*12)+(COUNTIF(BJ4:BJ35,"ק")*8)+(COUNTIF(BJ4:BJ35,"ח")*8)+(COUNTIF(BJ4:BJ35,"מ")*8)+(COUNTIF(BJ4:BJ35,"מיל")*8)</f>
        <v>172</v>
      </c>
      <c r="BJ38" s="487"/>
      <c r="BK38" s="486">
        <f>(BK36*12)+(BK37*12)+(COUNTIF(BL4:BL35,"ק")*8)+(COUNTIF(BL4:BL35,"ח")*8)+(COUNTIF(BL4:BL35,"מ")*8)+(COUNTIF(BL4:BL35,"מיל")*8)</f>
        <v>172</v>
      </c>
      <c r="BL38" s="487"/>
      <c r="BM38" s="486">
        <f>(BM36*12)+(BM37*12)+(COUNTIF(BN4:BN35,"ק")*8)+(COUNTIF(BN4:BN35,"ח")*8)+(COUNTIF(BN4:BN35,"מ")*8)+(COUNTIF(BN4:BN35,"מיל")*8)</f>
        <v>204</v>
      </c>
      <c r="BN38" s="487"/>
      <c r="BO38" s="486">
        <f>(BO36*12)+(BO37*12)+(COUNTIF(BP4:BP35,"ק")*8)+(COUNTIF(BP4:BP35,"ח")*8)+(COUNTIF(BP4:BP35,"מ")*8)+(COUNTIF(BP4:BP35,"מיל")*8)</f>
        <v>188</v>
      </c>
      <c r="BP38" s="487"/>
      <c r="BQ38" s="486">
        <f>(BQ36*12)+(BQ37*12)+(COUNTIF(BR4:BR35,"ק")*8)+(COUNTIF(BR4:BR35,"ח")*8)+(COUNTIF(BR4:BR35,"מ")*8)+(COUNTIF(BR4:BR35,"מיל")*8)</f>
        <v>176</v>
      </c>
      <c r="BR38" s="487"/>
      <c r="BS38" s="486">
        <f>(BS36*12)+(BS37*12)+(COUNTIF(BT4:BT35,"ק")*8)+(COUNTIF(BT4:BT35,"ח")*8)+(COUNTIF(BT4:BT35,"מ")*8)+(COUNTIF(BT4:BT35,"מיל")*8)</f>
        <v>192</v>
      </c>
      <c r="BT38" s="487"/>
      <c r="BU38" s="486">
        <f>(BU36*12)+(BU37*12)+(COUNTIF(BV4:BV35,"ק")*8)+(COUNTIF(BV4:BV35,"ח")*8)+(COUNTIF(BV4:BV35,"מ")*8)+(COUNTIF(BV4:BV35,"מיל")*8)</f>
        <v>0</v>
      </c>
      <c r="BV38" s="487"/>
      <c r="BW38" s="486">
        <f>(BW36*12)+(BW37*12)+(COUNTIF(BX4:BX35,"ק")*8)+(COUNTIF(BX4:BX35,"ח")*8)+(COUNTIF(BX4:BX35,"מ")*8)+(COUNTIF(BX4:BX35,"מיל")*8)</f>
        <v>164</v>
      </c>
      <c r="BX38" s="487"/>
      <c r="BY38" s="486">
        <f>(BY36*12)+(BY37*12)+(COUNTIF(BZ4:BZ35,"ק")*8)+(COUNTIF(BZ4:BZ35,"ח")*8)+(COUNTIF(BZ4:BZ35,"מ")*8)+(COUNTIF(BZ4:BZ35,"מיל")*8)</f>
        <v>192</v>
      </c>
      <c r="BZ38" s="487"/>
      <c r="CA38" s="486">
        <f>(CA36*12)+(CA37*12)+(COUNTIF(CB4:CB35,"ק")*8)+(COUNTIF(CB4:CB35,"ח")*8)+(COUNTIF(CB4:CB35,"מ")*8)+(COUNTIF(CB4:CB35,"מיל")*8)</f>
        <v>192</v>
      </c>
      <c r="CB38" s="496"/>
      <c r="CC38" s="497">
        <v>165.5</v>
      </c>
      <c r="CD38" s="498"/>
      <c r="CE38" s="499"/>
    </row>
    <row r="39" spans="1:89" ht="15" customHeight="1" thickBot="1">
      <c r="AW39" s="500">
        <f>AW38-CC38</f>
        <v>26.5</v>
      </c>
      <c r="AX39" s="491"/>
      <c r="AY39" s="490">
        <f>AY38-CC38</f>
        <v>-9.5</v>
      </c>
      <c r="AZ39" s="491"/>
      <c r="BA39" s="490">
        <f>BA38-CC38</f>
        <v>2.5</v>
      </c>
      <c r="BB39" s="491"/>
      <c r="BC39" s="490">
        <f>BC38-CC38</f>
        <v>34.5</v>
      </c>
      <c r="BD39" s="491"/>
      <c r="BE39" s="490">
        <f>BE38-CC38</f>
        <v>2.5</v>
      </c>
      <c r="BF39" s="491"/>
      <c r="BG39" s="490">
        <f>BG38-CC38</f>
        <v>6.5</v>
      </c>
      <c r="BH39" s="491"/>
      <c r="BI39" s="490">
        <f>BI38-CC38</f>
        <v>6.5</v>
      </c>
      <c r="BJ39" s="491"/>
      <c r="BK39" s="490">
        <f>BK38-CC38</f>
        <v>6.5</v>
      </c>
      <c r="BL39" s="491"/>
      <c r="BM39" s="490">
        <f>BM38-CC38</f>
        <v>38.5</v>
      </c>
      <c r="BN39" s="491"/>
      <c r="BO39" s="490">
        <f>BO38-CC38</f>
        <v>22.5</v>
      </c>
      <c r="BP39" s="491"/>
      <c r="BQ39" s="490">
        <f>BQ38-CC38</f>
        <v>10.5</v>
      </c>
      <c r="BR39" s="491"/>
      <c r="BS39" s="490">
        <f>BS38-CC38</f>
        <v>26.5</v>
      </c>
      <c r="BT39" s="491"/>
      <c r="BU39" s="490">
        <f>BU38-CC38</f>
        <v>-165.5</v>
      </c>
      <c r="BV39" s="491"/>
      <c r="BW39" s="490">
        <f>BW38-CC38</f>
        <v>-1.5</v>
      </c>
      <c r="BX39" s="491"/>
      <c r="BY39" s="490">
        <f>BY38-CC38</f>
        <v>26.5</v>
      </c>
      <c r="BZ39" s="491"/>
      <c r="CA39" s="492">
        <f>CA38-CC38</f>
        <v>26.5</v>
      </c>
      <c r="CB39" s="493"/>
      <c r="CC39" s="494" t="s">
        <v>222</v>
      </c>
      <c r="CD39" s="494"/>
      <c r="CE39" s="495"/>
    </row>
  </sheetData>
  <customSheetViews>
    <customSheetView guid="{C6961C98-214A-4770-9A2D-B399A95C6C8B}" scale="85">
      <pane ySplit="4" topLeftCell="A5" activePane="bottomLeft" state="frozen"/>
      <selection pane="bottomLeft" activeCell="D7" sqref="D7"/>
      <pageMargins left="0.7" right="0.7" top="0.75" bottom="0.75" header="0.3" footer="0.3"/>
      <pageSetup paperSize="9" orientation="portrait" r:id="rId1"/>
    </customSheetView>
    <customSheetView guid="{A704065A-5B6F-476C-AE5F-F67C013164B0}" scale="80">
      <pane ySplit="4" topLeftCell="A5" activePane="bottomLeft" state="frozen"/>
      <selection pane="bottomLeft" activeCell="P7" sqref="P7"/>
      <pageMargins left="0.7" right="0.7" top="0.75" bottom="0.75" header="0.3" footer="0.3"/>
      <pageSetup paperSize="9" orientation="portrait" r:id="rId2"/>
    </customSheetView>
    <customSheetView guid="{319CE2B6-D20C-48B8-B7D9-15D19162A7CD}" scale="85">
      <pane ySplit="4" topLeftCell="A5" activePane="bottomLeft" state="frozen"/>
      <selection pane="bottomLeft" activeCell="X32" sqref="X32"/>
      <pageMargins left="0.7" right="0.7" top="0.75" bottom="0.75" header="0.3" footer="0.3"/>
      <pageSetup paperSize="9" orientation="portrait" r:id="rId3"/>
    </customSheetView>
    <customSheetView guid="{C5360886-767B-4F33-B24F-A6512AA390CC}" scale="90" topLeftCell="AQ1">
      <pane ySplit="4" topLeftCell="A5" activePane="bottomLeft" state="frozen"/>
      <selection pane="bottomLeft" activeCell="BI41" sqref="BI41"/>
      <pageMargins left="0.7" right="0.7" top="0.75" bottom="0.75" header="0.3" footer="0.3"/>
      <pageSetup paperSize="9" orientation="portrait" r:id="rId4"/>
    </customSheetView>
    <customSheetView guid="{9C777CA9-4E1C-4A90-9032-5D0586052FC8}" scale="80">
      <pane ySplit="4" topLeftCell="A5" activePane="bottomLeft" state="frozen"/>
      <selection pane="bottomLeft" activeCell="AD39" sqref="AD39"/>
      <pageMargins left="0.7" right="0.7" top="0.75" bottom="0.75" header="0.3" footer="0.3"/>
      <pageSetup paperSize="9" orientation="portrait" r:id="rId5"/>
    </customSheetView>
    <customSheetView guid="{FEBD343F-EB1E-4B3A-B093-25A74DB60DAB}" scale="80" topLeftCell="J1">
      <selection activeCell="AL26" sqref="AL26"/>
      <pageMargins left="0.7" right="0.7" top="0.75" bottom="0.75" header="0.3" footer="0.3"/>
      <pageSetup paperSize="9" orientation="portrait" r:id="rId6"/>
    </customSheetView>
    <customSheetView guid="{1D39CB39-D8E6-4DA4-ABBA-40E2E6F11928}" scale="80">
      <pane ySplit="3" topLeftCell="A5" activePane="bottomLeft" state="frozen"/>
      <selection pane="bottomLeft" activeCell="D5" sqref="D5"/>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D5" sqref="D5"/>
      <pageMargins left="0.7" right="0.7" top="0.75" bottom="0.75" header="0.3" footer="0.3"/>
      <pageSetup paperSize="9" orientation="portrait" r:id="rId8"/>
    </customSheetView>
    <customSheetView guid="{03543009-41DE-4C7D-B8BE-69526021AF29}" scale="80">
      <pane ySplit="4" topLeftCell="A5" activePane="bottomLeft" state="frozen"/>
      <selection pane="bottomLeft" activeCell="D5" sqref="D5"/>
      <pageMargins left="0.7" right="0.7" top="0.75" bottom="0.75" header="0.3" footer="0.3"/>
      <pageSetup paperSize="9" orientation="portrait" r:id="rId9"/>
    </customSheetView>
    <customSheetView guid="{03CD1AFD-FDA7-4904-966E-FB90CD2C490F}" scale="80">
      <pane ySplit="3" topLeftCell="A4" activePane="bottomLeft" state="frozen"/>
      <selection pane="bottomLeft" activeCell="X30" sqref="X30"/>
      <pageMargins left="0.7" right="0.7" top="0.75" bottom="0.75" header="0.3" footer="0.3"/>
      <pageSetup paperSize="9" orientation="portrait" r:id="rId10"/>
    </customSheetView>
  </customSheetViews>
  <mergeCells count="234">
    <mergeCell ref="C5:C6"/>
    <mergeCell ref="C7:C13"/>
    <mergeCell ref="C14:C20"/>
    <mergeCell ref="C21:C27"/>
    <mergeCell ref="C28:C34"/>
    <mergeCell ref="AV5:AV6"/>
    <mergeCell ref="AV7:AV13"/>
    <mergeCell ref="AV14:AV20"/>
    <mergeCell ref="AV21:AV27"/>
    <mergeCell ref="AV28:AV34"/>
    <mergeCell ref="AP27:AQ27"/>
    <mergeCell ref="AP28:AQ28"/>
    <mergeCell ref="AP29:AQ29"/>
    <mergeCell ref="AT37:AV37"/>
    <mergeCell ref="BY39:BZ39"/>
    <mergeCell ref="CA39:CB39"/>
    <mergeCell ref="CC39:CE39"/>
    <mergeCell ref="BQ39:BR39"/>
    <mergeCell ref="BS39:BT39"/>
    <mergeCell ref="BU39:BV39"/>
    <mergeCell ref="BW39:BX39"/>
    <mergeCell ref="CA38:CB38"/>
    <mergeCell ref="CC38:CE38"/>
    <mergeCell ref="BQ38:BR38"/>
    <mergeCell ref="BS38:BT38"/>
    <mergeCell ref="BU38:BV38"/>
    <mergeCell ref="BW38:BX38"/>
    <mergeCell ref="BY38:BZ38"/>
    <mergeCell ref="BM39:BN39"/>
    <mergeCell ref="BO39:BP39"/>
    <mergeCell ref="AW39:AX39"/>
    <mergeCell ref="AY39:AZ39"/>
    <mergeCell ref="BA39:BB39"/>
    <mergeCell ref="BC39:BD39"/>
    <mergeCell ref="BE39:BF39"/>
    <mergeCell ref="BG39:BH39"/>
    <mergeCell ref="BI39:BJ39"/>
    <mergeCell ref="BK39:BL39"/>
    <mergeCell ref="BO38:BP38"/>
    <mergeCell ref="AW38:AX38"/>
    <mergeCell ref="AY38:AZ38"/>
    <mergeCell ref="BA38:BB38"/>
    <mergeCell ref="BC38:BD38"/>
    <mergeCell ref="BE38:BF38"/>
    <mergeCell ref="BG38:BH38"/>
    <mergeCell ref="BO37:BP37"/>
    <mergeCell ref="BQ37:BR37"/>
    <mergeCell ref="AW37:AX37"/>
    <mergeCell ref="AY37:AZ37"/>
    <mergeCell ref="BA37:BB37"/>
    <mergeCell ref="BC37:BD37"/>
    <mergeCell ref="BE37:BF37"/>
    <mergeCell ref="BI38:BJ38"/>
    <mergeCell ref="BK38:BL38"/>
    <mergeCell ref="BM38:BN38"/>
    <mergeCell ref="BG37:BH37"/>
    <mergeCell ref="BI37:BJ37"/>
    <mergeCell ref="BK37:BL37"/>
    <mergeCell ref="BM37:BN37"/>
    <mergeCell ref="BG36:BH36"/>
    <mergeCell ref="BI36:BJ36"/>
    <mergeCell ref="BK36:BL36"/>
    <mergeCell ref="BM36:BN36"/>
    <mergeCell ref="BO36:BP36"/>
    <mergeCell ref="BQ36:BR36"/>
    <mergeCell ref="AT36:AV36"/>
    <mergeCell ref="AW36:AX36"/>
    <mergeCell ref="AY36:AZ36"/>
    <mergeCell ref="BA36:BB36"/>
    <mergeCell ref="BC36:BD36"/>
    <mergeCell ref="BE36:BF36"/>
    <mergeCell ref="BU36:BV36"/>
    <mergeCell ref="BW36:BX36"/>
    <mergeCell ref="BY36:BZ36"/>
    <mergeCell ref="CA36:CB36"/>
    <mergeCell ref="CC36:CE37"/>
    <mergeCell ref="BS37:BT37"/>
    <mergeCell ref="BU37:BV37"/>
    <mergeCell ref="BW37:BX37"/>
    <mergeCell ref="BY37:BZ37"/>
    <mergeCell ref="CA37:CB37"/>
    <mergeCell ref="BS36:BT36"/>
    <mergeCell ref="CJ31:CK31"/>
    <mergeCell ref="AP32:AQ32"/>
    <mergeCell ref="CJ32:CK32"/>
    <mergeCell ref="AP33:AQ33"/>
    <mergeCell ref="CJ33:CK33"/>
    <mergeCell ref="AP35:AQ35"/>
    <mergeCell ref="CJ35:CK35"/>
    <mergeCell ref="AP26:AQ26"/>
    <mergeCell ref="CJ26:CK26"/>
    <mergeCell ref="CJ27:CK27"/>
    <mergeCell ref="CJ28:CK28"/>
    <mergeCell ref="CJ29:CK29"/>
    <mergeCell ref="CJ30:CK30"/>
    <mergeCell ref="AP31:AQ31"/>
    <mergeCell ref="AP34:AQ34"/>
    <mergeCell ref="CJ34:CK34"/>
    <mergeCell ref="CE21:CE27"/>
    <mergeCell ref="CE28:CE34"/>
    <mergeCell ref="CJ21:CK21"/>
    <mergeCell ref="CJ22:CK22"/>
    <mergeCell ref="AP23:AQ23"/>
    <mergeCell ref="CJ23:CK23"/>
    <mergeCell ref="CJ24:CK24"/>
    <mergeCell ref="AP25:AQ25"/>
    <mergeCell ref="CJ25:CK25"/>
    <mergeCell ref="AP18:AQ18"/>
    <mergeCell ref="CJ18:CK18"/>
    <mergeCell ref="AP19:AQ19"/>
    <mergeCell ref="CJ19:CK19"/>
    <mergeCell ref="AP20:AQ20"/>
    <mergeCell ref="CJ20:CK20"/>
    <mergeCell ref="AP21:AQ21"/>
    <mergeCell ref="CE14:CE20"/>
    <mergeCell ref="AP14:AQ14"/>
    <mergeCell ref="CJ14:CK14"/>
    <mergeCell ref="CJ15:CK15"/>
    <mergeCell ref="CJ16:CK16"/>
    <mergeCell ref="AP17:AQ17"/>
    <mergeCell ref="CJ17:CK17"/>
    <mergeCell ref="AP15:AQ15"/>
    <mergeCell ref="AP16:AQ16"/>
    <mergeCell ref="AP22:AQ22"/>
    <mergeCell ref="AP24:AQ24"/>
    <mergeCell ref="CJ10:CK10"/>
    <mergeCell ref="AP11:AQ11"/>
    <mergeCell ref="CJ11:CK11"/>
    <mergeCell ref="AP12:AQ12"/>
    <mergeCell ref="CJ12:CK12"/>
    <mergeCell ref="AP13:AQ13"/>
    <mergeCell ref="CJ13:CK13"/>
    <mergeCell ref="CE7:CE13"/>
    <mergeCell ref="CJ5:CK5"/>
    <mergeCell ref="AP6:AQ6"/>
    <mergeCell ref="CJ6:CK6"/>
    <mergeCell ref="AP7:AQ7"/>
    <mergeCell ref="CJ7:CK7"/>
    <mergeCell ref="AP8:AQ8"/>
    <mergeCell ref="CJ8:CK8"/>
    <mergeCell ref="AP9:AQ9"/>
    <mergeCell ref="CJ9:CK9"/>
    <mergeCell ref="CE5:CE6"/>
    <mergeCell ref="BS4:BT4"/>
    <mergeCell ref="BU4:BV4"/>
    <mergeCell ref="BW4:BX4"/>
    <mergeCell ref="BY4:BZ4"/>
    <mergeCell ref="CA4:CB4"/>
    <mergeCell ref="AP5:AQ5"/>
    <mergeCell ref="AP10:AQ10"/>
    <mergeCell ref="BG4:BH4"/>
    <mergeCell ref="BI4:BJ4"/>
    <mergeCell ref="BK4:BL4"/>
    <mergeCell ref="BM4:BN4"/>
    <mergeCell ref="BO4:BP4"/>
    <mergeCell ref="BQ4:BR4"/>
    <mergeCell ref="D4:E4"/>
    <mergeCell ref="F4:G4"/>
    <mergeCell ref="H4:I4"/>
    <mergeCell ref="J4:K4"/>
    <mergeCell ref="L4:M4"/>
    <mergeCell ref="AN4:AO4"/>
    <mergeCell ref="AW4:AX4"/>
    <mergeCell ref="AY4:AZ4"/>
    <mergeCell ref="Z4:AA4"/>
    <mergeCell ref="AB4:AC4"/>
    <mergeCell ref="AF4:AG4"/>
    <mergeCell ref="AH4:AI4"/>
    <mergeCell ref="AJ4:AK4"/>
    <mergeCell ref="AL4:AM4"/>
    <mergeCell ref="BE3:BF3"/>
    <mergeCell ref="BG3:BH3"/>
    <mergeCell ref="BI3:BJ3"/>
    <mergeCell ref="BK3:BL3"/>
    <mergeCell ref="BM3:BN3"/>
    <mergeCell ref="BO3:BP3"/>
    <mergeCell ref="N4:O4"/>
    <mergeCell ref="P4:Q4"/>
    <mergeCell ref="R4:S4"/>
    <mergeCell ref="T4:U4"/>
    <mergeCell ref="V4:W4"/>
    <mergeCell ref="X4:Y4"/>
    <mergeCell ref="BA4:BB4"/>
    <mergeCell ref="BC4:BD4"/>
    <mergeCell ref="BE4:BF4"/>
    <mergeCell ref="AD4:AE4"/>
    <mergeCell ref="CF2:CG3"/>
    <mergeCell ref="CH2:CI3"/>
    <mergeCell ref="CJ2:CK4"/>
    <mergeCell ref="AD3:AE3"/>
    <mergeCell ref="D3:E3"/>
    <mergeCell ref="F3:G3"/>
    <mergeCell ref="H3:I3"/>
    <mergeCell ref="J3:K3"/>
    <mergeCell ref="L3:M3"/>
    <mergeCell ref="N3:O3"/>
    <mergeCell ref="AP2:AQ4"/>
    <mergeCell ref="AR2:AS3"/>
    <mergeCell ref="AW2:BD2"/>
    <mergeCell ref="BE2:BL2"/>
    <mergeCell ref="BM2:BT2"/>
    <mergeCell ref="BU2:CB2"/>
    <mergeCell ref="AW3:AX3"/>
    <mergeCell ref="AY3:AZ3"/>
    <mergeCell ref="BA3:BB3"/>
    <mergeCell ref="BC3:BD3"/>
    <mergeCell ref="AB3:AC3"/>
    <mergeCell ref="AF3:AG3"/>
    <mergeCell ref="AH3:AI3"/>
    <mergeCell ref="AJ3:AK3"/>
    <mergeCell ref="A1:C4"/>
    <mergeCell ref="D1:AS1"/>
    <mergeCell ref="AT1:AV4"/>
    <mergeCell ref="AW1:CB1"/>
    <mergeCell ref="CC1:CE4"/>
    <mergeCell ref="D2:W2"/>
    <mergeCell ref="X2:Y2"/>
    <mergeCell ref="Z2:AA2"/>
    <mergeCell ref="AF2:AG2"/>
    <mergeCell ref="AH2:AO2"/>
    <mergeCell ref="AL3:AM3"/>
    <mergeCell ref="AN3:AO3"/>
    <mergeCell ref="P3:Q3"/>
    <mergeCell ref="R3:S3"/>
    <mergeCell ref="T3:U3"/>
    <mergeCell ref="V3:W3"/>
    <mergeCell ref="X3:Y3"/>
    <mergeCell ref="Z3:AA3"/>
    <mergeCell ref="BQ3:BR3"/>
    <mergeCell ref="BS3:BT3"/>
    <mergeCell ref="BU3:BV3"/>
    <mergeCell ref="BW3:BX3"/>
    <mergeCell ref="BY3:BZ3"/>
    <mergeCell ref="CA3:CB3"/>
  </mergeCells>
  <phoneticPr fontId="27" type="noConversion"/>
  <conditionalFormatting sqref="A1:C4 X2:AH2 AP2 AR2 D3:N3 AD3:AE24 D4:Q4 AR4:AS4 C5 D5:X13 A5:B35 AL9 AN9:AS9 AH10:AS11 AH12:AP14 D14:P15 R14:X15 AH15:AJ15 AL15 AN15:AP15 AH16:AP16 D16:X20 AH17:AO17 AI18:AN18 AH19:AH20 AJ19:AQ20 D21:V21 X21 AH21:AP21 AH22:AN22 AP22 D22:X35 AH23:AO23 AI24:AP25 AD25 AH26:AP32 AD26:AE35 AH33:AS33 AH34:AP34 AR34:AS34 AH35:AS35">
    <cfRule type="cellIs" dxfId="7073" priority="977" operator="equal">
      <formula>"כש"</formula>
    </cfRule>
    <cfRule type="cellIs" dxfId="7072" priority="970" operator="equal">
      <formula>"כמש"</formula>
    </cfRule>
    <cfRule type="cellIs" dxfId="7071" priority="968" operator="equal">
      <formula>"י"</formula>
    </cfRule>
    <cfRule type="cellIs" dxfId="7070" priority="978" operator="equal">
      <formula>"כ"</formula>
    </cfRule>
    <cfRule type="cellIs" dxfId="7069" priority="967" operator="equal">
      <formula>"ל"</formula>
    </cfRule>
    <cfRule type="cellIs" dxfId="7068" priority="975" operator="equal">
      <formula>"מיל"</formula>
    </cfRule>
    <cfRule type="cellIs" dxfId="7067" priority="974" operator="equal">
      <formula>"מנוחה"</formula>
    </cfRule>
    <cfRule type="cellIs" dxfId="7066" priority="973" operator="equal">
      <formula>"מ"</formula>
    </cfRule>
    <cfRule type="cellIs" dxfId="7065" priority="972" operator="equal">
      <formula>"ק"</formula>
    </cfRule>
    <cfRule type="cellIs" dxfId="7064" priority="971" operator="equal">
      <formula>"כמ"</formula>
    </cfRule>
  </conditionalFormatting>
  <conditionalFormatting sqref="D3:N3 AD3:AE4 D4:S4">
    <cfRule type="cellIs" dxfId="7063" priority="708" operator="equal">
      <formula>"ח"</formula>
    </cfRule>
  </conditionalFormatting>
  <conditionalFormatting sqref="P3:Q3">
    <cfRule type="cellIs" dxfId="7062" priority="701" operator="equal">
      <formula>"י"</formula>
    </cfRule>
    <cfRule type="cellIs" dxfId="7061" priority="710" operator="equal">
      <formula>"כ"</formula>
    </cfRule>
    <cfRule type="cellIs" dxfId="7060" priority="709" operator="equal">
      <formula>"כש"</formula>
    </cfRule>
    <cfRule type="cellIs" dxfId="7059" priority="707" operator="equal">
      <formula>"מיל"</formula>
    </cfRule>
    <cfRule type="cellIs" dxfId="7058" priority="706" operator="equal">
      <formula>"מנוחה"</formula>
    </cfRule>
    <cfRule type="cellIs" dxfId="7057" priority="705" operator="equal">
      <formula>"מ"</formula>
    </cfRule>
    <cfRule type="cellIs" dxfId="7056" priority="704" operator="equal">
      <formula>"ק"</formula>
    </cfRule>
    <cfRule type="cellIs" dxfId="7055" priority="703" operator="equal">
      <formula>"כמ"</formula>
    </cfRule>
    <cfRule type="cellIs" dxfId="7054" priority="702" operator="equal">
      <formula>"כמש"</formula>
    </cfRule>
    <cfRule type="cellIs" dxfId="7053" priority="700" operator="equal">
      <formula>"ל"</formula>
    </cfRule>
  </conditionalFormatting>
  <conditionalFormatting sqref="P3:W3">
    <cfRule type="cellIs" dxfId="7052" priority="675" operator="equal">
      <formula>"ח"</formula>
    </cfRule>
  </conditionalFormatting>
  <conditionalFormatting sqref="R3:AO4">
    <cfRule type="cellIs" dxfId="7051" priority="583" operator="equal">
      <formula>"ק"</formula>
    </cfRule>
    <cfRule type="cellIs" dxfId="7050" priority="582" operator="equal">
      <formula>"כמ"</formula>
    </cfRule>
    <cfRule type="cellIs" dxfId="7049" priority="581" operator="equal">
      <formula>"כמש"</formula>
    </cfRule>
    <cfRule type="cellIs" dxfId="7048" priority="579" operator="equal">
      <formula>"ל"</formula>
    </cfRule>
    <cfRule type="cellIs" dxfId="7047" priority="589" operator="equal">
      <formula>"כ"</formula>
    </cfRule>
    <cfRule type="cellIs" dxfId="7046" priority="588" operator="equal">
      <formula>"כש"</formula>
    </cfRule>
    <cfRule type="cellIs" dxfId="7045" priority="580" operator="equal">
      <formula>"י"</formula>
    </cfRule>
    <cfRule type="cellIs" dxfId="7044" priority="586" operator="equal">
      <formula>"מיל"</formula>
    </cfRule>
    <cfRule type="cellIs" dxfId="7043" priority="585" operator="equal">
      <formula>"מנוחה"</formula>
    </cfRule>
    <cfRule type="cellIs" dxfId="7042" priority="584" operator="equal">
      <formula>"מ"</formula>
    </cfRule>
  </conditionalFormatting>
  <conditionalFormatting sqref="T4:W4">
    <cfRule type="cellIs" dxfId="7041" priority="609" operator="equal">
      <formula>"ח"</formula>
    </cfRule>
  </conditionalFormatting>
  <conditionalFormatting sqref="X4:Y4">
    <cfRule type="cellIs" dxfId="7040" priority="719" operator="equal">
      <formula>"ח"</formula>
    </cfRule>
  </conditionalFormatting>
  <conditionalFormatting sqref="X3:AO3 Z4:AK4 A1:C4 X2:AH2 AP2 AR2 AR4:AS4 C5 BU5:BW5 BY5 CA5 AY5:AY6 BA5:BA6 BC5:BC6 BM5:BM6 D5:X13 AD5:AE24 A5:B35 AW5:AW35 BE5:BE35 BG6:BG7 BI6:BI7 BK6:BK7 BU6:BU7 BM7:BO8 BQ7:BQ8 BS7:BS8 BU8:BW9 BY8:BY9 CA8:CA9 AL9 AN9:AS9 AY9:AY10 BA9:BA10 BC9:BC10 BM9:BM10 AH10:AS11 BG10:BG11 BI10:BI11 BK10:BK11 BU10:BU11 BM11:BO12 BQ11:BQ12 BS11:BS12 AP12:AP13 AR12:AS13 BU12:BW13 BY12:BY13 CA12:CA13 AH12:AO14 AY13:AY14 BA13:BA14 BC13:BC14 BM13:BM14 D14:P15 R14:X15 BG14:BG15 BI14:BI15 BK14:BK15 BU14:BU15 AH15:AJ15 AL15 AN15:AO15 BM15:BO16 BQ15:BQ16 BS15:BS16 AH16:AO17 BU16:BW17 BY16:BY17 CA16:CA17 D16:X20 AY17:AY18 BA17:BA18 BC17:BC18 BM17:BM18 AI18:AN18 BG18:BG19 BI18:BI19 BK18:BK19 BU18:BU19 AR18:AS32 AH19:AH20 AJ19:AQ20 BM19:BO20 BQ19:BQ20 BS19:BS20 BU20:BW21 BY20:BY21 CA20:CA21 D21:V21 X21 AH21:AP21 AY21:AY22 BA21:BA22 BC21:BC22 BM21:BM22 AH22:AN22 AP22 BG22:BG23 BI22:BI23 BK22:BK23 BU22:BU23 D22:X35 AH23:AO23 BM23:BO24 BQ23:BQ24 BS23:BS24 AI24:AP25 BU24:BW25 BY24:BY25 CA24:CA25 AD25 AY25:AY26 BA25:BA26 BC25:BC26 BM25:BM26 BG26:BG27 BI26:BI27 BK26:BK27 BU26:BU27 AH26:AP32 AD26:AE35 BM27:BO28 BQ27:BQ28 BS27:BS28 BU28:BW29 BY28:BY29 CA28:CA29 AY29:AY30 BA29:BA30 BC29:BC30 BM29:BM30 BG30:BG31 BI30:BI31 BK30:BK31 BU30:BU31 BM31:BO32 BQ31:BQ32 BS31:BS32 BU32:BW33 BY32:BY33 CA32:CA33 AH33:AS33 AY33:AY34 BA33:BA34 BC33:BC34 BM33:BM34 AH34:AP34 AR34:AS34 BG34:BG35 BI34:BI35 BK34:BK35 BU34:BU35 AH35:AS35 BM35:BO35 BQ35 BS35">
    <cfRule type="cellIs" dxfId="7039" priority="976" operator="equal">
      <formula>"ח"</formula>
    </cfRule>
  </conditionalFormatting>
  <conditionalFormatting sqref="Y5:AS8 Y9:AE9 AG9:AJ9 Y10:AG35">
    <cfRule type="cellIs" dxfId="7038" priority="517" operator="equal">
      <formula>"ק"</formula>
    </cfRule>
    <cfRule type="cellIs" dxfId="7037" priority="516" operator="equal">
      <formula>"כמ"</formula>
    </cfRule>
    <cfRule type="cellIs" dxfId="7036" priority="515" operator="equal">
      <formula>"כמש"</formula>
    </cfRule>
    <cfRule type="cellIs" dxfId="7035" priority="514" operator="equal">
      <formula>"י"</formula>
    </cfRule>
    <cfRule type="cellIs" dxfId="7034" priority="513" operator="equal">
      <formula>"ל"</formula>
    </cfRule>
    <cfRule type="cellIs" dxfId="7033" priority="523" operator="equal">
      <formula>"כ"</formula>
    </cfRule>
    <cfRule type="cellIs" dxfId="7032" priority="522" operator="equal">
      <formula>"כש"</formula>
    </cfRule>
    <cfRule type="cellIs" dxfId="7031" priority="521" operator="equal">
      <formula>"ח"</formula>
    </cfRule>
    <cfRule type="cellIs" dxfId="7030" priority="520" operator="equal">
      <formula>"מיל"</formula>
    </cfRule>
    <cfRule type="cellIs" dxfId="7029" priority="519" operator="equal">
      <formula>"מנוחה"</formula>
    </cfRule>
    <cfRule type="cellIs" dxfId="7028" priority="518" operator="equal">
      <formula>"מ"</formula>
    </cfRule>
  </conditionalFormatting>
  <conditionalFormatting sqref="AL4:AO4">
    <cfRule type="cellIs" dxfId="7027" priority="587" operator="equal">
      <formula>"ח"</formula>
    </cfRule>
  </conditionalFormatting>
  <conditionalFormatting sqref="AP17:AQ18">
    <cfRule type="cellIs" dxfId="7026" priority="954" operator="equal">
      <formula>"כ"</formula>
    </cfRule>
    <cfRule type="cellIs" dxfId="7025" priority="950" operator="equal">
      <formula>"מנוחה"</formula>
    </cfRule>
    <cfRule type="cellIs" dxfId="7024" priority="951" operator="equal">
      <formula>"מיל"</formula>
    </cfRule>
    <cfRule type="cellIs" dxfId="7023" priority="952" operator="equal">
      <formula>"ח"</formula>
    </cfRule>
    <cfRule type="cellIs" dxfId="7022" priority="953" operator="equal">
      <formula>"כש"</formula>
    </cfRule>
    <cfRule type="cellIs" dxfId="7021" priority="945" operator="equal">
      <formula>"י"</formula>
    </cfRule>
    <cfRule type="cellIs" dxfId="7020" priority="944" operator="equal">
      <formula>"ל"</formula>
    </cfRule>
    <cfRule type="cellIs" dxfId="7019" priority="949" operator="equal">
      <formula>"מ"</formula>
    </cfRule>
    <cfRule type="cellIs" dxfId="7018" priority="948" operator="equal">
      <formula>"ק"</formula>
    </cfRule>
    <cfRule type="cellIs" dxfId="7017" priority="947" operator="equal">
      <formula>"כמ"</formula>
    </cfRule>
    <cfRule type="cellIs" dxfId="7016" priority="946" operator="equal">
      <formula>"כמש"</formula>
    </cfRule>
  </conditionalFormatting>
  <conditionalFormatting sqref="AT1 CC1 AP14:AP16 AR14:AS17">
    <cfRule type="cellIs" dxfId="7015" priority="964" operator="equal">
      <formula>"ח"</formula>
    </cfRule>
  </conditionalFormatting>
  <conditionalFormatting sqref="AT1 CC1 AR12:AS32">
    <cfRule type="cellIs" dxfId="7014" priority="955" operator="equal">
      <formula>"ל"</formula>
    </cfRule>
    <cfRule type="cellIs" dxfId="7013" priority="962" operator="equal">
      <formula>"מנוחה"</formula>
    </cfRule>
    <cfRule type="cellIs" dxfId="7012" priority="963" operator="equal">
      <formula>"מיל"</formula>
    </cfRule>
    <cfRule type="cellIs" dxfId="7011" priority="965" operator="equal">
      <formula>"כש"</formula>
    </cfRule>
    <cfRule type="cellIs" dxfId="7010" priority="966" operator="equal">
      <formula>"כ"</formula>
    </cfRule>
    <cfRule type="cellIs" dxfId="7009" priority="960" operator="equal">
      <formula>"ק"</formula>
    </cfRule>
    <cfRule type="cellIs" dxfId="7008" priority="959" operator="equal">
      <formula>"כמ"</formula>
    </cfRule>
    <cfRule type="cellIs" dxfId="7007" priority="958" operator="equal">
      <formula>"כמש"</formula>
    </cfRule>
    <cfRule type="cellIs" dxfId="7006" priority="956" operator="equal">
      <formula>"י"</formula>
    </cfRule>
    <cfRule type="cellIs" dxfId="7005" priority="961" operator="equal">
      <formula>"מ"</formula>
    </cfRule>
  </conditionalFormatting>
  <conditionalFormatting sqref="AT5:AU35">
    <cfRule type="cellIs" dxfId="7004" priority="503" operator="equal">
      <formula>"י"</formula>
    </cfRule>
    <cfRule type="cellIs" dxfId="7003" priority="502" operator="equal">
      <formula>"ל"</formula>
    </cfRule>
    <cfRule type="cellIs" dxfId="7002" priority="508" operator="equal">
      <formula>"מנוחה"</formula>
    </cfRule>
    <cfRule type="cellIs" dxfId="7001" priority="512" operator="equal">
      <formula>"כ"</formula>
    </cfRule>
    <cfRule type="cellIs" dxfId="7000" priority="509" operator="equal">
      <formula>"מיל"</formula>
    </cfRule>
    <cfRule type="cellIs" dxfId="6999" priority="511" operator="equal">
      <formula>"כש"</formula>
    </cfRule>
    <cfRule type="cellIs" dxfId="6998" priority="504" operator="equal">
      <formula>"כמש"</formula>
    </cfRule>
    <cfRule type="cellIs" dxfId="6997" priority="505" operator="equal">
      <formula>"כמ"</formula>
    </cfRule>
    <cfRule type="cellIs" dxfId="6996" priority="506" operator="equal">
      <formula>"ק"</formula>
    </cfRule>
    <cfRule type="cellIs" dxfId="6995" priority="507" operator="equal">
      <formula>"מ"</formula>
    </cfRule>
  </conditionalFormatting>
  <conditionalFormatting sqref="AV5 AT5:AU35">
    <cfRule type="cellIs" dxfId="6994" priority="510" operator="equal">
      <formula>"ח"</formula>
    </cfRule>
  </conditionalFormatting>
  <conditionalFormatting sqref="AV5:BL5">
    <cfRule type="cellIs" dxfId="6993" priority="20" operator="equal">
      <formula>"כש"</formula>
    </cfRule>
    <cfRule type="cellIs" dxfId="6992" priority="21" operator="equal">
      <formula>"כ"</formula>
    </cfRule>
  </conditionalFormatting>
  <conditionalFormatting sqref="AV5:BM5">
    <cfRule type="cellIs" dxfId="6991" priority="18" operator="equal">
      <formula>"מנוחה"</formula>
    </cfRule>
    <cfRule type="cellIs" dxfId="6990" priority="12" operator="equal">
      <formula>"ל"</formula>
    </cfRule>
    <cfRule type="cellIs" dxfId="6989" priority="19" operator="equal">
      <formula>"מיל"</formula>
    </cfRule>
    <cfRule type="cellIs" dxfId="6988" priority="17" operator="equal">
      <formula>"מ"</formula>
    </cfRule>
    <cfRule type="cellIs" dxfId="6987" priority="16" operator="equal">
      <formula>"ק"</formula>
    </cfRule>
    <cfRule type="cellIs" dxfId="6986" priority="15" operator="equal">
      <formula>"כמ"</formula>
    </cfRule>
    <cfRule type="cellIs" dxfId="6985" priority="14" operator="equal">
      <formula>"כמש"</formula>
    </cfRule>
    <cfRule type="cellIs" dxfId="6984" priority="13" operator="equal">
      <formula>"י"</formula>
    </cfRule>
  </conditionalFormatting>
  <conditionalFormatting sqref="AW39 AY39 BA39 BC39 BE39 BG39 BI39 BK39 BM39 BO39 BQ39 BS39 BU39 BW39 BY39 CA39:CB39">
    <cfRule type="cellIs" dxfId="6983" priority="722" operator="lessThan">
      <formula>$CE$39</formula>
    </cfRule>
    <cfRule type="cellIs" dxfId="6982" priority="723" operator="greaterThan">
      <formula>$CE$39</formula>
    </cfRule>
  </conditionalFormatting>
  <conditionalFormatting sqref="AW7:BD8">
    <cfRule type="cellIs" dxfId="6981" priority="140" operator="equal">
      <formula>"כש"</formula>
    </cfRule>
    <cfRule type="cellIs" dxfId="6980" priority="138" operator="equal">
      <formula>"מנוחה"</formula>
    </cfRule>
    <cfRule type="cellIs" dxfId="6979" priority="137" operator="equal">
      <formula>"מ"</formula>
    </cfRule>
    <cfRule type="cellIs" dxfId="6978" priority="136" operator="equal">
      <formula>"ק"</formula>
    </cfRule>
    <cfRule type="cellIs" dxfId="6977" priority="135" operator="equal">
      <formula>"כמ"</formula>
    </cfRule>
    <cfRule type="cellIs" dxfId="6976" priority="134" operator="equal">
      <formula>"כמש"</formula>
    </cfRule>
    <cfRule type="cellIs" dxfId="6975" priority="139" operator="equal">
      <formula>"מיל"</formula>
    </cfRule>
    <cfRule type="cellIs" dxfId="6974" priority="133" operator="equal">
      <formula>"י"</formula>
    </cfRule>
    <cfRule type="cellIs" dxfId="6973" priority="132" operator="equal">
      <formula>"ל"</formula>
    </cfRule>
    <cfRule type="cellIs" dxfId="6972" priority="141" operator="equal">
      <formula>"כ"</formula>
    </cfRule>
  </conditionalFormatting>
  <conditionalFormatting sqref="AW11:BD12">
    <cfRule type="cellIs" dxfId="6971" priority="120" operator="equal">
      <formula>"כמ"</formula>
    </cfRule>
    <cfRule type="cellIs" dxfId="6970" priority="125" operator="equal">
      <formula>"כש"</formula>
    </cfRule>
    <cfRule type="cellIs" dxfId="6969" priority="126" operator="equal">
      <formula>"כ"</formula>
    </cfRule>
    <cfRule type="cellIs" dxfId="6968" priority="124" operator="equal">
      <formula>"מיל"</formula>
    </cfRule>
    <cfRule type="cellIs" dxfId="6967" priority="118" operator="equal">
      <formula>"י"</formula>
    </cfRule>
    <cfRule type="cellIs" dxfId="6966" priority="119" operator="equal">
      <formula>"כמש"</formula>
    </cfRule>
    <cfRule type="cellIs" dxfId="6965" priority="117" operator="equal">
      <formula>"ל"</formula>
    </cfRule>
    <cfRule type="cellIs" dxfId="6964" priority="121" operator="equal">
      <formula>"ק"</formula>
    </cfRule>
    <cfRule type="cellIs" dxfId="6963" priority="122" operator="equal">
      <formula>"מ"</formula>
    </cfRule>
    <cfRule type="cellIs" dxfId="6962" priority="123" operator="equal">
      <formula>"מנוחה"</formula>
    </cfRule>
  </conditionalFormatting>
  <conditionalFormatting sqref="AW15:BD16">
    <cfRule type="cellIs" dxfId="6961" priority="103" operator="equal">
      <formula>"י"</formula>
    </cfRule>
    <cfRule type="cellIs" dxfId="6960" priority="102" operator="equal">
      <formula>"ל"</formula>
    </cfRule>
    <cfRule type="cellIs" dxfId="6959" priority="111" operator="equal">
      <formula>"כ"</formula>
    </cfRule>
    <cfRule type="cellIs" dxfId="6958" priority="110" operator="equal">
      <formula>"כש"</formula>
    </cfRule>
    <cfRule type="cellIs" dxfId="6957" priority="109" operator="equal">
      <formula>"מיל"</formula>
    </cfRule>
    <cfRule type="cellIs" dxfId="6956" priority="107" operator="equal">
      <formula>"מ"</formula>
    </cfRule>
    <cfRule type="cellIs" dxfId="6955" priority="106" operator="equal">
      <formula>"ק"</formula>
    </cfRule>
    <cfRule type="cellIs" dxfId="6954" priority="105" operator="equal">
      <formula>"כמ"</formula>
    </cfRule>
    <cfRule type="cellIs" dxfId="6953" priority="104" operator="equal">
      <formula>"כמש"</formula>
    </cfRule>
    <cfRule type="cellIs" dxfId="6952" priority="108" operator="equal">
      <formula>"מנוחה"</formula>
    </cfRule>
  </conditionalFormatting>
  <conditionalFormatting sqref="AW19:BD20">
    <cfRule type="cellIs" dxfId="6951" priority="96" operator="equal">
      <formula>"כ"</formula>
    </cfRule>
    <cfRule type="cellIs" dxfId="6950" priority="90" operator="equal">
      <formula>"כמ"</formula>
    </cfRule>
    <cfRule type="cellIs" dxfId="6949" priority="89" operator="equal">
      <formula>"כמש"</formula>
    </cfRule>
    <cfRule type="cellIs" dxfId="6948" priority="88" operator="equal">
      <formula>"י"</formula>
    </cfRule>
    <cfRule type="cellIs" dxfId="6947" priority="91" operator="equal">
      <formula>"ק"</formula>
    </cfRule>
    <cfRule type="cellIs" dxfId="6946" priority="92" operator="equal">
      <formula>"מ"</formula>
    </cfRule>
    <cfRule type="cellIs" dxfId="6945" priority="93" operator="equal">
      <formula>"מנוחה"</formula>
    </cfRule>
    <cfRule type="cellIs" dxfId="6944" priority="94" operator="equal">
      <formula>"מיל"</formula>
    </cfRule>
    <cfRule type="cellIs" dxfId="6943" priority="95" operator="equal">
      <formula>"כש"</formula>
    </cfRule>
    <cfRule type="cellIs" dxfId="6942" priority="87" operator="equal">
      <formula>"ל"</formula>
    </cfRule>
  </conditionalFormatting>
  <conditionalFormatting sqref="AW23:BD24">
    <cfRule type="cellIs" dxfId="6941" priority="77" operator="equal">
      <formula>"מ"</formula>
    </cfRule>
    <cfRule type="cellIs" dxfId="6940" priority="80" operator="equal">
      <formula>"כש"</formula>
    </cfRule>
    <cfRule type="cellIs" dxfId="6939" priority="81" operator="equal">
      <formula>"כ"</formula>
    </cfRule>
    <cfRule type="cellIs" dxfId="6938" priority="76" operator="equal">
      <formula>"ק"</formula>
    </cfRule>
    <cfRule type="cellIs" dxfId="6937" priority="75" operator="equal">
      <formula>"כמ"</formula>
    </cfRule>
    <cfRule type="cellIs" dxfId="6936" priority="74" operator="equal">
      <formula>"כמש"</formula>
    </cfRule>
    <cfRule type="cellIs" dxfId="6935" priority="73" operator="equal">
      <formula>"י"</formula>
    </cfRule>
    <cfRule type="cellIs" dxfId="6934" priority="72" operator="equal">
      <formula>"ל"</formula>
    </cfRule>
    <cfRule type="cellIs" dxfId="6933" priority="78" operator="equal">
      <formula>"מנוחה"</formula>
    </cfRule>
    <cfRule type="cellIs" dxfId="6932" priority="79" operator="equal">
      <formula>"מיל"</formula>
    </cfRule>
  </conditionalFormatting>
  <conditionalFormatting sqref="AW27:BD28">
    <cfRule type="cellIs" dxfId="6931" priority="58" operator="equal">
      <formula>"י"</formula>
    </cfRule>
    <cfRule type="cellIs" dxfId="6930" priority="57" operator="equal">
      <formula>"ל"</formula>
    </cfRule>
    <cfRule type="cellIs" dxfId="6929" priority="63" operator="equal">
      <formula>"מנוחה"</formula>
    </cfRule>
    <cfRule type="cellIs" dxfId="6928" priority="66" operator="equal">
      <formula>"כ"</formula>
    </cfRule>
    <cfRule type="cellIs" dxfId="6927" priority="65" operator="equal">
      <formula>"כש"</formula>
    </cfRule>
    <cfRule type="cellIs" dxfId="6926" priority="64" operator="equal">
      <formula>"מיל"</formula>
    </cfRule>
    <cfRule type="cellIs" dxfId="6925" priority="62" operator="equal">
      <formula>"מ"</formula>
    </cfRule>
    <cfRule type="cellIs" dxfId="6924" priority="61" operator="equal">
      <formula>"ק"</formula>
    </cfRule>
    <cfRule type="cellIs" dxfId="6923" priority="60" operator="equal">
      <formula>"כמ"</formula>
    </cfRule>
    <cfRule type="cellIs" dxfId="6922" priority="59" operator="equal">
      <formula>"כמש"</formula>
    </cfRule>
  </conditionalFormatting>
  <conditionalFormatting sqref="AW31:BD32">
    <cfRule type="cellIs" dxfId="6921" priority="46" operator="equal">
      <formula>"ק"</formula>
    </cfRule>
    <cfRule type="cellIs" dxfId="6920" priority="47" operator="equal">
      <formula>"מ"</formula>
    </cfRule>
    <cfRule type="cellIs" dxfId="6919" priority="48" operator="equal">
      <formula>"מנוחה"</formula>
    </cfRule>
    <cfRule type="cellIs" dxfId="6918" priority="49" operator="equal">
      <formula>"מיל"</formula>
    </cfRule>
    <cfRule type="cellIs" dxfId="6917" priority="50" operator="equal">
      <formula>"כש"</formula>
    </cfRule>
    <cfRule type="cellIs" dxfId="6916" priority="51" operator="equal">
      <formula>"כ"</formula>
    </cfRule>
    <cfRule type="cellIs" dxfId="6915" priority="42" operator="equal">
      <formula>"ל"</formula>
    </cfRule>
    <cfRule type="cellIs" dxfId="6914" priority="43" operator="equal">
      <formula>"י"</formula>
    </cfRule>
    <cfRule type="cellIs" dxfId="6913" priority="44" operator="equal">
      <formula>"כמש"</formula>
    </cfRule>
    <cfRule type="cellIs" dxfId="6912" priority="45" operator="equal">
      <formula>"כמ"</formula>
    </cfRule>
  </conditionalFormatting>
  <conditionalFormatting sqref="AW6:BL6 BE7:BL7 BE8 AW9:BE9 AW10:BL10 BE11:BL11 BE12 AW13:BE13 AW14:BL14 BE15:BL15 BE16 AW17:BE17 AW18:BL18 BE19:BL19 BE20 AW21:BE21 AW22:BL22 BE23:BL23 BE24 AW25:BE25 AW26:BL26 BE27:BL27 BE28 AW29:BE29 AW30:BL30 BE31:BL31 BE32 AW33:BE33 AW34:BL34">
    <cfRule type="cellIs" dxfId="6911" priority="833" operator="equal">
      <formula>"כ"</formula>
    </cfRule>
    <cfRule type="cellIs" dxfId="6910" priority="832" operator="equal">
      <formula>"כש"</formula>
    </cfRule>
  </conditionalFormatting>
  <conditionalFormatting sqref="AW35:BU35">
    <cfRule type="cellIs" dxfId="6909" priority="34" operator="equal">
      <formula>"מיל"</formula>
    </cfRule>
    <cfRule type="cellIs" dxfId="6908" priority="27" operator="equal">
      <formula>"ל"</formula>
    </cfRule>
    <cfRule type="cellIs" dxfId="6907" priority="28" operator="equal">
      <formula>"י"</formula>
    </cfRule>
    <cfRule type="cellIs" dxfId="6906" priority="29" operator="equal">
      <formula>"כמש"</formula>
    </cfRule>
    <cfRule type="cellIs" dxfId="6905" priority="30" operator="equal">
      <formula>"כמ"</formula>
    </cfRule>
    <cfRule type="cellIs" dxfId="6904" priority="31" operator="equal">
      <formula>"ק"</formula>
    </cfRule>
    <cfRule type="cellIs" dxfId="6903" priority="32" operator="equal">
      <formula>"מ"</formula>
    </cfRule>
    <cfRule type="cellIs" dxfId="6902" priority="33" operator="equal">
      <formula>"מנוחה"</formula>
    </cfRule>
    <cfRule type="cellIs" dxfId="6901" priority="35" operator="equal">
      <formula>"כש"</formula>
    </cfRule>
    <cfRule type="cellIs" dxfId="6900" priority="36" operator="equal">
      <formula>"כ"</formula>
    </cfRule>
  </conditionalFormatting>
  <conditionalFormatting sqref="AW2:CB2 AW3:AZ3 BE3:BO3 AW4:AY4 BE4 BG4 BI4 BK4:BM4 BO4 BS4:BU4 BW4 BY4 CA4">
    <cfRule type="cellIs" dxfId="6899" priority="637" operator="equal">
      <formula>"כמ"</formula>
    </cfRule>
    <cfRule type="cellIs" dxfId="6898" priority="636" operator="equal">
      <formula>"כמש"</formula>
    </cfRule>
    <cfRule type="cellIs" dxfId="6897" priority="635" operator="equal">
      <formula>"י"</formula>
    </cfRule>
    <cfRule type="cellIs" dxfId="6896" priority="644" operator="equal">
      <formula>"כ"</formula>
    </cfRule>
    <cfRule type="cellIs" dxfId="6895" priority="643" operator="equal">
      <formula>"כש"</formula>
    </cfRule>
    <cfRule type="cellIs" dxfId="6894" priority="634" operator="equal">
      <formula>"ל"</formula>
    </cfRule>
    <cfRule type="cellIs" dxfId="6893" priority="642" operator="equal">
      <formula>"ח"</formula>
    </cfRule>
    <cfRule type="cellIs" dxfId="6892" priority="641" operator="equal">
      <formula>"מיל"</formula>
    </cfRule>
    <cfRule type="cellIs" dxfId="6891" priority="640" operator="equal">
      <formula>"מנוחה"</formula>
    </cfRule>
    <cfRule type="cellIs" dxfId="6890" priority="639" operator="equal">
      <formula>"מ"</formula>
    </cfRule>
    <cfRule type="cellIs" dxfId="6889" priority="638" operator="equal">
      <formula>"ק"</formula>
    </cfRule>
  </conditionalFormatting>
  <conditionalFormatting sqref="AX5:AX35">
    <cfRule type="cellIs" dxfId="6888" priority="39" operator="equal">
      <formula>"ח"</formula>
    </cfRule>
  </conditionalFormatting>
  <conditionalFormatting sqref="AY7:AY8 BA7:BA8 BC7:BC8">
    <cfRule type="cellIs" dxfId="6887" priority="145" operator="equal">
      <formula>"ח"</formula>
    </cfRule>
  </conditionalFormatting>
  <conditionalFormatting sqref="AY11:AY12 BA11:BA12 BC11:BC12">
    <cfRule type="cellIs" dxfId="6886" priority="130" operator="equal">
      <formula>"ח"</formula>
    </cfRule>
  </conditionalFormatting>
  <conditionalFormatting sqref="AY15:AY16 BA15:BA16 BC15:BC16">
    <cfRule type="cellIs" dxfId="6885" priority="115" operator="equal">
      <formula>"ח"</formula>
    </cfRule>
  </conditionalFormatting>
  <conditionalFormatting sqref="AY19:AY20 BA19:BA20 BC19:BC20">
    <cfRule type="cellIs" dxfId="6884" priority="100" operator="equal">
      <formula>"ח"</formula>
    </cfRule>
  </conditionalFormatting>
  <conditionalFormatting sqref="AY23:AY24 BA23:BA24 BC23:BC24">
    <cfRule type="cellIs" dxfId="6883" priority="85" operator="equal">
      <formula>"ח"</formula>
    </cfRule>
  </conditionalFormatting>
  <conditionalFormatting sqref="AY27:AY28 BA27:BA28 BC27:BC28">
    <cfRule type="cellIs" dxfId="6882" priority="70" operator="equal">
      <formula>"ח"</formula>
    </cfRule>
  </conditionalFormatting>
  <conditionalFormatting sqref="AY31:AY32 BA31:BA32 BC31:BC32">
    <cfRule type="cellIs" dxfId="6881" priority="55" operator="equal">
      <formula>"ח"</formula>
    </cfRule>
  </conditionalFormatting>
  <conditionalFormatting sqref="AY35 BA35 BC35">
    <cfRule type="cellIs" dxfId="6880" priority="40" operator="equal">
      <formula>"ח"</formula>
    </cfRule>
  </conditionalFormatting>
  <conditionalFormatting sqref="AZ5:AZ35">
    <cfRule type="cellIs" dxfId="6879" priority="38" operator="equal">
      <formula>"ח"</formula>
    </cfRule>
  </conditionalFormatting>
  <conditionalFormatting sqref="BB5:BB35">
    <cfRule type="cellIs" dxfId="6878" priority="37" operator="equal">
      <formula>"ח"</formula>
    </cfRule>
  </conditionalFormatting>
  <conditionalFormatting sqref="BC3:BC4">
    <cfRule type="cellIs" dxfId="6877" priority="621" operator="equal">
      <formula>"כש"</formula>
    </cfRule>
    <cfRule type="cellIs" dxfId="6876" priority="612" operator="equal">
      <formula>"ל"</formula>
    </cfRule>
    <cfRule type="cellIs" dxfId="6875" priority="620" operator="equal">
      <formula>"ח"</formula>
    </cfRule>
    <cfRule type="cellIs" dxfId="6874" priority="619" operator="equal">
      <formula>"מיל"</formula>
    </cfRule>
    <cfRule type="cellIs" dxfId="6873" priority="618" operator="equal">
      <formula>"מנוחה"</formula>
    </cfRule>
    <cfRule type="cellIs" dxfId="6872" priority="617" operator="equal">
      <formula>"מ"</formula>
    </cfRule>
    <cfRule type="cellIs" dxfId="6871" priority="616" operator="equal">
      <formula>"ק"</formula>
    </cfRule>
    <cfRule type="cellIs" dxfId="6870" priority="615" operator="equal">
      <formula>"כמ"</formula>
    </cfRule>
    <cfRule type="cellIs" dxfId="6869" priority="614" operator="equal">
      <formula>"כמש"</formula>
    </cfRule>
    <cfRule type="cellIs" dxfId="6868" priority="613" operator="equal">
      <formula>"י"</formula>
    </cfRule>
    <cfRule type="cellIs" dxfId="6867" priority="622" operator="equal">
      <formula>"כ"</formula>
    </cfRule>
  </conditionalFormatting>
  <conditionalFormatting sqref="BD5:BD35">
    <cfRule type="cellIs" dxfId="6866" priority="26" operator="equal">
      <formula>"ח"</formula>
    </cfRule>
  </conditionalFormatting>
  <conditionalFormatting sqref="BF5:BF35">
    <cfRule type="cellIs" dxfId="6865" priority="24" operator="equal">
      <formula>"ח"</formula>
    </cfRule>
  </conditionalFormatting>
  <conditionalFormatting sqref="BF8:BL9">
    <cfRule type="cellIs" dxfId="6864" priority="241" operator="equal">
      <formula>"ק"</formula>
    </cfRule>
    <cfRule type="cellIs" dxfId="6863" priority="242" operator="equal">
      <formula>"מ"</formula>
    </cfRule>
    <cfRule type="cellIs" dxfId="6862" priority="244" operator="equal">
      <formula>"מיל"</formula>
    </cfRule>
    <cfRule type="cellIs" dxfId="6861" priority="246" operator="equal">
      <formula>"כ"</formula>
    </cfRule>
    <cfRule type="cellIs" dxfId="6860" priority="243" operator="equal">
      <formula>"מנוחה"</formula>
    </cfRule>
    <cfRule type="cellIs" dxfId="6859" priority="240" operator="equal">
      <formula>"כמ"</formula>
    </cfRule>
    <cfRule type="cellIs" dxfId="6858" priority="245" operator="equal">
      <formula>"כש"</formula>
    </cfRule>
    <cfRule type="cellIs" dxfId="6857" priority="239" operator="equal">
      <formula>"כמש"</formula>
    </cfRule>
    <cfRule type="cellIs" dxfId="6856" priority="238" operator="equal">
      <formula>"י"</formula>
    </cfRule>
    <cfRule type="cellIs" dxfId="6855" priority="237" operator="equal">
      <formula>"ל"</formula>
    </cfRule>
  </conditionalFormatting>
  <conditionalFormatting sqref="BF12:BL13">
    <cfRule type="cellIs" dxfId="6854" priority="228" operator="equal">
      <formula>"מנוחה"</formula>
    </cfRule>
    <cfRule type="cellIs" dxfId="6853" priority="229" operator="equal">
      <formula>"מיל"</formula>
    </cfRule>
    <cfRule type="cellIs" dxfId="6852" priority="227" operator="equal">
      <formula>"מ"</formula>
    </cfRule>
    <cfRule type="cellIs" dxfId="6851" priority="231" operator="equal">
      <formula>"כ"</formula>
    </cfRule>
    <cfRule type="cellIs" dxfId="6850" priority="224" operator="equal">
      <formula>"כמש"</formula>
    </cfRule>
    <cfRule type="cellIs" dxfId="6849" priority="222" operator="equal">
      <formula>"ל"</formula>
    </cfRule>
    <cfRule type="cellIs" dxfId="6848" priority="230" operator="equal">
      <formula>"כש"</formula>
    </cfRule>
    <cfRule type="cellIs" dxfId="6847" priority="223" operator="equal">
      <formula>"י"</formula>
    </cfRule>
    <cfRule type="cellIs" dxfId="6846" priority="225" operator="equal">
      <formula>"כמ"</formula>
    </cfRule>
    <cfRule type="cellIs" dxfId="6845" priority="226" operator="equal">
      <formula>"ק"</formula>
    </cfRule>
  </conditionalFormatting>
  <conditionalFormatting sqref="BF16:BL17">
    <cfRule type="cellIs" dxfId="6844" priority="209" operator="equal">
      <formula>"כמש"</formula>
    </cfRule>
    <cfRule type="cellIs" dxfId="6843" priority="210" operator="equal">
      <formula>"כמ"</formula>
    </cfRule>
    <cfRule type="cellIs" dxfId="6842" priority="207" operator="equal">
      <formula>"ל"</formula>
    </cfRule>
    <cfRule type="cellIs" dxfId="6841" priority="213" operator="equal">
      <formula>"מנוחה"</formula>
    </cfRule>
    <cfRule type="cellIs" dxfId="6840" priority="212" operator="equal">
      <formula>"מ"</formula>
    </cfRule>
    <cfRule type="cellIs" dxfId="6839" priority="211" operator="equal">
      <formula>"ק"</formula>
    </cfRule>
    <cfRule type="cellIs" dxfId="6838" priority="208" operator="equal">
      <formula>"י"</formula>
    </cfRule>
    <cfRule type="cellIs" dxfId="6837" priority="214" operator="equal">
      <formula>"מיל"</formula>
    </cfRule>
    <cfRule type="cellIs" dxfId="6836" priority="216" operator="equal">
      <formula>"כ"</formula>
    </cfRule>
    <cfRule type="cellIs" dxfId="6835" priority="215" operator="equal">
      <formula>"כש"</formula>
    </cfRule>
  </conditionalFormatting>
  <conditionalFormatting sqref="BF20:BL21">
    <cfRule type="cellIs" dxfId="6834" priority="200" operator="equal">
      <formula>"כש"</formula>
    </cfRule>
    <cfRule type="cellIs" dxfId="6833" priority="193" operator="equal">
      <formula>"י"</formula>
    </cfRule>
    <cfRule type="cellIs" dxfId="6832" priority="201" operator="equal">
      <formula>"כ"</formula>
    </cfRule>
    <cfRule type="cellIs" dxfId="6831" priority="194" operator="equal">
      <formula>"כמש"</formula>
    </cfRule>
    <cfRule type="cellIs" dxfId="6830" priority="192" operator="equal">
      <formula>"ל"</formula>
    </cfRule>
    <cfRule type="cellIs" dxfId="6829" priority="195" operator="equal">
      <formula>"כמ"</formula>
    </cfRule>
    <cfRule type="cellIs" dxfId="6828" priority="196" operator="equal">
      <formula>"ק"</formula>
    </cfRule>
    <cfRule type="cellIs" dxfId="6827" priority="197" operator="equal">
      <formula>"מ"</formula>
    </cfRule>
    <cfRule type="cellIs" dxfId="6826" priority="198" operator="equal">
      <formula>"מנוחה"</formula>
    </cfRule>
    <cfRule type="cellIs" dxfId="6825" priority="199" operator="equal">
      <formula>"מיל"</formula>
    </cfRule>
  </conditionalFormatting>
  <conditionalFormatting sqref="BF24:BL25">
    <cfRule type="cellIs" dxfId="6824" priority="182" operator="equal">
      <formula>"מ"</formula>
    </cfRule>
    <cfRule type="cellIs" dxfId="6823" priority="181" operator="equal">
      <formula>"ק"</formula>
    </cfRule>
    <cfRule type="cellIs" dxfId="6822" priority="180" operator="equal">
      <formula>"כמ"</formula>
    </cfRule>
    <cfRule type="cellIs" dxfId="6821" priority="179" operator="equal">
      <formula>"כמש"</formula>
    </cfRule>
    <cfRule type="cellIs" dxfId="6820" priority="178" operator="equal">
      <formula>"י"</formula>
    </cfRule>
    <cfRule type="cellIs" dxfId="6819" priority="185" operator="equal">
      <formula>"כש"</formula>
    </cfRule>
    <cfRule type="cellIs" dxfId="6818" priority="177" operator="equal">
      <formula>"ל"</formula>
    </cfRule>
    <cfRule type="cellIs" dxfId="6817" priority="184" operator="equal">
      <formula>"מיל"</formula>
    </cfRule>
    <cfRule type="cellIs" dxfId="6816" priority="183" operator="equal">
      <formula>"מנוחה"</formula>
    </cfRule>
    <cfRule type="cellIs" dxfId="6815" priority="186" operator="equal">
      <formula>"כ"</formula>
    </cfRule>
  </conditionalFormatting>
  <conditionalFormatting sqref="BF28:BL29">
    <cfRule type="cellIs" dxfId="6814" priority="163" operator="equal">
      <formula>"י"</formula>
    </cfRule>
    <cfRule type="cellIs" dxfId="6813" priority="162" operator="equal">
      <formula>"ל"</formula>
    </cfRule>
    <cfRule type="cellIs" dxfId="6812" priority="167" operator="equal">
      <formula>"מ"</formula>
    </cfRule>
    <cfRule type="cellIs" dxfId="6811" priority="171" operator="equal">
      <formula>"כ"</formula>
    </cfRule>
    <cfRule type="cellIs" dxfId="6810" priority="170" operator="equal">
      <formula>"כש"</formula>
    </cfRule>
    <cfRule type="cellIs" dxfId="6809" priority="169" operator="equal">
      <formula>"מיל"</formula>
    </cfRule>
    <cfRule type="cellIs" dxfId="6808" priority="168" operator="equal">
      <formula>"מנוחה"</formula>
    </cfRule>
    <cfRule type="cellIs" dxfId="6807" priority="166" operator="equal">
      <formula>"ק"</formula>
    </cfRule>
    <cfRule type="cellIs" dxfId="6806" priority="165" operator="equal">
      <formula>"כמ"</formula>
    </cfRule>
    <cfRule type="cellIs" dxfId="6805" priority="164" operator="equal">
      <formula>"כמש"</formula>
    </cfRule>
  </conditionalFormatting>
  <conditionalFormatting sqref="BF32:BL33">
    <cfRule type="cellIs" dxfId="6804" priority="149" operator="equal">
      <formula>"כמש"</formula>
    </cfRule>
    <cfRule type="cellIs" dxfId="6803" priority="148" operator="equal">
      <formula>"י"</formula>
    </cfRule>
    <cfRule type="cellIs" dxfId="6802" priority="150" operator="equal">
      <formula>"כמ"</formula>
    </cfRule>
    <cfRule type="cellIs" dxfId="6801" priority="151" operator="equal">
      <formula>"ק"</formula>
    </cfRule>
    <cfRule type="cellIs" dxfId="6800" priority="152" operator="equal">
      <formula>"מ"</formula>
    </cfRule>
    <cfRule type="cellIs" dxfId="6799" priority="153" operator="equal">
      <formula>"מנוחה"</formula>
    </cfRule>
    <cfRule type="cellIs" dxfId="6798" priority="154" operator="equal">
      <formula>"מיל"</formula>
    </cfRule>
    <cfRule type="cellIs" dxfId="6797" priority="156" operator="equal">
      <formula>"כ"</formula>
    </cfRule>
    <cfRule type="cellIs" dxfId="6796" priority="155" operator="equal">
      <formula>"כש"</formula>
    </cfRule>
    <cfRule type="cellIs" dxfId="6795" priority="147" operator="equal">
      <formula>"ל"</formula>
    </cfRule>
  </conditionalFormatting>
  <conditionalFormatting sqref="BG5 BI5 BK5">
    <cfRule type="cellIs" dxfId="6794" priority="25" operator="equal">
      <formula>"ח"</formula>
    </cfRule>
  </conditionalFormatting>
  <conditionalFormatting sqref="BG8:BG9 BI8:BI9 BK8:BK9">
    <cfRule type="cellIs" dxfId="6793" priority="250" operator="equal">
      <formula>"ח"</formula>
    </cfRule>
  </conditionalFormatting>
  <conditionalFormatting sqref="BG12:BG13 BI12:BI13 BK12:BK13">
    <cfRule type="cellIs" dxfId="6792" priority="235" operator="equal">
      <formula>"ח"</formula>
    </cfRule>
  </conditionalFormatting>
  <conditionalFormatting sqref="BG16:BG17 BI16:BI17 BK16:BK17">
    <cfRule type="cellIs" dxfId="6791" priority="220" operator="equal">
      <formula>"ח"</formula>
    </cfRule>
  </conditionalFormatting>
  <conditionalFormatting sqref="BG20:BG21 BI20:BI21 BK20:BK21">
    <cfRule type="cellIs" dxfId="6790" priority="205" operator="equal">
      <formula>"ח"</formula>
    </cfRule>
  </conditionalFormatting>
  <conditionalFormatting sqref="BG24:BG25 BI24:BI25 BK24:BK25">
    <cfRule type="cellIs" dxfId="6789" priority="190" operator="equal">
      <formula>"ח"</formula>
    </cfRule>
  </conditionalFormatting>
  <conditionalFormatting sqref="BG28:BG29 BI28:BI29 BK28:BK29">
    <cfRule type="cellIs" dxfId="6788" priority="175" operator="equal">
      <formula>"ח"</formula>
    </cfRule>
  </conditionalFormatting>
  <conditionalFormatting sqref="BG32:BG33 BI32:BI33 BK32:BK33">
    <cfRule type="cellIs" dxfId="6787" priority="160" operator="equal">
      <formula>"ח"</formula>
    </cfRule>
  </conditionalFormatting>
  <conditionalFormatting sqref="BH5:BH35">
    <cfRule type="cellIs" dxfId="6786" priority="23" operator="equal">
      <formula>"ח"</formula>
    </cfRule>
  </conditionalFormatting>
  <conditionalFormatting sqref="BJ5:BJ35">
    <cfRule type="cellIs" dxfId="6785" priority="22" operator="equal">
      <formula>"ח"</formula>
    </cfRule>
  </conditionalFormatting>
  <conditionalFormatting sqref="BL5:BL35">
    <cfRule type="cellIs" dxfId="6784" priority="11" operator="equal">
      <formula>"ח"</formula>
    </cfRule>
  </conditionalFormatting>
  <conditionalFormatting sqref="BM7:BS8 BM11:BS12 BM15:BS16 BM19:BS20 BM23:BS24 BM27:BS28 BM31:BS32">
    <cfRule type="cellIs" dxfId="6783" priority="789" operator="equal">
      <formula>"כ"</formula>
    </cfRule>
    <cfRule type="cellIs" dxfId="6782" priority="788" operator="equal">
      <formula>"כש"</formula>
    </cfRule>
  </conditionalFormatting>
  <conditionalFormatting sqref="BM5:BT6">
    <cfRule type="cellIs" dxfId="6781" priority="485" operator="equal">
      <formula>"כש"</formula>
    </cfRule>
    <cfRule type="cellIs" dxfId="6780" priority="486" operator="equal">
      <formula>"כ"</formula>
    </cfRule>
  </conditionalFormatting>
  <conditionalFormatting sqref="BM9:BT10">
    <cfRule type="cellIs" dxfId="6779" priority="471" operator="equal">
      <formula>"כ"</formula>
    </cfRule>
    <cfRule type="cellIs" dxfId="6778" priority="470" operator="equal">
      <formula>"כש"</formula>
    </cfRule>
  </conditionalFormatting>
  <conditionalFormatting sqref="BM13:BT14">
    <cfRule type="cellIs" dxfId="6777" priority="455" operator="equal">
      <formula>"כש"</formula>
    </cfRule>
    <cfRule type="cellIs" dxfId="6776" priority="456" operator="equal">
      <formula>"כ"</formula>
    </cfRule>
  </conditionalFormatting>
  <conditionalFormatting sqref="BM17:BT18">
    <cfRule type="cellIs" dxfId="6775" priority="441" operator="equal">
      <formula>"כ"</formula>
    </cfRule>
    <cfRule type="cellIs" dxfId="6774" priority="440" operator="equal">
      <formula>"כש"</formula>
    </cfRule>
  </conditionalFormatting>
  <conditionalFormatting sqref="BM21:BT22">
    <cfRule type="cellIs" dxfId="6773" priority="425" operator="equal">
      <formula>"כש"</formula>
    </cfRule>
    <cfRule type="cellIs" dxfId="6772" priority="426" operator="equal">
      <formula>"כ"</formula>
    </cfRule>
  </conditionalFormatting>
  <conditionalFormatting sqref="BM25:BT26">
    <cfRule type="cellIs" dxfId="6771" priority="410" operator="equal">
      <formula>"כש"</formula>
    </cfRule>
    <cfRule type="cellIs" dxfId="6770" priority="411" operator="equal">
      <formula>"כ"</formula>
    </cfRule>
  </conditionalFormatting>
  <conditionalFormatting sqref="BM29:BT30">
    <cfRule type="cellIs" dxfId="6769" priority="395" operator="equal">
      <formula>"כש"</formula>
    </cfRule>
    <cfRule type="cellIs" dxfId="6768" priority="396" operator="equal">
      <formula>"כ"</formula>
    </cfRule>
  </conditionalFormatting>
  <conditionalFormatting sqref="BM33:BT34">
    <cfRule type="cellIs" dxfId="6767" priority="381" operator="equal">
      <formula>"כ"</formula>
    </cfRule>
    <cfRule type="cellIs" dxfId="6766" priority="380" operator="equal">
      <formula>"כש"</formula>
    </cfRule>
  </conditionalFormatting>
  <conditionalFormatting sqref="BN5:BN6">
    <cfRule type="cellIs" dxfId="6765" priority="489" operator="equal">
      <formula>"ח"</formula>
    </cfRule>
  </conditionalFormatting>
  <conditionalFormatting sqref="BN9:BN10">
    <cfRule type="cellIs" dxfId="6764" priority="474" operator="equal">
      <formula>"ח"</formula>
    </cfRule>
  </conditionalFormatting>
  <conditionalFormatting sqref="BN13:BN14">
    <cfRule type="cellIs" dxfId="6763" priority="459" operator="equal">
      <formula>"ח"</formula>
    </cfRule>
  </conditionalFormatting>
  <conditionalFormatting sqref="BN17:BN18">
    <cfRule type="cellIs" dxfId="6762" priority="444" operator="equal">
      <formula>"ח"</formula>
    </cfRule>
  </conditionalFormatting>
  <conditionalFormatting sqref="BN21:BN22">
    <cfRule type="cellIs" dxfId="6761" priority="429" operator="equal">
      <formula>"ח"</formula>
    </cfRule>
  </conditionalFormatting>
  <conditionalFormatting sqref="BN25:BN26">
    <cfRule type="cellIs" dxfId="6760" priority="414" operator="equal">
      <formula>"ח"</formula>
    </cfRule>
  </conditionalFormatting>
  <conditionalFormatting sqref="BN29:BN30">
    <cfRule type="cellIs" dxfId="6759" priority="399" operator="equal">
      <formula>"ח"</formula>
    </cfRule>
  </conditionalFormatting>
  <conditionalFormatting sqref="BN33:BN34">
    <cfRule type="cellIs" dxfId="6758" priority="384" operator="equal">
      <formula>"ח"</formula>
    </cfRule>
  </conditionalFormatting>
  <conditionalFormatting sqref="BN5:BT6">
    <cfRule type="cellIs" dxfId="6757" priority="481" operator="equal">
      <formula>"ק"</formula>
    </cfRule>
    <cfRule type="cellIs" dxfId="6756" priority="480" operator="equal">
      <formula>"כמ"</formula>
    </cfRule>
    <cfRule type="cellIs" dxfId="6755" priority="483" operator="equal">
      <formula>"מנוחה"</formula>
    </cfRule>
    <cfRule type="cellIs" dxfId="6754" priority="484" operator="equal">
      <formula>"מיל"</formula>
    </cfRule>
    <cfRule type="cellIs" dxfId="6753" priority="478" operator="equal">
      <formula>"י"</formula>
    </cfRule>
    <cfRule type="cellIs" dxfId="6752" priority="479" operator="equal">
      <formula>"כמש"</formula>
    </cfRule>
    <cfRule type="cellIs" dxfId="6751" priority="477" operator="equal">
      <formula>"ל"</formula>
    </cfRule>
    <cfRule type="cellIs" dxfId="6750" priority="482" operator="equal">
      <formula>"מ"</formula>
    </cfRule>
  </conditionalFormatting>
  <conditionalFormatting sqref="BN9:BT10">
    <cfRule type="cellIs" dxfId="6749" priority="462" operator="equal">
      <formula>"ל"</formula>
    </cfRule>
    <cfRule type="cellIs" dxfId="6748" priority="463" operator="equal">
      <formula>"י"</formula>
    </cfRule>
    <cfRule type="cellIs" dxfId="6747" priority="465" operator="equal">
      <formula>"כמ"</formula>
    </cfRule>
    <cfRule type="cellIs" dxfId="6746" priority="464" operator="equal">
      <formula>"כמש"</formula>
    </cfRule>
    <cfRule type="cellIs" dxfId="6745" priority="466" operator="equal">
      <formula>"ק"</formula>
    </cfRule>
    <cfRule type="cellIs" dxfId="6744" priority="467" operator="equal">
      <formula>"מ"</formula>
    </cfRule>
    <cfRule type="cellIs" dxfId="6743" priority="468" operator="equal">
      <formula>"מנוחה"</formula>
    </cfRule>
    <cfRule type="cellIs" dxfId="6742" priority="469" operator="equal">
      <formula>"מיל"</formula>
    </cfRule>
  </conditionalFormatting>
  <conditionalFormatting sqref="BN13:BT14">
    <cfRule type="cellIs" dxfId="6741" priority="450" operator="equal">
      <formula>"כמ"</formula>
    </cfRule>
    <cfRule type="cellIs" dxfId="6740" priority="454" operator="equal">
      <formula>"מיל"</formula>
    </cfRule>
    <cfRule type="cellIs" dxfId="6739" priority="453" operator="equal">
      <formula>"מנוחה"</formula>
    </cfRule>
    <cfRule type="cellIs" dxfId="6738" priority="447" operator="equal">
      <formula>"ל"</formula>
    </cfRule>
    <cfRule type="cellIs" dxfId="6737" priority="448" operator="equal">
      <formula>"י"</formula>
    </cfRule>
    <cfRule type="cellIs" dxfId="6736" priority="449" operator="equal">
      <formula>"כמש"</formula>
    </cfRule>
    <cfRule type="cellIs" dxfId="6735" priority="451" operator="equal">
      <formula>"ק"</formula>
    </cfRule>
    <cfRule type="cellIs" dxfId="6734" priority="452" operator="equal">
      <formula>"מ"</formula>
    </cfRule>
  </conditionalFormatting>
  <conditionalFormatting sqref="BN17:BT18">
    <cfRule type="cellIs" dxfId="6733" priority="434" operator="equal">
      <formula>"כמש"</formula>
    </cfRule>
    <cfRule type="cellIs" dxfId="6732" priority="436" operator="equal">
      <formula>"ק"</formula>
    </cfRule>
    <cfRule type="cellIs" dxfId="6731" priority="437" operator="equal">
      <formula>"מ"</formula>
    </cfRule>
    <cfRule type="cellIs" dxfId="6730" priority="438" operator="equal">
      <formula>"מנוחה"</formula>
    </cfRule>
    <cfRule type="cellIs" dxfId="6729" priority="439" operator="equal">
      <formula>"מיל"</formula>
    </cfRule>
    <cfRule type="cellIs" dxfId="6728" priority="435" operator="equal">
      <formula>"כמ"</formula>
    </cfRule>
    <cfRule type="cellIs" dxfId="6727" priority="432" operator="equal">
      <formula>"ל"</formula>
    </cfRule>
    <cfRule type="cellIs" dxfId="6726" priority="433" operator="equal">
      <formula>"י"</formula>
    </cfRule>
  </conditionalFormatting>
  <conditionalFormatting sqref="BN21:BT22">
    <cfRule type="cellIs" dxfId="6725" priority="420" operator="equal">
      <formula>"כמ"</formula>
    </cfRule>
    <cfRule type="cellIs" dxfId="6724" priority="422" operator="equal">
      <formula>"מ"</formula>
    </cfRule>
    <cfRule type="cellIs" dxfId="6723" priority="423" operator="equal">
      <formula>"מנוחה"</formula>
    </cfRule>
    <cfRule type="cellIs" dxfId="6722" priority="424" operator="equal">
      <formula>"מיל"</formula>
    </cfRule>
    <cfRule type="cellIs" dxfId="6721" priority="421" operator="equal">
      <formula>"ק"</formula>
    </cfRule>
    <cfRule type="cellIs" dxfId="6720" priority="419" operator="equal">
      <formula>"כמש"</formula>
    </cfRule>
    <cfRule type="cellIs" dxfId="6719" priority="417" operator="equal">
      <formula>"ל"</formula>
    </cfRule>
    <cfRule type="cellIs" dxfId="6718" priority="418" operator="equal">
      <formula>"י"</formula>
    </cfRule>
  </conditionalFormatting>
  <conditionalFormatting sqref="BN25:BT26">
    <cfRule type="cellIs" dxfId="6717" priority="405" operator="equal">
      <formula>"כמ"</formula>
    </cfRule>
    <cfRule type="cellIs" dxfId="6716" priority="404" operator="equal">
      <formula>"כמש"</formula>
    </cfRule>
    <cfRule type="cellIs" dxfId="6715" priority="403" operator="equal">
      <formula>"י"</formula>
    </cfRule>
    <cfRule type="cellIs" dxfId="6714" priority="402" operator="equal">
      <formula>"ל"</formula>
    </cfRule>
    <cfRule type="cellIs" dxfId="6713" priority="406" operator="equal">
      <formula>"ק"</formula>
    </cfRule>
    <cfRule type="cellIs" dxfId="6712" priority="409" operator="equal">
      <formula>"מיל"</formula>
    </cfRule>
    <cfRule type="cellIs" dxfId="6711" priority="408" operator="equal">
      <formula>"מנוחה"</formula>
    </cfRule>
    <cfRule type="cellIs" dxfId="6710" priority="407" operator="equal">
      <formula>"מ"</formula>
    </cfRule>
  </conditionalFormatting>
  <conditionalFormatting sqref="BN29:BT30">
    <cfRule type="cellIs" dxfId="6709" priority="388" operator="equal">
      <formula>"י"</formula>
    </cfRule>
    <cfRule type="cellIs" dxfId="6708" priority="389" operator="equal">
      <formula>"כמש"</formula>
    </cfRule>
    <cfRule type="cellIs" dxfId="6707" priority="387" operator="equal">
      <formula>"ל"</formula>
    </cfRule>
    <cfRule type="cellIs" dxfId="6706" priority="391" operator="equal">
      <formula>"ק"</formula>
    </cfRule>
    <cfRule type="cellIs" dxfId="6705" priority="392" operator="equal">
      <formula>"מ"</formula>
    </cfRule>
    <cfRule type="cellIs" dxfId="6704" priority="393" operator="equal">
      <formula>"מנוחה"</formula>
    </cfRule>
    <cfRule type="cellIs" dxfId="6703" priority="394" operator="equal">
      <formula>"מיל"</formula>
    </cfRule>
    <cfRule type="cellIs" dxfId="6702" priority="390" operator="equal">
      <formula>"כמ"</formula>
    </cfRule>
  </conditionalFormatting>
  <conditionalFormatting sqref="BN33:BT34">
    <cfRule type="cellIs" dxfId="6701" priority="372" operator="equal">
      <formula>"ל"</formula>
    </cfRule>
    <cfRule type="cellIs" dxfId="6700" priority="373" operator="equal">
      <formula>"י"</formula>
    </cfRule>
    <cfRule type="cellIs" dxfId="6699" priority="374" operator="equal">
      <formula>"כמש"</formula>
    </cfRule>
    <cfRule type="cellIs" dxfId="6698" priority="376" operator="equal">
      <formula>"ק"</formula>
    </cfRule>
    <cfRule type="cellIs" dxfId="6697" priority="377" operator="equal">
      <formula>"מ"</formula>
    </cfRule>
    <cfRule type="cellIs" dxfId="6696" priority="378" operator="equal">
      <formula>"מנוחה"</formula>
    </cfRule>
    <cfRule type="cellIs" dxfId="6695" priority="375" operator="equal">
      <formula>"כמ"</formula>
    </cfRule>
    <cfRule type="cellIs" dxfId="6694" priority="379" operator="equal">
      <formula>"מיל"</formula>
    </cfRule>
  </conditionalFormatting>
  <conditionalFormatting sqref="BO5:BO6 BQ5:BQ6 BS5:BS6">
    <cfRule type="cellIs" dxfId="6693" priority="490" operator="equal">
      <formula>"ח"</formula>
    </cfRule>
  </conditionalFormatting>
  <conditionalFormatting sqref="BO9:BO10 BQ9:BQ10 BS9:BS10">
    <cfRule type="cellIs" dxfId="6692" priority="475" operator="equal">
      <formula>"ח"</formula>
    </cfRule>
  </conditionalFormatting>
  <conditionalFormatting sqref="BO13:BO14 BQ13:BQ14 BS13:BS14">
    <cfRule type="cellIs" dxfId="6691" priority="460" operator="equal">
      <formula>"ח"</formula>
    </cfRule>
  </conditionalFormatting>
  <conditionalFormatting sqref="BO17:BO18 BQ17:BQ18 BS17:BS18">
    <cfRule type="cellIs" dxfId="6690" priority="445" operator="equal">
      <formula>"ח"</formula>
    </cfRule>
  </conditionalFormatting>
  <conditionalFormatting sqref="BO21:BO22 BQ21:BQ22 BS21:BS22">
    <cfRule type="cellIs" dxfId="6689" priority="430" operator="equal">
      <formula>"ח"</formula>
    </cfRule>
  </conditionalFormatting>
  <conditionalFormatting sqref="BO25:BO26 BQ25:BQ26 BS25:BS26">
    <cfRule type="cellIs" dxfId="6688" priority="415" operator="equal">
      <formula>"ח"</formula>
    </cfRule>
  </conditionalFormatting>
  <conditionalFormatting sqref="BO29:BO30 BQ29:BQ30 BS29:BS30">
    <cfRule type="cellIs" dxfId="6687" priority="400" operator="equal">
      <formula>"ח"</formula>
    </cfRule>
  </conditionalFormatting>
  <conditionalFormatting sqref="BO33:BO34 BQ33:BQ34 BS33:BS34">
    <cfRule type="cellIs" dxfId="6686" priority="385" operator="equal">
      <formula>"ח"</formula>
    </cfRule>
  </conditionalFormatting>
  <conditionalFormatting sqref="BP5:BP6">
    <cfRule type="cellIs" dxfId="6685" priority="488" operator="equal">
      <formula>"ח"</formula>
    </cfRule>
  </conditionalFormatting>
  <conditionalFormatting sqref="BP7:BP8 BP11:BP12 BP15:BP16 BP19:BP20 BP23:BP24 BP27:BP28 BP31:BP32 BP35">
    <cfRule type="cellIs" dxfId="6684" priority="820" operator="equal">
      <formula>"ח"</formula>
    </cfRule>
  </conditionalFormatting>
  <conditionalFormatting sqref="BP9:BP10">
    <cfRule type="cellIs" dxfId="6683" priority="473" operator="equal">
      <formula>"ח"</formula>
    </cfRule>
  </conditionalFormatting>
  <conditionalFormatting sqref="BP13:BP14">
    <cfRule type="cellIs" dxfId="6682" priority="458" operator="equal">
      <formula>"ח"</formula>
    </cfRule>
  </conditionalFormatting>
  <conditionalFormatting sqref="BP17:BP18">
    <cfRule type="cellIs" dxfId="6681" priority="443" operator="equal">
      <formula>"ח"</formula>
    </cfRule>
  </conditionalFormatting>
  <conditionalFormatting sqref="BP21:BP22">
    <cfRule type="cellIs" dxfId="6680" priority="428" operator="equal">
      <formula>"ח"</formula>
    </cfRule>
  </conditionalFormatting>
  <conditionalFormatting sqref="BP25:BP26">
    <cfRule type="cellIs" dxfId="6679" priority="413" operator="equal">
      <formula>"ח"</formula>
    </cfRule>
  </conditionalFormatting>
  <conditionalFormatting sqref="BP29:BP30">
    <cfRule type="cellIs" dxfId="6678" priority="398" operator="equal">
      <formula>"ח"</formula>
    </cfRule>
  </conditionalFormatting>
  <conditionalFormatting sqref="BP33:BP34">
    <cfRule type="cellIs" dxfId="6677" priority="383" operator="equal">
      <formula>"ח"</formula>
    </cfRule>
  </conditionalFormatting>
  <conditionalFormatting sqref="BQ3:CA3 BQ4">
    <cfRule type="cellIs" dxfId="6676" priority="630" operator="equal">
      <formula>"מיל"</formula>
    </cfRule>
    <cfRule type="cellIs" dxfId="6675" priority="631" operator="equal">
      <formula>"ח"</formula>
    </cfRule>
    <cfRule type="cellIs" dxfId="6674" priority="632" operator="equal">
      <formula>"כש"</formula>
    </cfRule>
    <cfRule type="cellIs" dxfId="6673" priority="633" operator="equal">
      <formula>"כ"</formula>
    </cfRule>
    <cfRule type="cellIs" dxfId="6672" priority="623" operator="equal">
      <formula>"ל"</formula>
    </cfRule>
    <cfRule type="cellIs" dxfId="6671" priority="624" operator="equal">
      <formula>"י"</formula>
    </cfRule>
    <cfRule type="cellIs" dxfId="6670" priority="625" operator="equal">
      <formula>"כמש"</formula>
    </cfRule>
    <cfRule type="cellIs" dxfId="6669" priority="626" operator="equal">
      <formula>"כמ"</formula>
    </cfRule>
    <cfRule type="cellIs" dxfId="6668" priority="627" operator="equal">
      <formula>"ק"</formula>
    </cfRule>
    <cfRule type="cellIs" dxfId="6667" priority="628" operator="equal">
      <formula>"מ"</formula>
    </cfRule>
    <cfRule type="cellIs" dxfId="6666" priority="629" operator="equal">
      <formula>"מנוחה"</formula>
    </cfRule>
  </conditionalFormatting>
  <conditionalFormatting sqref="BR5:BR6">
    <cfRule type="cellIs" dxfId="6665" priority="487" operator="equal">
      <formula>"ח"</formula>
    </cfRule>
  </conditionalFormatting>
  <conditionalFormatting sqref="BR7:BR8 BR11:BR12 BR15:BR16 BR19:BR20 BR23:BR24 BR27:BR28 BR31:BR32 BR35">
    <cfRule type="cellIs" dxfId="6664" priority="798" operator="equal">
      <formula>"ח"</formula>
    </cfRule>
  </conditionalFormatting>
  <conditionalFormatting sqref="BR9:BR10">
    <cfRule type="cellIs" dxfId="6663" priority="472" operator="equal">
      <formula>"ח"</formula>
    </cfRule>
  </conditionalFormatting>
  <conditionalFormatting sqref="BR13:BR14">
    <cfRule type="cellIs" dxfId="6662" priority="457" operator="equal">
      <formula>"ח"</formula>
    </cfRule>
  </conditionalFormatting>
  <conditionalFormatting sqref="BR17:BR18">
    <cfRule type="cellIs" dxfId="6661" priority="442" operator="equal">
      <formula>"ח"</formula>
    </cfRule>
  </conditionalFormatting>
  <conditionalFormatting sqref="BR21:BR22">
    <cfRule type="cellIs" dxfId="6660" priority="427" operator="equal">
      <formula>"ח"</formula>
    </cfRule>
  </conditionalFormatting>
  <conditionalFormatting sqref="BR25:BR26">
    <cfRule type="cellIs" dxfId="6659" priority="412" operator="equal">
      <formula>"ח"</formula>
    </cfRule>
  </conditionalFormatting>
  <conditionalFormatting sqref="BR29:BR30">
    <cfRule type="cellIs" dxfId="6658" priority="397" operator="equal">
      <formula>"ח"</formula>
    </cfRule>
  </conditionalFormatting>
  <conditionalFormatting sqref="BR33:BR34">
    <cfRule type="cellIs" dxfId="6657" priority="382" operator="equal">
      <formula>"ח"</formula>
    </cfRule>
  </conditionalFormatting>
  <conditionalFormatting sqref="BT5:BT6">
    <cfRule type="cellIs" dxfId="6656" priority="476" operator="equal">
      <formula>"ח"</formula>
    </cfRule>
  </conditionalFormatting>
  <conditionalFormatting sqref="BT7:BT8 BT11:BT12 BT15:BT16 BT19:BT20 BT23:BT24 BT27:BT28 BT31:BT32 BT35">
    <cfRule type="cellIs" dxfId="6655" priority="776" operator="equal">
      <formula>"ח"</formula>
    </cfRule>
  </conditionalFormatting>
  <conditionalFormatting sqref="BT9:BT10">
    <cfRule type="cellIs" dxfId="6654" priority="461" operator="equal">
      <formula>"ח"</formula>
    </cfRule>
  </conditionalFormatting>
  <conditionalFormatting sqref="BT13:BT14">
    <cfRule type="cellIs" dxfId="6653" priority="446" operator="equal">
      <formula>"ח"</formula>
    </cfRule>
  </conditionalFormatting>
  <conditionalFormatting sqref="BT17:BT18">
    <cfRule type="cellIs" dxfId="6652" priority="431" operator="equal">
      <formula>"ח"</formula>
    </cfRule>
  </conditionalFormatting>
  <conditionalFormatting sqref="BT21:BT22">
    <cfRule type="cellIs" dxfId="6651" priority="416" operator="equal">
      <formula>"ח"</formula>
    </cfRule>
  </conditionalFormatting>
  <conditionalFormatting sqref="BT25:BT26">
    <cfRule type="cellIs" dxfId="6650" priority="401" operator="equal">
      <formula>"ח"</formula>
    </cfRule>
  </conditionalFormatting>
  <conditionalFormatting sqref="BT29:BT30">
    <cfRule type="cellIs" dxfId="6649" priority="386" operator="equal">
      <formula>"ח"</formula>
    </cfRule>
  </conditionalFormatting>
  <conditionalFormatting sqref="BT33:BT34">
    <cfRule type="cellIs" dxfId="6648" priority="371" operator="equal">
      <formula>"ח"</formula>
    </cfRule>
  </conditionalFormatting>
  <conditionalFormatting sqref="BU6 BT7:BU7 BT8:BW8 BU9:BW9 BU10 BT11:BU11 BT12:BW12 BU13:BW13 BU14 BT15:BU15 BT16:BW16 BU17:BW17 BU18 BT19:BU19 BT20:BW20 BU21:BW21 BU22 BT23:BU23 BT24:BW24 BU25:BW25 BU26 BT27:BU27 BT28:BW28 BU29:BW29 BU30 BT31:BU31 BT32:BW32 BU33:BW33 BU34">
    <cfRule type="cellIs" dxfId="6647" priority="766" operator="equal">
      <formula>"כש"</formula>
    </cfRule>
    <cfRule type="cellIs" dxfId="6646" priority="767" operator="equal">
      <formula>"כ"</formula>
    </cfRule>
  </conditionalFormatting>
  <conditionalFormatting sqref="BU5:CB5 AW6:BM6 BU6 BE7:BU7 BE8 BM8:CA8 AW9:BE9 BM9 BU9:CA9 AW10:BM10 BU10 BE11:BU11 BE12 BM12:CB12 AW13:BE13 BM13 BU13:CB13 AW14:BM14 BU14 BE15:BU15 BE16 BM16:CB16 AW17:BE17 BM17 BU17:CB17 AW18:BM18 BU18 BE19:BU19 BE20 BM20:CB20 AW21:BE21 BM21 BU21:CB21 AW22:BM22 BU22 BE23:BU23 BE24 BM24:CB24 AW25:BE25 BM25 BU25:CB25 AW26:BM26 BU26 BE27:BU27 BE28 BM28:CB28 AW29:BE29 BM29 BU29:CB29 AW30:BM30 BU30 BE31:BU31 BE32 BM32:CB32 AW33:BE33 BM33 BU33:CB33 AW34:BM34 BU34">
    <cfRule type="cellIs" dxfId="6645" priority="557" operator="equal">
      <formula>"ל"</formula>
    </cfRule>
    <cfRule type="cellIs" dxfId="6644" priority="558" operator="equal">
      <formula>"י"</formula>
    </cfRule>
    <cfRule type="cellIs" dxfId="6643" priority="559" operator="equal">
      <formula>"כמש"</formula>
    </cfRule>
    <cfRule type="cellIs" dxfId="6642" priority="560" operator="equal">
      <formula>"כמ"</formula>
    </cfRule>
    <cfRule type="cellIs" dxfId="6641" priority="562" operator="equal">
      <formula>"מ"</formula>
    </cfRule>
    <cfRule type="cellIs" dxfId="6640" priority="563" operator="equal">
      <formula>"מנוחה"</formula>
    </cfRule>
    <cfRule type="cellIs" dxfId="6639" priority="564" operator="equal">
      <formula>"מיל"</formula>
    </cfRule>
    <cfRule type="cellIs" dxfId="6638" priority="561" operator="equal">
      <formula>"ק"</formula>
    </cfRule>
  </conditionalFormatting>
  <conditionalFormatting sqref="BU5:CB5 BX12:CB13 BX16:CB17 BX20:CB21 BX24:CB25 BX28:CB29 BX32:CB33">
    <cfRule type="cellIs" dxfId="6637" priority="566" operator="equal">
      <formula>"כש"</formula>
    </cfRule>
    <cfRule type="cellIs" dxfId="6636" priority="567" operator="equal">
      <formula>"כ"</formula>
    </cfRule>
  </conditionalFormatting>
  <conditionalFormatting sqref="BV6:BV7">
    <cfRule type="cellIs" dxfId="6635" priority="369" operator="equal">
      <formula>"ח"</formula>
    </cfRule>
  </conditionalFormatting>
  <conditionalFormatting sqref="BV10:BV11">
    <cfRule type="cellIs" dxfId="6634" priority="354" operator="equal">
      <formula>"ח"</formula>
    </cfRule>
  </conditionalFormatting>
  <conditionalFormatting sqref="BV14:BV15">
    <cfRule type="cellIs" dxfId="6633" priority="339" operator="equal">
      <formula>"ח"</formula>
    </cfRule>
  </conditionalFormatting>
  <conditionalFormatting sqref="BV18:BV19">
    <cfRule type="cellIs" dxfId="6632" priority="324" operator="equal">
      <formula>"ח"</formula>
    </cfRule>
  </conditionalFormatting>
  <conditionalFormatting sqref="BV22:BV23">
    <cfRule type="cellIs" dxfId="6631" priority="309" operator="equal">
      <formula>"ח"</formula>
    </cfRule>
  </conditionalFormatting>
  <conditionalFormatting sqref="BV26:BV27">
    <cfRule type="cellIs" dxfId="6630" priority="294" operator="equal">
      <formula>"ח"</formula>
    </cfRule>
  </conditionalFormatting>
  <conditionalFormatting sqref="BV30:BV31">
    <cfRule type="cellIs" dxfId="6629" priority="279" operator="equal">
      <formula>"ח"</formula>
    </cfRule>
  </conditionalFormatting>
  <conditionalFormatting sqref="BV34:BV35">
    <cfRule type="cellIs" dxfId="6628" priority="264" operator="equal">
      <formula>"ח"</formula>
    </cfRule>
  </conditionalFormatting>
  <conditionalFormatting sqref="BV6:CB7">
    <cfRule type="cellIs" dxfId="6627" priority="357" operator="equal">
      <formula>"ל"</formula>
    </cfRule>
    <cfRule type="cellIs" dxfId="6626" priority="358" operator="equal">
      <formula>"י"</formula>
    </cfRule>
    <cfRule type="cellIs" dxfId="6625" priority="359" operator="equal">
      <formula>"כמש"</formula>
    </cfRule>
    <cfRule type="cellIs" dxfId="6624" priority="360" operator="equal">
      <formula>"כמ"</formula>
    </cfRule>
    <cfRule type="cellIs" dxfId="6623" priority="361" operator="equal">
      <formula>"ק"</formula>
    </cfRule>
    <cfRule type="cellIs" dxfId="6622" priority="363" operator="equal">
      <formula>"מנוחה"</formula>
    </cfRule>
    <cfRule type="cellIs" dxfId="6621" priority="364" operator="equal">
      <formula>"מיל"</formula>
    </cfRule>
    <cfRule type="cellIs" dxfId="6620" priority="365" operator="equal">
      <formula>"כש"</formula>
    </cfRule>
    <cfRule type="cellIs" dxfId="6619" priority="366" operator="equal">
      <formula>"כ"</formula>
    </cfRule>
    <cfRule type="cellIs" dxfId="6618" priority="362" operator="equal">
      <formula>"מ"</formula>
    </cfRule>
  </conditionalFormatting>
  <conditionalFormatting sqref="BV10:CB11">
    <cfRule type="cellIs" dxfId="6617" priority="342" operator="equal">
      <formula>"ל"</formula>
    </cfRule>
    <cfRule type="cellIs" dxfId="6616" priority="344" operator="equal">
      <formula>"כמש"</formula>
    </cfRule>
    <cfRule type="cellIs" dxfId="6615" priority="347" operator="equal">
      <formula>"מ"</formula>
    </cfRule>
    <cfRule type="cellIs" dxfId="6614" priority="348" operator="equal">
      <formula>"מנוחה"</formula>
    </cfRule>
    <cfRule type="cellIs" dxfId="6613" priority="345" operator="equal">
      <formula>"כמ"</formula>
    </cfRule>
    <cfRule type="cellIs" dxfId="6612" priority="349" operator="equal">
      <formula>"מיל"</formula>
    </cfRule>
    <cfRule type="cellIs" dxfId="6611" priority="350" operator="equal">
      <formula>"כש"</formula>
    </cfRule>
    <cfRule type="cellIs" dxfId="6610" priority="346" operator="equal">
      <formula>"ק"</formula>
    </cfRule>
    <cfRule type="cellIs" dxfId="6609" priority="351" operator="equal">
      <formula>"כ"</formula>
    </cfRule>
    <cfRule type="cellIs" dxfId="6608" priority="343" operator="equal">
      <formula>"י"</formula>
    </cfRule>
  </conditionalFormatting>
  <conditionalFormatting sqref="BV14:CB15">
    <cfRule type="cellIs" dxfId="6607" priority="331" operator="equal">
      <formula>"ק"</formula>
    </cfRule>
    <cfRule type="cellIs" dxfId="6606" priority="330" operator="equal">
      <formula>"כמ"</formula>
    </cfRule>
    <cfRule type="cellIs" dxfId="6605" priority="329" operator="equal">
      <formula>"כמש"</formula>
    </cfRule>
    <cfRule type="cellIs" dxfId="6604" priority="328" operator="equal">
      <formula>"י"</formula>
    </cfRule>
    <cfRule type="cellIs" dxfId="6603" priority="327" operator="equal">
      <formula>"ל"</formula>
    </cfRule>
    <cfRule type="cellIs" dxfId="6602" priority="336" operator="equal">
      <formula>"כ"</formula>
    </cfRule>
    <cfRule type="cellIs" dxfId="6601" priority="335" operator="equal">
      <formula>"כש"</formula>
    </cfRule>
    <cfRule type="cellIs" dxfId="6600" priority="334" operator="equal">
      <formula>"מיל"</formula>
    </cfRule>
    <cfRule type="cellIs" dxfId="6599" priority="333" operator="equal">
      <formula>"מנוחה"</formula>
    </cfRule>
    <cfRule type="cellIs" dxfId="6598" priority="332" operator="equal">
      <formula>"מ"</formula>
    </cfRule>
  </conditionalFormatting>
  <conditionalFormatting sqref="BV18:CB19">
    <cfRule type="cellIs" dxfId="6597" priority="319" operator="equal">
      <formula>"מיל"</formula>
    </cfRule>
    <cfRule type="cellIs" dxfId="6596" priority="320" operator="equal">
      <formula>"כש"</formula>
    </cfRule>
    <cfRule type="cellIs" dxfId="6595" priority="321" operator="equal">
      <formula>"כ"</formula>
    </cfRule>
    <cfRule type="cellIs" dxfId="6594" priority="312" operator="equal">
      <formula>"ל"</formula>
    </cfRule>
    <cfRule type="cellIs" dxfId="6593" priority="314" operator="equal">
      <formula>"כמש"</formula>
    </cfRule>
    <cfRule type="cellIs" dxfId="6592" priority="315" operator="equal">
      <formula>"כמ"</formula>
    </cfRule>
    <cfRule type="cellIs" dxfId="6591" priority="313" operator="equal">
      <formula>"י"</formula>
    </cfRule>
    <cfRule type="cellIs" dxfId="6590" priority="316" operator="equal">
      <formula>"ק"</formula>
    </cfRule>
    <cfRule type="cellIs" dxfId="6589" priority="317" operator="equal">
      <formula>"מ"</formula>
    </cfRule>
    <cfRule type="cellIs" dxfId="6588" priority="318" operator="equal">
      <formula>"מנוחה"</formula>
    </cfRule>
  </conditionalFormatting>
  <conditionalFormatting sqref="BV22:CB23">
    <cfRule type="cellIs" dxfId="6587" priority="305" operator="equal">
      <formula>"כש"</formula>
    </cfRule>
    <cfRule type="cellIs" dxfId="6586" priority="306" operator="equal">
      <formula>"כ"</formula>
    </cfRule>
    <cfRule type="cellIs" dxfId="6585" priority="300" operator="equal">
      <formula>"כמ"</formula>
    </cfRule>
    <cfRule type="cellIs" dxfId="6584" priority="303" operator="equal">
      <formula>"מנוחה"</formula>
    </cfRule>
    <cfRule type="cellIs" dxfId="6583" priority="302" operator="equal">
      <formula>"מ"</formula>
    </cfRule>
    <cfRule type="cellIs" dxfId="6582" priority="301" operator="equal">
      <formula>"ק"</formula>
    </cfRule>
    <cfRule type="cellIs" dxfId="6581" priority="304" operator="equal">
      <formula>"מיל"</formula>
    </cfRule>
    <cfRule type="cellIs" dxfId="6580" priority="297" operator="equal">
      <formula>"ל"</formula>
    </cfRule>
    <cfRule type="cellIs" dxfId="6579" priority="298" operator="equal">
      <formula>"י"</formula>
    </cfRule>
    <cfRule type="cellIs" dxfId="6578" priority="299" operator="equal">
      <formula>"כמש"</formula>
    </cfRule>
  </conditionalFormatting>
  <conditionalFormatting sqref="BV26:CB27">
    <cfRule type="cellIs" dxfId="6577" priority="287" operator="equal">
      <formula>"מ"</formula>
    </cfRule>
    <cfRule type="cellIs" dxfId="6576" priority="282" operator="equal">
      <formula>"ל"</formula>
    </cfRule>
    <cfRule type="cellIs" dxfId="6575" priority="283" operator="equal">
      <formula>"י"</formula>
    </cfRule>
    <cfRule type="cellIs" dxfId="6574" priority="284" operator="equal">
      <formula>"כמש"</formula>
    </cfRule>
    <cfRule type="cellIs" dxfId="6573" priority="285" operator="equal">
      <formula>"כמ"</formula>
    </cfRule>
    <cfRule type="cellIs" dxfId="6572" priority="286" operator="equal">
      <formula>"ק"</formula>
    </cfRule>
    <cfRule type="cellIs" dxfId="6571" priority="288" operator="equal">
      <formula>"מנוחה"</formula>
    </cfRule>
    <cfRule type="cellIs" dxfId="6570" priority="289" operator="equal">
      <formula>"מיל"</formula>
    </cfRule>
    <cfRule type="cellIs" dxfId="6569" priority="290" operator="equal">
      <formula>"כש"</formula>
    </cfRule>
    <cfRule type="cellIs" dxfId="6568" priority="291" operator="equal">
      <formula>"כ"</formula>
    </cfRule>
  </conditionalFormatting>
  <conditionalFormatting sqref="BV30:CB31">
    <cfRule type="cellIs" dxfId="6567" priority="269" operator="equal">
      <formula>"כמש"</formula>
    </cfRule>
    <cfRule type="cellIs" dxfId="6566" priority="268" operator="equal">
      <formula>"י"</formula>
    </cfRule>
    <cfRule type="cellIs" dxfId="6565" priority="267" operator="equal">
      <formula>"ל"</formula>
    </cfRule>
    <cfRule type="cellIs" dxfId="6564" priority="275" operator="equal">
      <formula>"כש"</formula>
    </cfRule>
    <cfRule type="cellIs" dxfId="6563" priority="276" operator="equal">
      <formula>"כ"</formula>
    </cfRule>
    <cfRule type="cellIs" dxfId="6562" priority="274" operator="equal">
      <formula>"מיל"</formula>
    </cfRule>
    <cfRule type="cellIs" dxfId="6561" priority="273" operator="equal">
      <formula>"מנוחה"</formula>
    </cfRule>
    <cfRule type="cellIs" dxfId="6560" priority="272" operator="equal">
      <formula>"מ"</formula>
    </cfRule>
    <cfRule type="cellIs" dxfId="6559" priority="271" operator="equal">
      <formula>"ק"</formula>
    </cfRule>
    <cfRule type="cellIs" dxfId="6558" priority="270" operator="equal">
      <formula>"כמ"</formula>
    </cfRule>
  </conditionalFormatting>
  <conditionalFormatting sqref="BV34:CB35">
    <cfRule type="cellIs" dxfId="6557" priority="261" operator="equal">
      <formula>"כ"</formula>
    </cfRule>
    <cfRule type="cellIs" dxfId="6556" priority="260" operator="equal">
      <formula>"כש"</formula>
    </cfRule>
    <cfRule type="cellIs" dxfId="6555" priority="252" operator="equal">
      <formula>"ל"</formula>
    </cfRule>
    <cfRule type="cellIs" dxfId="6554" priority="253" operator="equal">
      <formula>"י"</formula>
    </cfRule>
    <cfRule type="cellIs" dxfId="6553" priority="254" operator="equal">
      <formula>"כמש"</formula>
    </cfRule>
    <cfRule type="cellIs" dxfId="6552" priority="256" operator="equal">
      <formula>"ק"</formula>
    </cfRule>
    <cfRule type="cellIs" dxfId="6551" priority="257" operator="equal">
      <formula>"מ"</formula>
    </cfRule>
    <cfRule type="cellIs" dxfId="6550" priority="258" operator="equal">
      <formula>"מנוחה"</formula>
    </cfRule>
    <cfRule type="cellIs" dxfId="6549" priority="259" operator="equal">
      <formula>"מיל"</formula>
    </cfRule>
    <cfRule type="cellIs" dxfId="6548" priority="255" operator="equal">
      <formula>"כמ"</formula>
    </cfRule>
  </conditionalFormatting>
  <conditionalFormatting sqref="BW6:BW7 BY6:BY7 CA6:CA7">
    <cfRule type="cellIs" dxfId="6547" priority="370" operator="equal">
      <formula>"ח"</formula>
    </cfRule>
  </conditionalFormatting>
  <conditionalFormatting sqref="BW10:BW11 BY10:BY11 CA10:CA11">
    <cfRule type="cellIs" dxfId="6546" priority="355" operator="equal">
      <formula>"ח"</formula>
    </cfRule>
  </conditionalFormatting>
  <conditionalFormatting sqref="BW14:BW15 BY14:BY15 CA14:CA15">
    <cfRule type="cellIs" dxfId="6545" priority="340" operator="equal">
      <formula>"ח"</formula>
    </cfRule>
  </conditionalFormatting>
  <conditionalFormatting sqref="BW18:BW19 BY18:BY19 CA18:CA19">
    <cfRule type="cellIs" dxfId="6544" priority="325" operator="equal">
      <formula>"ח"</formula>
    </cfRule>
  </conditionalFormatting>
  <conditionalFormatting sqref="BW22:BW23 BY22:BY23 CA22:CA23">
    <cfRule type="cellIs" dxfId="6543" priority="310" operator="equal">
      <formula>"ח"</formula>
    </cfRule>
  </conditionalFormatting>
  <conditionalFormatting sqref="BW26:BW27 BY26:BY27 CA26:CA27">
    <cfRule type="cellIs" dxfId="6542" priority="295" operator="equal">
      <formula>"ח"</formula>
    </cfRule>
  </conditionalFormatting>
  <conditionalFormatting sqref="BW30:BW31 BY30:BY31 CA30:CA31">
    <cfRule type="cellIs" dxfId="6541" priority="280" operator="equal">
      <formula>"ח"</formula>
    </cfRule>
  </conditionalFormatting>
  <conditionalFormatting sqref="BW34:BW35 BY34:BY35 CA34:CA35">
    <cfRule type="cellIs" dxfId="6540" priority="265" operator="equal">
      <formula>"ח"</formula>
    </cfRule>
  </conditionalFormatting>
  <conditionalFormatting sqref="BX5 BX8:BX9 BX12:BX13 BX16:BX17 BX20:BX21 BX24:BX25 BX28:BX29 BX32:BX33">
    <cfRule type="cellIs" dxfId="6539" priority="754" operator="equal">
      <formula>"ח"</formula>
    </cfRule>
  </conditionalFormatting>
  <conditionalFormatting sqref="BX6:BX7">
    <cfRule type="cellIs" dxfId="6538" priority="368" operator="equal">
      <formula>"ח"</formula>
    </cfRule>
  </conditionalFormatting>
  <conditionalFormatting sqref="BX10:BX11">
    <cfRule type="cellIs" dxfId="6537" priority="353" operator="equal">
      <formula>"ח"</formula>
    </cfRule>
  </conditionalFormatting>
  <conditionalFormatting sqref="BX14:BX15">
    <cfRule type="cellIs" dxfId="6536" priority="338" operator="equal">
      <formula>"ח"</formula>
    </cfRule>
  </conditionalFormatting>
  <conditionalFormatting sqref="BX18:BX19">
    <cfRule type="cellIs" dxfId="6535" priority="323" operator="equal">
      <formula>"ח"</formula>
    </cfRule>
  </conditionalFormatting>
  <conditionalFormatting sqref="BX22:BX23">
    <cfRule type="cellIs" dxfId="6534" priority="308" operator="equal">
      <formula>"ח"</formula>
    </cfRule>
  </conditionalFormatting>
  <conditionalFormatting sqref="BX26:BX27">
    <cfRule type="cellIs" dxfId="6533" priority="293" operator="equal">
      <formula>"ח"</formula>
    </cfRule>
  </conditionalFormatting>
  <conditionalFormatting sqref="BX30:BX31">
    <cfRule type="cellIs" dxfId="6532" priority="278" operator="equal">
      <formula>"ח"</formula>
    </cfRule>
  </conditionalFormatting>
  <conditionalFormatting sqref="BX34:BX35">
    <cfRule type="cellIs" dxfId="6531" priority="263" operator="equal">
      <formula>"ח"</formula>
    </cfRule>
  </conditionalFormatting>
  <conditionalFormatting sqref="BX8:CB9">
    <cfRule type="cellIs" dxfId="6530" priority="9" operator="equal">
      <formula>"כש"</formula>
    </cfRule>
    <cfRule type="cellIs" dxfId="6529" priority="10" operator="equal">
      <formula>"כ"</formula>
    </cfRule>
  </conditionalFormatting>
  <conditionalFormatting sqref="BZ5 BZ8:BZ9 BZ12:BZ13 BZ16:BZ17 BZ20:BZ21 BZ24:BZ25 BZ28:BZ29 BZ32:BZ33">
    <cfRule type="cellIs" dxfId="6528" priority="743" operator="equal">
      <formula>"ח"</formula>
    </cfRule>
  </conditionalFormatting>
  <conditionalFormatting sqref="BZ6:BZ7">
    <cfRule type="cellIs" dxfId="6527" priority="367" operator="equal">
      <formula>"ח"</formula>
    </cfRule>
  </conditionalFormatting>
  <conditionalFormatting sqref="BZ10:BZ11">
    <cfRule type="cellIs" dxfId="6526" priority="352" operator="equal">
      <formula>"ח"</formula>
    </cfRule>
  </conditionalFormatting>
  <conditionalFormatting sqref="BZ14:BZ15">
    <cfRule type="cellIs" dxfId="6525" priority="337" operator="equal">
      <formula>"ח"</formula>
    </cfRule>
  </conditionalFormatting>
  <conditionalFormatting sqref="BZ18:BZ19">
    <cfRule type="cellIs" dxfId="6524" priority="322" operator="equal">
      <formula>"ח"</formula>
    </cfRule>
  </conditionalFormatting>
  <conditionalFormatting sqref="BZ22:BZ23">
    <cfRule type="cellIs" dxfId="6523" priority="307" operator="equal">
      <formula>"ח"</formula>
    </cfRule>
  </conditionalFormatting>
  <conditionalFormatting sqref="BZ26:BZ27">
    <cfRule type="cellIs" dxfId="6522" priority="292" operator="equal">
      <formula>"ח"</formula>
    </cfRule>
  </conditionalFormatting>
  <conditionalFormatting sqref="BZ30:BZ31">
    <cfRule type="cellIs" dxfId="6521" priority="277" operator="equal">
      <formula>"ח"</formula>
    </cfRule>
  </conditionalFormatting>
  <conditionalFormatting sqref="BZ34:BZ35">
    <cfRule type="cellIs" dxfId="6520" priority="262" operator="equal">
      <formula>"ח"</formula>
    </cfRule>
  </conditionalFormatting>
  <conditionalFormatting sqref="CB5 CB12:CB13 CB16:CB17 CB20:CB21 CB24:CB25 CB28:CB29 CB32:CB33">
    <cfRule type="cellIs" dxfId="6519" priority="732" operator="equal">
      <formula>"ח"</formula>
    </cfRule>
  </conditionalFormatting>
  <conditionalFormatting sqref="CB6:CB11">
    <cfRule type="cellIs" dxfId="6518" priority="341" operator="equal">
      <formula>"ח"</formula>
    </cfRule>
  </conditionalFormatting>
  <conditionalFormatting sqref="CB8:CB9">
    <cfRule type="cellIs" dxfId="6517" priority="3" operator="equal">
      <formula>"כמש"</formula>
    </cfRule>
    <cfRule type="cellIs" dxfId="6516" priority="5" operator="equal">
      <formula>"ק"</formula>
    </cfRule>
    <cfRule type="cellIs" dxfId="6515" priority="6" operator="equal">
      <formula>"מ"</formula>
    </cfRule>
    <cfRule type="cellIs" dxfId="6514" priority="7" operator="equal">
      <formula>"מנוחה"</formula>
    </cfRule>
    <cfRule type="cellIs" dxfId="6513" priority="8" operator="equal">
      <formula>"מיל"</formula>
    </cfRule>
    <cfRule type="cellIs" dxfId="6512" priority="1" operator="equal">
      <formula>"ל"</formula>
    </cfRule>
    <cfRule type="cellIs" dxfId="6511" priority="2" operator="equal">
      <formula>"י"</formula>
    </cfRule>
    <cfRule type="cellIs" dxfId="6510" priority="4" operator="equal">
      <formula>"כמ"</formula>
    </cfRule>
  </conditionalFormatting>
  <conditionalFormatting sqref="CB14:CB15">
    <cfRule type="cellIs" dxfId="6509" priority="326" operator="equal">
      <formula>"ח"</formula>
    </cfRule>
  </conditionalFormatting>
  <conditionalFormatting sqref="CB18:CB19">
    <cfRule type="cellIs" dxfId="6508" priority="311" operator="equal">
      <formula>"ח"</formula>
    </cfRule>
  </conditionalFormatting>
  <conditionalFormatting sqref="CB22:CB23">
    <cfRule type="cellIs" dxfId="6507" priority="296" operator="equal">
      <formula>"ח"</formula>
    </cfRule>
  </conditionalFormatting>
  <conditionalFormatting sqref="CB26:CB27">
    <cfRule type="cellIs" dxfId="6506" priority="281" operator="equal">
      <formula>"ח"</formula>
    </cfRule>
  </conditionalFormatting>
  <conditionalFormatting sqref="CB30:CB31">
    <cfRule type="cellIs" dxfId="6505" priority="266" operator="equal">
      <formula>"ח"</formula>
    </cfRule>
  </conditionalFormatting>
  <conditionalFormatting sqref="CB34:CB35">
    <cfRule type="cellIs" dxfId="6504" priority="251" operator="equal">
      <formula>"ח"</formula>
    </cfRule>
  </conditionalFormatting>
  <conditionalFormatting sqref="CE5 CC5:CD35">
    <cfRule type="cellIs" dxfId="6503" priority="494" operator="equal">
      <formula>"כמ"</formula>
    </cfRule>
    <cfRule type="cellIs" dxfId="6502" priority="497" operator="equal">
      <formula>"מנוחה"</formula>
    </cfRule>
    <cfRule type="cellIs" dxfId="6501" priority="501" operator="equal">
      <formula>"כ"</formula>
    </cfRule>
    <cfRule type="cellIs" dxfId="6500" priority="493" operator="equal">
      <formula>"כמש"</formula>
    </cfRule>
    <cfRule type="cellIs" dxfId="6499" priority="498" operator="equal">
      <formula>"מיל"</formula>
    </cfRule>
    <cfRule type="cellIs" dxfId="6498" priority="496" operator="equal">
      <formula>"מ"</formula>
    </cfRule>
    <cfRule type="cellIs" dxfId="6497" priority="500" operator="equal">
      <formula>"כש"</formula>
    </cfRule>
    <cfRule type="cellIs" dxfId="6496" priority="492" operator="equal">
      <formula>"י"</formula>
    </cfRule>
    <cfRule type="cellIs" dxfId="6495" priority="491" operator="equal">
      <formula>"ל"</formula>
    </cfRule>
    <cfRule type="cellIs" dxfId="6494" priority="499" operator="equal">
      <formula>"ח"</formula>
    </cfRule>
    <cfRule type="cellIs" dxfId="6493" priority="495" operator="equal">
      <formula>"ק"</formula>
    </cfRule>
  </conditionalFormatting>
  <conditionalFormatting sqref="CF5:CG35">
    <cfRule type="cellIs" dxfId="6492" priority="957" operator="lessThan">
      <formula>4</formula>
    </cfRule>
  </conditionalFormatting>
  <hyperlinks>
    <hyperlink ref="X4:Y4" r:id="rId11" tooltip="עדכון במייל" display="עדכון במייל" xr:uid="{00000000-0004-0000-04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400-000000000000}">
          <x14:formula1>
            <xm:f>מיילים!$M$2:$M$38</xm:f>
          </x14:formula1>
          <xm:sqref>BQ3:BR3 BC3</xm:sqref>
        </x14:dataValidation>
        <x14:dataValidation type="list" allowBlank="1" showInputMessage="1" showErrorMessage="1" xr:uid="{00000000-0002-0000-0400-000001000000}">
          <x14:formula1>
            <xm:f>מיילים!$M$2:$M$31</xm:f>
          </x14:formula1>
          <xm:sqref>P3:Q3 AW3:AZ3 BS3:CA3 BE3:BO3 AD3:AE3 D3:N3</xm:sqref>
        </x14:dataValidation>
        <x14:dataValidation type="list" allowBlank="1" showInputMessage="1" showErrorMessage="1" xr:uid="{00000000-0002-0000-0400-000002000000}">
          <x14:formula1>
            <xm:f>מיילים!$M$3:$M$37</xm:f>
          </x14:formula1>
          <xm:sqref>R3:S3 V3:W3</xm:sqref>
        </x14:dataValidation>
        <x14:dataValidation type="list" allowBlank="1" showInputMessage="1" showErrorMessage="1" xr:uid="{00000000-0002-0000-0400-000003000000}">
          <x14:formula1>
            <xm:f>מיילים!$M$2:$M$36</xm:f>
          </x14:formula1>
          <xm:sqref>T3:U3</xm:sqref>
        </x14:dataValidation>
        <x14:dataValidation type="list" allowBlank="1" showInputMessage="1" xr:uid="{00000000-0002-0000-0400-000004000000}">
          <x14:formula1>
            <xm:f>מקרא!$B$5:$B$60</xm:f>
          </x14:formula1>
          <xm:sqref>AH26:AO35 AI24:AO25 AJ19:AO20 R14:X15 D18:AC18 AF18:AG18 D5:X13 D14:P15 AD5:AE24 AW5:CB35 Y5:AO8 Y10:AO14 D16:AO17 Y15:AJ15 AL15 AN15:AO15 AH23:AO23 AH22:AN22 Y9:AE9 AN9:AO9 AG9:AJ9 AL9 AI18:AN18 X21:AO21 D19:AH20 D21:V21 D22:AG35</xm:sqref>
        </x14:dataValidation>
        <x14:dataValidation type="list" allowBlank="1" showInputMessage="1" showErrorMessage="1" xr:uid="{00000000-0002-0000-0400-000005000000}">
          <x14:formula1>
            <xm:f>מיילים!$M$2:$M$40</xm:f>
          </x14:formula1>
          <xm:sqref>X3:AO3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K38"/>
  <sheetViews>
    <sheetView rightToLeft="1" zoomScale="80" zoomScaleNormal="80" workbookViewId="0">
      <pane ySplit="4" topLeftCell="A5" activePane="bottomLeft" state="frozen"/>
      <selection pane="bottomLeft" activeCell="T5" sqref="T5"/>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31" width="6.1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288</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0">
        <v>6</v>
      </c>
      <c r="AU1" s="341"/>
      <c r="AV1" s="342"/>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366">
        <v>6</v>
      </c>
      <c r="CD1" s="367"/>
      <c r="CE1" s="368"/>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69"/>
      <c r="CD2" s="370"/>
      <c r="CE2" s="371"/>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557"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5"/>
      <c r="BO3" s="533" t="s">
        <v>21</v>
      </c>
      <c r="BP3" s="534"/>
      <c r="BQ3" s="533" t="s">
        <v>23</v>
      </c>
      <c r="BR3" s="534"/>
      <c r="BS3" s="535" t="s">
        <v>28</v>
      </c>
      <c r="BT3" s="536"/>
      <c r="BU3" s="393"/>
      <c r="BV3" s="394"/>
      <c r="BW3" s="395" t="s">
        <v>30</v>
      </c>
      <c r="BX3" s="395"/>
      <c r="BY3" s="395" t="s">
        <v>31</v>
      </c>
      <c r="BZ3" s="395"/>
      <c r="CA3" s="396" t="s">
        <v>227</v>
      </c>
      <c r="CB3" s="397"/>
      <c r="CC3" s="369"/>
      <c r="CD3" s="370"/>
      <c r="CE3" s="371"/>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384"/>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6"/>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576"/>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72"/>
      <c r="CD4" s="373"/>
      <c r="CE4" s="374"/>
      <c r="CF4" s="24" t="s">
        <v>38</v>
      </c>
      <c r="CG4" s="23" t="s">
        <v>39</v>
      </c>
      <c r="CH4" s="95" t="s">
        <v>36</v>
      </c>
      <c r="CI4" s="95" t="s">
        <v>37</v>
      </c>
      <c r="CJ4" s="412"/>
      <c r="CK4" s="413"/>
    </row>
    <row r="5" spans="1:89" ht="15" customHeight="1">
      <c r="A5" s="142">
        <v>1</v>
      </c>
      <c r="B5" s="145" t="s">
        <v>133</v>
      </c>
      <c r="C5" s="455">
        <v>23</v>
      </c>
      <c r="D5" s="84"/>
      <c r="E5" s="80"/>
      <c r="F5" s="84"/>
      <c r="G5" s="80"/>
      <c r="H5" s="133"/>
      <c r="I5" s="80"/>
      <c r="J5" s="84"/>
      <c r="K5" s="80"/>
      <c r="L5" s="133"/>
      <c r="M5" s="80"/>
      <c r="N5" s="84"/>
      <c r="O5" s="87"/>
      <c r="P5" s="84"/>
      <c r="Q5" s="80"/>
      <c r="R5" s="133"/>
      <c r="S5" s="80"/>
      <c r="T5" s="257" t="s">
        <v>41</v>
      </c>
      <c r="U5" s="80"/>
      <c r="V5" s="133"/>
      <c r="W5" s="80"/>
      <c r="X5" s="97"/>
      <c r="Y5" s="80"/>
      <c r="Z5" s="84"/>
      <c r="AA5" s="80"/>
      <c r="AB5" s="84"/>
      <c r="AC5" s="80"/>
      <c r="AD5" s="97"/>
      <c r="AE5" s="80"/>
      <c r="AF5" s="84"/>
      <c r="AG5" s="80"/>
      <c r="AH5" s="84"/>
      <c r="AI5" s="80"/>
      <c r="AJ5" s="84"/>
      <c r="AK5" s="80"/>
      <c r="AL5" s="84"/>
      <c r="AM5" s="80"/>
      <c r="AN5" s="84"/>
      <c r="AO5" s="80"/>
      <c r="AP5" s="294" t="s">
        <v>338</v>
      </c>
      <c r="AQ5" s="287"/>
      <c r="AR5" s="33"/>
      <c r="AS5" s="34"/>
      <c r="AT5" s="142">
        <v>1</v>
      </c>
      <c r="AU5" s="145" t="s">
        <v>133</v>
      </c>
      <c r="AV5" s="455">
        <v>23</v>
      </c>
      <c r="AW5" s="84"/>
      <c r="AX5" s="67" t="s">
        <v>34</v>
      </c>
      <c r="AY5" s="69"/>
      <c r="AZ5" s="67" t="s">
        <v>34</v>
      </c>
      <c r="BA5" s="69"/>
      <c r="BB5" s="159" t="s">
        <v>41</v>
      </c>
      <c r="BC5" s="87"/>
      <c r="BD5" s="67" t="s">
        <v>34</v>
      </c>
      <c r="BE5" s="84"/>
      <c r="BF5" s="67" t="s">
        <v>33</v>
      </c>
      <c r="BG5" s="69"/>
      <c r="BH5" s="67" t="s">
        <v>33</v>
      </c>
      <c r="BI5" s="69"/>
      <c r="BJ5" s="72" t="s">
        <v>33</v>
      </c>
      <c r="BK5" s="87"/>
      <c r="BL5" s="67" t="s">
        <v>33</v>
      </c>
      <c r="BM5" s="37"/>
      <c r="BN5" s="74" t="s">
        <v>42</v>
      </c>
      <c r="BO5" s="72"/>
      <c r="BP5" s="74"/>
      <c r="BQ5" s="72"/>
      <c r="BR5" s="72"/>
      <c r="BS5" s="78"/>
      <c r="BT5" s="74"/>
      <c r="BU5" s="96"/>
      <c r="BV5" s="67"/>
      <c r="BW5" s="69"/>
      <c r="BX5" s="67"/>
      <c r="BY5" s="69"/>
      <c r="BZ5" s="69"/>
      <c r="CA5" s="97"/>
      <c r="CB5" s="67"/>
      <c r="CC5" s="142">
        <v>1</v>
      </c>
      <c r="CD5" s="145" t="s">
        <v>133</v>
      </c>
      <c r="CE5" s="455">
        <v>22</v>
      </c>
      <c r="CF5" s="311">
        <f t="shared" ref="CF5:CF34" si="0">COUNTIF(AX5:CB5,"י")+COUNTIF(AX5:CB5,"Y")+COUNTIF(AX5:CB5,"2")</f>
        <v>4</v>
      </c>
      <c r="CG5" s="76">
        <f t="shared" ref="CG5:CG34" si="1">COUNTIF(AW5:CB5,"ל")+COUNTIF(AW5:CB5,"L")+COUNTIF(AW5:CB5,"ל2")</f>
        <v>3</v>
      </c>
      <c r="CH5" s="93"/>
      <c r="CI5" s="94"/>
      <c r="CJ5" s="449"/>
      <c r="CK5" s="450"/>
    </row>
    <row r="6" spans="1:89" ht="15" customHeight="1">
      <c r="A6" s="142">
        <v>2</v>
      </c>
      <c r="B6" s="145" t="s">
        <v>127</v>
      </c>
      <c r="C6" s="455"/>
      <c r="D6" s="14"/>
      <c r="E6" s="65"/>
      <c r="F6" s="14"/>
      <c r="G6" s="65"/>
      <c r="H6" s="14"/>
      <c r="I6" s="65"/>
      <c r="J6" s="14"/>
      <c r="K6" s="65"/>
      <c r="L6" s="14"/>
      <c r="M6" s="65"/>
      <c r="N6" s="14"/>
      <c r="O6" s="58"/>
      <c r="P6" s="14"/>
      <c r="Q6" s="65"/>
      <c r="R6" s="15"/>
      <c r="S6" s="65"/>
      <c r="T6" s="15"/>
      <c r="U6" s="65"/>
      <c r="V6" s="15"/>
      <c r="W6" s="65"/>
      <c r="X6" s="300" t="s">
        <v>147</v>
      </c>
      <c r="Y6" s="80"/>
      <c r="Z6" s="14"/>
      <c r="AA6" s="65"/>
      <c r="AB6" s="14"/>
      <c r="AC6" s="65"/>
      <c r="AD6" s="15"/>
      <c r="AE6" s="65"/>
      <c r="AF6" s="14"/>
      <c r="AG6" s="80"/>
      <c r="AH6" s="14"/>
      <c r="AI6" s="65"/>
      <c r="AJ6" s="14"/>
      <c r="AK6" s="65"/>
      <c r="AL6" s="14"/>
      <c r="AM6" s="65"/>
      <c r="AN6" s="14"/>
      <c r="AO6" s="65"/>
      <c r="AP6" s="294" t="s">
        <v>338</v>
      </c>
      <c r="AQ6" s="284"/>
      <c r="AR6" s="33"/>
      <c r="AS6" s="34"/>
      <c r="AT6" s="142">
        <v>2</v>
      </c>
      <c r="AU6" s="145" t="s">
        <v>127</v>
      </c>
      <c r="AV6" s="455"/>
      <c r="AW6" s="14"/>
      <c r="AX6" s="70"/>
      <c r="AY6" s="72"/>
      <c r="AZ6" s="70"/>
      <c r="BA6" s="72"/>
      <c r="BB6" s="159" t="s">
        <v>41</v>
      </c>
      <c r="BC6" s="58"/>
      <c r="BD6" s="70"/>
      <c r="BE6" s="14"/>
      <c r="BF6" s="70" t="s">
        <v>34</v>
      </c>
      <c r="BG6" s="72"/>
      <c r="BH6" s="70" t="s">
        <v>34</v>
      </c>
      <c r="BI6" s="72"/>
      <c r="BJ6" s="72" t="s">
        <v>34</v>
      </c>
      <c r="BK6" s="58"/>
      <c r="BL6" s="70" t="s">
        <v>34</v>
      </c>
      <c r="BM6" s="84"/>
      <c r="BN6" s="74" t="s">
        <v>42</v>
      </c>
      <c r="BO6" s="69"/>
      <c r="BP6" s="67" t="s">
        <v>33</v>
      </c>
      <c r="BQ6" s="69"/>
      <c r="BR6" s="72" t="s">
        <v>33</v>
      </c>
      <c r="BS6" s="87"/>
      <c r="BT6" s="67" t="s">
        <v>33</v>
      </c>
      <c r="BU6" s="96"/>
      <c r="BV6" s="67"/>
      <c r="BW6" s="69"/>
      <c r="BX6" s="67"/>
      <c r="BY6" s="69"/>
      <c r="BZ6" s="69"/>
      <c r="CA6" s="97"/>
      <c r="CB6" s="67"/>
      <c r="CC6" s="142">
        <v>2</v>
      </c>
      <c r="CD6" s="145" t="s">
        <v>127</v>
      </c>
      <c r="CE6" s="455"/>
      <c r="CF6" s="311">
        <f t="shared" si="0"/>
        <v>3</v>
      </c>
      <c r="CG6" s="76">
        <f t="shared" si="1"/>
        <v>4</v>
      </c>
      <c r="CH6" s="27"/>
      <c r="CI6" s="28"/>
      <c r="CJ6" s="449"/>
      <c r="CK6" s="450"/>
    </row>
    <row r="7" spans="1:89" ht="15" customHeight="1">
      <c r="A7" s="142">
        <v>3</v>
      </c>
      <c r="B7" s="145" t="s">
        <v>128</v>
      </c>
      <c r="C7" s="455"/>
      <c r="D7" s="14"/>
      <c r="E7" s="65"/>
      <c r="F7" s="14"/>
      <c r="G7" s="65"/>
      <c r="H7" s="112"/>
      <c r="I7" s="65"/>
      <c r="J7" s="14"/>
      <c r="K7" s="65"/>
      <c r="L7" s="112"/>
      <c r="M7" s="65"/>
      <c r="N7" s="14"/>
      <c r="O7" s="58"/>
      <c r="P7" s="14"/>
      <c r="Q7" s="65"/>
      <c r="R7" s="112"/>
      <c r="S7" s="65"/>
      <c r="T7" s="112"/>
      <c r="U7" s="65"/>
      <c r="V7" s="112"/>
      <c r="W7" s="65"/>
      <c r="X7" s="15"/>
      <c r="Y7" s="80"/>
      <c r="Z7" s="14"/>
      <c r="AA7" s="65"/>
      <c r="AB7" s="14"/>
      <c r="AC7" s="65"/>
      <c r="AD7" s="15"/>
      <c r="AE7" s="65"/>
      <c r="AF7" s="14"/>
      <c r="AG7" s="80"/>
      <c r="AH7" s="14"/>
      <c r="AI7" s="65"/>
      <c r="AJ7" s="14"/>
      <c r="AK7" s="65"/>
      <c r="AL7" s="14"/>
      <c r="AM7" s="65"/>
      <c r="AN7" s="14"/>
      <c r="AO7" s="65"/>
      <c r="AP7" s="509"/>
      <c r="AQ7" s="510"/>
      <c r="AR7" s="33"/>
      <c r="AS7" s="34"/>
      <c r="AT7" s="142">
        <v>3</v>
      </c>
      <c r="AU7" s="145" t="s">
        <v>128</v>
      </c>
      <c r="AV7" s="455"/>
      <c r="AW7" s="14"/>
      <c r="AX7" s="70"/>
      <c r="AY7" s="72"/>
      <c r="AZ7" s="70"/>
      <c r="BA7" s="72"/>
      <c r="BB7" s="159" t="s">
        <v>41</v>
      </c>
      <c r="BC7" s="58"/>
      <c r="BD7" s="70"/>
      <c r="BE7" s="14"/>
      <c r="BF7" s="70"/>
      <c r="BG7" s="72"/>
      <c r="BH7" s="70"/>
      <c r="BI7" s="72"/>
      <c r="BJ7" s="72"/>
      <c r="BK7" s="58"/>
      <c r="BL7" s="70"/>
      <c r="BM7" s="14"/>
      <c r="BN7" s="70" t="s">
        <v>34</v>
      </c>
      <c r="BO7" s="72"/>
      <c r="BP7" s="70" t="s">
        <v>34</v>
      </c>
      <c r="BQ7" s="72"/>
      <c r="BR7" s="72" t="s">
        <v>34</v>
      </c>
      <c r="BS7" s="58"/>
      <c r="BT7" s="70" t="s">
        <v>34</v>
      </c>
      <c r="BU7" s="84"/>
      <c r="BV7" s="67"/>
      <c r="BW7" s="69"/>
      <c r="BX7" s="67" t="s">
        <v>33</v>
      </c>
      <c r="BY7" s="69"/>
      <c r="BZ7" s="72" t="s">
        <v>33</v>
      </c>
      <c r="CA7" s="87"/>
      <c r="CB7" s="67" t="s">
        <v>33</v>
      </c>
      <c r="CC7" s="142">
        <v>3</v>
      </c>
      <c r="CD7" s="145" t="s">
        <v>128</v>
      </c>
      <c r="CE7" s="455"/>
      <c r="CF7" s="311">
        <f t="shared" si="0"/>
        <v>3</v>
      </c>
      <c r="CG7" s="76">
        <f t="shared" si="1"/>
        <v>4</v>
      </c>
      <c r="CH7" s="27"/>
      <c r="CI7" s="28"/>
      <c r="CJ7" s="449"/>
      <c r="CK7" s="450"/>
    </row>
    <row r="8" spans="1:89" ht="15" customHeight="1">
      <c r="A8" s="142">
        <v>4</v>
      </c>
      <c r="B8" s="145" t="s">
        <v>129</v>
      </c>
      <c r="C8" s="455"/>
      <c r="D8" s="14"/>
      <c r="E8" s="65"/>
      <c r="F8" s="14"/>
      <c r="G8" s="65"/>
      <c r="H8" s="14"/>
      <c r="I8" s="65"/>
      <c r="J8" s="14"/>
      <c r="K8" s="65"/>
      <c r="L8" s="14"/>
      <c r="M8" s="65"/>
      <c r="N8" s="14"/>
      <c r="O8" s="58"/>
      <c r="P8" s="14"/>
      <c r="Q8" s="65"/>
      <c r="R8" s="15"/>
      <c r="S8" s="65"/>
      <c r="T8" s="15"/>
      <c r="U8" s="65"/>
      <c r="V8" s="15"/>
      <c r="W8" s="65"/>
      <c r="X8" s="15"/>
      <c r="Y8" s="80"/>
      <c r="Z8" s="14"/>
      <c r="AA8" s="65"/>
      <c r="AB8" s="14"/>
      <c r="AC8" s="65"/>
      <c r="AD8" s="15"/>
      <c r="AE8" s="65"/>
      <c r="AF8" s="14"/>
      <c r="AG8" s="80"/>
      <c r="AH8" s="14"/>
      <c r="AI8" s="65"/>
      <c r="AJ8" s="14"/>
      <c r="AK8" s="65"/>
      <c r="AL8" s="14"/>
      <c r="AM8" s="65"/>
      <c r="AN8" s="14"/>
      <c r="AO8" s="65"/>
      <c r="AP8" s="509"/>
      <c r="AQ8" s="510"/>
      <c r="AR8" s="33"/>
      <c r="AS8" s="34"/>
      <c r="AT8" s="142">
        <v>4</v>
      </c>
      <c r="AU8" s="145" t="s">
        <v>129</v>
      </c>
      <c r="AV8" s="455"/>
      <c r="AW8" s="84"/>
      <c r="AX8" s="67" t="s">
        <v>33</v>
      </c>
      <c r="AY8" s="69"/>
      <c r="AZ8" s="67" t="s">
        <v>33</v>
      </c>
      <c r="BA8" s="69"/>
      <c r="BB8" s="159" t="s">
        <v>41</v>
      </c>
      <c r="BC8" s="87"/>
      <c r="BD8" s="67" t="s">
        <v>33</v>
      </c>
      <c r="BE8" s="14"/>
      <c r="BF8" s="70"/>
      <c r="BG8" s="72"/>
      <c r="BH8" s="70"/>
      <c r="BI8" s="72"/>
      <c r="BJ8" s="72"/>
      <c r="BK8" s="58"/>
      <c r="BL8" s="70"/>
      <c r="BM8" s="37"/>
      <c r="BN8" s="70"/>
      <c r="BO8" s="72"/>
      <c r="BP8" s="70"/>
      <c r="BQ8" s="72"/>
      <c r="BR8" s="72"/>
      <c r="BS8" s="15"/>
      <c r="BT8" s="70"/>
      <c r="BU8" s="14"/>
      <c r="BV8" s="70"/>
      <c r="BW8" s="72"/>
      <c r="BX8" s="70" t="s">
        <v>34</v>
      </c>
      <c r="BY8" s="72"/>
      <c r="BZ8" s="72" t="s">
        <v>34</v>
      </c>
      <c r="CA8" s="58"/>
      <c r="CB8" s="70" t="s">
        <v>34</v>
      </c>
      <c r="CC8" s="142">
        <v>4</v>
      </c>
      <c r="CD8" s="145" t="s">
        <v>129</v>
      </c>
      <c r="CE8" s="455"/>
      <c r="CF8" s="311">
        <f t="shared" si="0"/>
        <v>3</v>
      </c>
      <c r="CG8" s="76">
        <f t="shared" si="1"/>
        <v>3</v>
      </c>
      <c r="CH8" s="27"/>
      <c r="CI8" s="28"/>
      <c r="CJ8" s="449"/>
      <c r="CK8" s="450"/>
    </row>
    <row r="9" spans="1:89" ht="15" customHeight="1">
      <c r="A9" s="22">
        <v>5</v>
      </c>
      <c r="B9" s="13" t="s">
        <v>130</v>
      </c>
      <c r="C9" s="455"/>
      <c r="D9" s="16"/>
      <c r="E9" s="17"/>
      <c r="F9" s="16"/>
      <c r="G9" s="17"/>
      <c r="H9" s="16"/>
      <c r="I9" s="17"/>
      <c r="J9" s="16"/>
      <c r="K9" s="17"/>
      <c r="L9" s="16"/>
      <c r="M9" s="17"/>
      <c r="N9" s="16"/>
      <c r="O9" s="59"/>
      <c r="P9" s="16"/>
      <c r="Q9" s="17"/>
      <c r="R9" s="18"/>
      <c r="S9" s="17"/>
      <c r="T9" s="18"/>
      <c r="U9" s="17"/>
      <c r="V9" s="18"/>
      <c r="W9" s="17"/>
      <c r="X9" s="18"/>
      <c r="Y9" s="82"/>
      <c r="Z9" s="16"/>
      <c r="AA9" s="17"/>
      <c r="AB9" s="16"/>
      <c r="AC9" s="17"/>
      <c r="AD9" s="18"/>
      <c r="AE9" s="17"/>
      <c r="AF9" s="16"/>
      <c r="AG9" s="82"/>
      <c r="AH9" s="16"/>
      <c r="AI9" s="17"/>
      <c r="AJ9" s="16"/>
      <c r="AK9" s="17"/>
      <c r="AL9" s="16"/>
      <c r="AM9" s="17"/>
      <c r="AN9" s="16"/>
      <c r="AO9" s="17"/>
      <c r="AP9" s="529"/>
      <c r="AQ9" s="530"/>
      <c r="AR9" s="104"/>
      <c r="AS9" s="105"/>
      <c r="AT9" s="22">
        <v>5</v>
      </c>
      <c r="AU9" s="13" t="s">
        <v>130</v>
      </c>
      <c r="AV9" s="455"/>
      <c r="AW9" s="16"/>
      <c r="AX9" s="71" t="s">
        <v>34</v>
      </c>
      <c r="AY9" s="73"/>
      <c r="AZ9" s="71" t="s">
        <v>34</v>
      </c>
      <c r="BA9" s="73"/>
      <c r="BB9" s="73" t="s">
        <v>34</v>
      </c>
      <c r="BC9" s="59"/>
      <c r="BD9" s="71" t="s">
        <v>34</v>
      </c>
      <c r="BE9" s="81"/>
      <c r="BF9" s="71" t="s">
        <v>33</v>
      </c>
      <c r="BG9" s="68"/>
      <c r="BH9" s="66" t="s">
        <v>33</v>
      </c>
      <c r="BI9" s="68"/>
      <c r="BJ9" s="73" t="s">
        <v>33</v>
      </c>
      <c r="BK9" s="110"/>
      <c r="BL9" s="66" t="s">
        <v>33</v>
      </c>
      <c r="BM9" s="38"/>
      <c r="BN9" s="71"/>
      <c r="BO9" s="73"/>
      <c r="BP9" s="71"/>
      <c r="BQ9" s="73"/>
      <c r="BR9" s="73"/>
      <c r="BS9" s="18"/>
      <c r="BT9" s="71"/>
      <c r="BU9" s="108"/>
      <c r="BV9" s="66"/>
      <c r="BW9" s="68"/>
      <c r="BX9" s="66"/>
      <c r="BY9" s="68"/>
      <c r="BZ9" s="68"/>
      <c r="CA9" s="83"/>
      <c r="CB9" s="66"/>
      <c r="CC9" s="22">
        <v>5</v>
      </c>
      <c r="CD9" s="13" t="s">
        <v>130</v>
      </c>
      <c r="CE9" s="455"/>
      <c r="CF9" s="311">
        <f t="shared" si="0"/>
        <v>4</v>
      </c>
      <c r="CG9" s="76">
        <f t="shared" si="1"/>
        <v>4</v>
      </c>
      <c r="CH9" s="27"/>
      <c r="CI9" s="28"/>
      <c r="CJ9" s="449"/>
      <c r="CK9" s="450"/>
    </row>
    <row r="10" spans="1:89" ht="15" customHeight="1">
      <c r="A10" s="22">
        <v>6</v>
      </c>
      <c r="B10" s="13" t="s">
        <v>131</v>
      </c>
      <c r="C10" s="455"/>
      <c r="D10" s="16"/>
      <c r="E10" s="17"/>
      <c r="F10" s="16"/>
      <c r="G10" s="17"/>
      <c r="H10" s="16"/>
      <c r="I10" s="17"/>
      <c r="J10" s="16"/>
      <c r="K10" s="17"/>
      <c r="L10" s="16"/>
      <c r="M10" s="17"/>
      <c r="N10" s="16"/>
      <c r="O10" s="59"/>
      <c r="P10" s="16"/>
      <c r="Q10" s="17"/>
      <c r="R10" s="18"/>
      <c r="S10" s="17"/>
      <c r="T10" s="18"/>
      <c r="U10" s="17"/>
      <c r="V10" s="18"/>
      <c r="W10" s="17"/>
      <c r="X10" s="18"/>
      <c r="Y10" s="82"/>
      <c r="Z10" s="16"/>
      <c r="AA10" s="17"/>
      <c r="AB10" s="16"/>
      <c r="AC10" s="17"/>
      <c r="AD10" s="18"/>
      <c r="AE10" s="17"/>
      <c r="AF10" s="16"/>
      <c r="AG10" s="82"/>
      <c r="AH10" s="16"/>
      <c r="AI10" s="17"/>
      <c r="AJ10" s="16"/>
      <c r="AK10" s="17"/>
      <c r="AL10" s="16"/>
      <c r="AM10" s="17"/>
      <c r="AN10" s="16"/>
      <c r="AO10" s="17"/>
      <c r="AP10" s="525"/>
      <c r="AQ10" s="526"/>
      <c r="AR10" s="104"/>
      <c r="AS10" s="105"/>
      <c r="AT10" s="22">
        <v>6</v>
      </c>
      <c r="AU10" s="13" t="s">
        <v>131</v>
      </c>
      <c r="AV10" s="455"/>
      <c r="AW10" s="16"/>
      <c r="AX10" s="71"/>
      <c r="AY10" s="73"/>
      <c r="AZ10" s="71"/>
      <c r="BA10" s="73"/>
      <c r="BB10" s="73"/>
      <c r="BC10" s="59"/>
      <c r="BD10" s="71"/>
      <c r="BE10" s="16"/>
      <c r="BF10" s="71" t="s">
        <v>34</v>
      </c>
      <c r="BG10" s="73"/>
      <c r="BH10" s="71" t="s">
        <v>34</v>
      </c>
      <c r="BI10" s="73"/>
      <c r="BJ10" s="73" t="s">
        <v>34</v>
      </c>
      <c r="BK10" s="59"/>
      <c r="BL10" s="71" t="s">
        <v>34</v>
      </c>
      <c r="BM10" s="81"/>
      <c r="BN10" s="66" t="s">
        <v>33</v>
      </c>
      <c r="BO10" s="68"/>
      <c r="BP10" s="66" t="s">
        <v>33</v>
      </c>
      <c r="BQ10" s="68"/>
      <c r="BR10" s="73" t="s">
        <v>33</v>
      </c>
      <c r="BS10" s="110"/>
      <c r="BT10" s="70" t="s">
        <v>61</v>
      </c>
      <c r="BU10" s="108"/>
      <c r="BV10" s="66"/>
      <c r="BW10" s="68"/>
      <c r="BX10" s="66"/>
      <c r="BY10" s="68"/>
      <c r="BZ10" s="68"/>
      <c r="CA10" s="83"/>
      <c r="CB10" s="66"/>
      <c r="CC10" s="22">
        <v>6</v>
      </c>
      <c r="CD10" s="13" t="s">
        <v>131</v>
      </c>
      <c r="CE10" s="455"/>
      <c r="CF10" s="311">
        <f t="shared" si="0"/>
        <v>3</v>
      </c>
      <c r="CG10" s="76">
        <f t="shared" si="1"/>
        <v>4</v>
      </c>
      <c r="CH10" s="27"/>
      <c r="CI10" s="28"/>
      <c r="CJ10" s="449"/>
      <c r="CK10" s="450"/>
    </row>
    <row r="11" spans="1:89" ht="15" customHeight="1">
      <c r="A11" s="142">
        <v>7</v>
      </c>
      <c r="B11" s="145" t="s">
        <v>132</v>
      </c>
      <c r="C11" s="455">
        <v>24</v>
      </c>
      <c r="D11" s="14"/>
      <c r="E11" s="65"/>
      <c r="F11" s="14"/>
      <c r="G11" s="65"/>
      <c r="H11" s="14"/>
      <c r="I11" s="65"/>
      <c r="J11" s="14"/>
      <c r="K11" s="65"/>
      <c r="L11" s="14"/>
      <c r="M11" s="65"/>
      <c r="N11" s="14"/>
      <c r="O11" s="58"/>
      <c r="P11" s="14"/>
      <c r="Q11" s="65"/>
      <c r="R11" s="15"/>
      <c r="S11" s="65"/>
      <c r="T11" s="15"/>
      <c r="U11" s="65"/>
      <c r="V11" s="15"/>
      <c r="W11" s="65"/>
      <c r="X11" s="15"/>
      <c r="Y11" s="80"/>
      <c r="Z11" s="14"/>
      <c r="AA11" s="65"/>
      <c r="AB11" s="14"/>
      <c r="AC11" s="65"/>
      <c r="AD11" s="15"/>
      <c r="AE11" s="65"/>
      <c r="AF11" s="14"/>
      <c r="AG11" s="80"/>
      <c r="AH11" s="14"/>
      <c r="AI11" s="65"/>
      <c r="AJ11" s="14"/>
      <c r="AK11" s="65"/>
      <c r="AL11" s="14"/>
      <c r="AM11" s="65"/>
      <c r="AN11" s="14"/>
      <c r="AO11" s="65"/>
      <c r="AP11" s="509"/>
      <c r="AQ11" s="510"/>
      <c r="AR11" s="33"/>
      <c r="AS11" s="34"/>
      <c r="AT11" s="142">
        <v>7</v>
      </c>
      <c r="AU11" s="145" t="s">
        <v>132</v>
      </c>
      <c r="AV11" s="455">
        <v>24</v>
      </c>
      <c r="AW11" s="14"/>
      <c r="AX11" s="70"/>
      <c r="AY11" s="72"/>
      <c r="AZ11" s="70"/>
      <c r="BA11" s="72"/>
      <c r="BB11" s="72"/>
      <c r="BC11" s="58"/>
      <c r="BD11" s="70"/>
      <c r="BE11" s="14"/>
      <c r="BF11" s="70"/>
      <c r="BG11" s="72"/>
      <c r="BH11" s="70"/>
      <c r="BI11" s="72"/>
      <c r="BJ11" s="72"/>
      <c r="BK11" s="58"/>
      <c r="BL11" s="70"/>
      <c r="BM11" s="14"/>
      <c r="BN11" s="70" t="s">
        <v>34</v>
      </c>
      <c r="BO11" s="72"/>
      <c r="BP11" s="70" t="s">
        <v>34</v>
      </c>
      <c r="BQ11" s="72"/>
      <c r="BR11" s="72" t="s">
        <v>34</v>
      </c>
      <c r="BS11" s="58"/>
      <c r="BT11" s="70" t="s">
        <v>34</v>
      </c>
      <c r="BU11" s="84"/>
      <c r="BV11" s="67"/>
      <c r="BW11" s="69"/>
      <c r="BX11" s="67" t="s">
        <v>33</v>
      </c>
      <c r="BY11" s="69"/>
      <c r="BZ11" s="72" t="s">
        <v>33</v>
      </c>
      <c r="CA11" s="87"/>
      <c r="CB11" s="67" t="s">
        <v>33</v>
      </c>
      <c r="CC11" s="142">
        <v>7</v>
      </c>
      <c r="CD11" s="145" t="s">
        <v>132</v>
      </c>
      <c r="CE11" s="455">
        <v>23</v>
      </c>
      <c r="CF11" s="311">
        <f t="shared" si="0"/>
        <v>3</v>
      </c>
      <c r="CG11" s="76">
        <f t="shared" si="1"/>
        <v>4</v>
      </c>
      <c r="CH11" s="27"/>
      <c r="CI11" s="28"/>
      <c r="CJ11" s="449"/>
      <c r="CK11" s="450"/>
    </row>
    <row r="12" spans="1:89" ht="15" customHeight="1">
      <c r="A12" s="142">
        <v>8</v>
      </c>
      <c r="B12" s="145" t="s">
        <v>133</v>
      </c>
      <c r="C12" s="455"/>
      <c r="D12" s="14"/>
      <c r="E12" s="65"/>
      <c r="F12" s="14"/>
      <c r="G12" s="65"/>
      <c r="H12" s="112"/>
      <c r="I12" s="65"/>
      <c r="J12" s="14"/>
      <c r="K12" s="65"/>
      <c r="L12" s="112"/>
      <c r="M12" s="65"/>
      <c r="N12" s="14"/>
      <c r="O12" s="58"/>
      <c r="P12" s="14"/>
      <c r="Q12" s="65"/>
      <c r="R12" s="112"/>
      <c r="S12" s="65"/>
      <c r="T12" s="112"/>
      <c r="U12" s="65"/>
      <c r="V12" s="112"/>
      <c r="W12" s="65"/>
      <c r="X12" s="15"/>
      <c r="Y12" s="80"/>
      <c r="Z12" s="14"/>
      <c r="AA12" s="65"/>
      <c r="AB12" s="14"/>
      <c r="AC12" s="65"/>
      <c r="AD12" s="15"/>
      <c r="AE12" s="65"/>
      <c r="AF12" s="14"/>
      <c r="AG12" s="80"/>
      <c r="AH12" s="14"/>
      <c r="AI12" s="65"/>
      <c r="AJ12" s="14"/>
      <c r="AK12" s="65"/>
      <c r="AL12" s="14"/>
      <c r="AM12" s="65"/>
      <c r="AN12" s="14"/>
      <c r="AO12" s="65"/>
      <c r="AP12" s="523"/>
      <c r="AQ12" s="524"/>
      <c r="AR12" s="33"/>
      <c r="AS12" s="34"/>
      <c r="AT12" s="142">
        <v>8</v>
      </c>
      <c r="AU12" s="145" t="s">
        <v>133</v>
      </c>
      <c r="AV12" s="455"/>
      <c r="AW12" s="84"/>
      <c r="AX12" s="67" t="s">
        <v>33</v>
      </c>
      <c r="AY12" s="69"/>
      <c r="AZ12" s="67" t="s">
        <v>33</v>
      </c>
      <c r="BA12" s="69"/>
      <c r="BB12" s="72" t="s">
        <v>33</v>
      </c>
      <c r="BC12" s="87"/>
      <c r="BD12" s="67" t="s">
        <v>33</v>
      </c>
      <c r="BE12" s="14"/>
      <c r="BF12" s="70"/>
      <c r="BG12" s="72"/>
      <c r="BH12" s="70"/>
      <c r="BI12" s="72"/>
      <c r="BJ12" s="72"/>
      <c r="BK12" s="58"/>
      <c r="BL12" s="70"/>
      <c r="BM12" s="37"/>
      <c r="BN12" s="70"/>
      <c r="BO12" s="72"/>
      <c r="BP12" s="70"/>
      <c r="BQ12" s="72"/>
      <c r="BR12" s="72"/>
      <c r="BS12" s="15"/>
      <c r="BT12" s="70"/>
      <c r="BU12" s="14"/>
      <c r="BV12" s="70"/>
      <c r="BW12" s="72"/>
      <c r="BX12" s="70" t="s">
        <v>34</v>
      </c>
      <c r="BY12" s="72"/>
      <c r="BZ12" s="72" t="s">
        <v>34</v>
      </c>
      <c r="CA12" s="58"/>
      <c r="CB12" s="70" t="s">
        <v>34</v>
      </c>
      <c r="CC12" s="142">
        <v>8</v>
      </c>
      <c r="CD12" s="145" t="s">
        <v>133</v>
      </c>
      <c r="CE12" s="455"/>
      <c r="CF12" s="311">
        <f t="shared" si="0"/>
        <v>4</v>
      </c>
      <c r="CG12" s="76">
        <f t="shared" si="1"/>
        <v>3</v>
      </c>
      <c r="CH12" s="27"/>
      <c r="CI12" s="28"/>
      <c r="CJ12" s="449"/>
      <c r="CK12" s="450"/>
    </row>
    <row r="13" spans="1:89" ht="15" customHeight="1">
      <c r="A13" s="142">
        <v>9</v>
      </c>
      <c r="B13" s="145" t="s">
        <v>127</v>
      </c>
      <c r="C13" s="455"/>
      <c r="D13" s="14"/>
      <c r="E13" s="65"/>
      <c r="F13" s="14"/>
      <c r="G13" s="65"/>
      <c r="H13" s="14"/>
      <c r="I13" s="65"/>
      <c r="J13" s="14"/>
      <c r="K13" s="65"/>
      <c r="L13" s="14"/>
      <c r="M13" s="65"/>
      <c r="N13" s="14"/>
      <c r="O13" s="58"/>
      <c r="P13" s="14"/>
      <c r="Q13" s="65"/>
      <c r="R13" s="15"/>
      <c r="S13" s="65"/>
      <c r="T13" s="15"/>
      <c r="U13" s="65"/>
      <c r="V13" s="15"/>
      <c r="W13" s="65"/>
      <c r="X13" s="15"/>
      <c r="Y13" s="80"/>
      <c r="Z13" s="14"/>
      <c r="AA13" s="65"/>
      <c r="AB13" s="14"/>
      <c r="AC13" s="65"/>
      <c r="AD13" s="15"/>
      <c r="AE13" s="65"/>
      <c r="AF13" s="14"/>
      <c r="AG13" s="80"/>
      <c r="AH13" s="14"/>
      <c r="AI13" s="65"/>
      <c r="AJ13" s="14"/>
      <c r="AK13" s="65"/>
      <c r="AL13" s="14"/>
      <c r="AM13" s="65"/>
      <c r="AN13" s="14"/>
      <c r="AO13" s="65"/>
      <c r="AP13" s="523"/>
      <c r="AQ13" s="524"/>
      <c r="AR13" s="33"/>
      <c r="AS13" s="34"/>
      <c r="AT13" s="142">
        <v>9</v>
      </c>
      <c r="AU13" s="145" t="s">
        <v>127</v>
      </c>
      <c r="AV13" s="455"/>
      <c r="AW13" s="14"/>
      <c r="AX13" s="70" t="s">
        <v>34</v>
      </c>
      <c r="AY13" s="72"/>
      <c r="AZ13" s="70" t="s">
        <v>34</v>
      </c>
      <c r="BA13" s="72"/>
      <c r="BB13" s="72" t="s">
        <v>34</v>
      </c>
      <c r="BC13" s="58"/>
      <c r="BD13" s="70" t="s">
        <v>34</v>
      </c>
      <c r="BE13" s="84"/>
      <c r="BF13" s="67" t="s">
        <v>33</v>
      </c>
      <c r="BG13" s="69"/>
      <c r="BH13" s="67" t="s">
        <v>33</v>
      </c>
      <c r="BI13" s="69"/>
      <c r="BJ13" s="72" t="s">
        <v>33</v>
      </c>
      <c r="BK13" s="87"/>
      <c r="BL13" s="67" t="s">
        <v>33</v>
      </c>
      <c r="BM13" s="37"/>
      <c r="BN13" s="70"/>
      <c r="BO13" s="72"/>
      <c r="BP13" s="70"/>
      <c r="BQ13" s="72"/>
      <c r="BR13" s="72"/>
      <c r="BS13" s="15"/>
      <c r="BT13" s="70"/>
      <c r="BU13" s="96"/>
      <c r="BV13" s="67"/>
      <c r="BW13" s="69"/>
      <c r="BX13" s="67"/>
      <c r="BY13" s="69"/>
      <c r="BZ13" s="69"/>
      <c r="CA13" s="97"/>
      <c r="CB13" s="67"/>
      <c r="CC13" s="142">
        <v>9</v>
      </c>
      <c r="CD13" s="145" t="s">
        <v>127</v>
      </c>
      <c r="CE13" s="455"/>
      <c r="CF13" s="311">
        <f t="shared" si="0"/>
        <v>4</v>
      </c>
      <c r="CG13" s="76">
        <f t="shared" si="1"/>
        <v>4</v>
      </c>
      <c r="CH13" s="27"/>
      <c r="CI13" s="28"/>
      <c r="CJ13" s="449"/>
      <c r="CK13" s="450"/>
    </row>
    <row r="14" spans="1:89" ht="15" customHeight="1">
      <c r="A14" s="142">
        <v>10</v>
      </c>
      <c r="B14" s="145" t="s">
        <v>128</v>
      </c>
      <c r="C14" s="455"/>
      <c r="D14" s="14"/>
      <c r="E14" s="65"/>
      <c r="F14" s="14"/>
      <c r="G14" s="65"/>
      <c r="H14" s="112"/>
      <c r="I14" s="65"/>
      <c r="J14" s="14"/>
      <c r="K14" s="65"/>
      <c r="L14" s="112"/>
      <c r="M14" s="65"/>
      <c r="N14" s="14"/>
      <c r="O14" s="58"/>
      <c r="P14" s="14"/>
      <c r="Q14" s="65"/>
      <c r="R14" s="112"/>
      <c r="S14" s="65"/>
      <c r="T14" s="112"/>
      <c r="U14" s="65"/>
      <c r="V14" s="112"/>
      <c r="W14" s="65"/>
      <c r="X14" s="15"/>
      <c r="Y14" s="80"/>
      <c r="Z14" s="14"/>
      <c r="AA14" s="65"/>
      <c r="AB14" s="14"/>
      <c r="AC14" s="65"/>
      <c r="AD14" s="15"/>
      <c r="AE14" s="65"/>
      <c r="AF14" s="14"/>
      <c r="AG14" s="80"/>
      <c r="AH14" s="14"/>
      <c r="AI14" s="65"/>
      <c r="AJ14" s="14"/>
      <c r="AK14" s="65"/>
      <c r="AL14" s="14"/>
      <c r="AM14" s="65"/>
      <c r="AN14" s="14"/>
      <c r="AO14" s="65"/>
      <c r="AP14" s="523"/>
      <c r="AQ14" s="524"/>
      <c r="AR14" s="33"/>
      <c r="AS14" s="34"/>
      <c r="AT14" s="142">
        <v>10</v>
      </c>
      <c r="AU14" s="145" t="s">
        <v>128</v>
      </c>
      <c r="AV14" s="455"/>
      <c r="AW14" s="14"/>
      <c r="AX14" s="70"/>
      <c r="AY14" s="72"/>
      <c r="AZ14" s="70"/>
      <c r="BA14" s="72"/>
      <c r="BB14" s="72"/>
      <c r="BC14" s="58"/>
      <c r="BD14" s="70"/>
      <c r="BE14" s="14"/>
      <c r="BF14" s="70" t="s">
        <v>34</v>
      </c>
      <c r="BG14" s="72"/>
      <c r="BH14" s="70" t="s">
        <v>34</v>
      </c>
      <c r="BI14" s="72"/>
      <c r="BJ14" s="72" t="s">
        <v>34</v>
      </c>
      <c r="BK14" s="58"/>
      <c r="BL14" s="70" t="s">
        <v>34</v>
      </c>
      <c r="BM14" s="84"/>
      <c r="BN14" s="67" t="s">
        <v>33</v>
      </c>
      <c r="BO14" s="69"/>
      <c r="BP14" s="67" t="s">
        <v>33</v>
      </c>
      <c r="BQ14" s="69"/>
      <c r="BR14" s="72" t="s">
        <v>33</v>
      </c>
      <c r="BS14" s="87"/>
      <c r="BT14" s="67" t="s">
        <v>33</v>
      </c>
      <c r="BU14" s="96"/>
      <c r="BV14" s="67"/>
      <c r="BW14" s="69"/>
      <c r="BX14" s="67"/>
      <c r="BY14" s="69"/>
      <c r="BZ14" s="69"/>
      <c r="CA14" s="97"/>
      <c r="CB14" s="67"/>
      <c r="CC14" s="142">
        <v>10</v>
      </c>
      <c r="CD14" s="145" t="s">
        <v>128</v>
      </c>
      <c r="CE14" s="455"/>
      <c r="CF14" s="311">
        <f t="shared" si="0"/>
        <v>4</v>
      </c>
      <c r="CG14" s="76">
        <f t="shared" si="1"/>
        <v>4</v>
      </c>
      <c r="CH14" s="27"/>
      <c r="CI14" s="28"/>
      <c r="CJ14" s="449"/>
      <c r="CK14" s="450"/>
    </row>
    <row r="15" spans="1:89" ht="15" customHeight="1">
      <c r="A15" s="142">
        <v>11</v>
      </c>
      <c r="B15" s="145" t="s">
        <v>129</v>
      </c>
      <c r="C15" s="455"/>
      <c r="D15" s="14"/>
      <c r="E15" s="65"/>
      <c r="F15" s="14"/>
      <c r="G15" s="65"/>
      <c r="H15" s="14"/>
      <c r="I15" s="65"/>
      <c r="J15" s="14"/>
      <c r="K15" s="65"/>
      <c r="L15" s="14"/>
      <c r="M15" s="65"/>
      <c r="N15" s="14"/>
      <c r="O15" s="58"/>
      <c r="P15" s="14"/>
      <c r="Q15" s="65"/>
      <c r="R15" s="15"/>
      <c r="S15" s="65"/>
      <c r="T15" s="15"/>
      <c r="U15" s="65"/>
      <c r="V15" s="15"/>
      <c r="W15" s="65"/>
      <c r="X15" s="15"/>
      <c r="Y15" s="80"/>
      <c r="Z15" s="14"/>
      <c r="AA15" s="65"/>
      <c r="AB15" s="14"/>
      <c r="AC15" s="65"/>
      <c r="AD15" s="15"/>
      <c r="AE15" s="65"/>
      <c r="AF15" s="14"/>
      <c r="AG15" s="80"/>
      <c r="AH15" s="14"/>
      <c r="AI15" s="65"/>
      <c r="AJ15" s="14"/>
      <c r="AK15" s="65"/>
      <c r="AL15" s="14"/>
      <c r="AM15" s="65"/>
      <c r="AN15" s="14"/>
      <c r="AO15" s="65"/>
      <c r="AP15" s="523"/>
      <c r="AQ15" s="524"/>
      <c r="AR15" s="33"/>
      <c r="AS15" s="34"/>
      <c r="AT15" s="142">
        <v>11</v>
      </c>
      <c r="AU15" s="145" t="s">
        <v>129</v>
      </c>
      <c r="AV15" s="455"/>
      <c r="AW15" s="14"/>
      <c r="AX15" s="70"/>
      <c r="AY15" s="72"/>
      <c r="AZ15" s="70"/>
      <c r="BA15" s="72"/>
      <c r="BB15" s="72"/>
      <c r="BC15" s="58"/>
      <c r="BD15" s="70"/>
      <c r="BE15" s="14"/>
      <c r="BF15" s="70"/>
      <c r="BG15" s="72"/>
      <c r="BH15" s="70"/>
      <c r="BI15" s="72"/>
      <c r="BJ15" s="72"/>
      <c r="BK15" s="58"/>
      <c r="BL15" s="70"/>
      <c r="BM15" s="14"/>
      <c r="BN15" s="70" t="s">
        <v>34</v>
      </c>
      <c r="BO15" s="72"/>
      <c r="BP15" s="70" t="s">
        <v>34</v>
      </c>
      <c r="BQ15" s="72"/>
      <c r="BR15" s="72" t="s">
        <v>34</v>
      </c>
      <c r="BS15" s="58"/>
      <c r="BT15" s="70" t="s">
        <v>34</v>
      </c>
      <c r="BU15" s="84"/>
      <c r="BV15" s="67"/>
      <c r="BW15" s="69"/>
      <c r="BX15" s="71" t="s">
        <v>33</v>
      </c>
      <c r="BY15" s="69"/>
      <c r="BZ15" s="72" t="s">
        <v>33</v>
      </c>
      <c r="CA15" s="87"/>
      <c r="CB15" s="67" t="s">
        <v>33</v>
      </c>
      <c r="CC15" s="142">
        <v>11</v>
      </c>
      <c r="CD15" s="145" t="s">
        <v>129</v>
      </c>
      <c r="CE15" s="455"/>
      <c r="CF15" s="311">
        <f t="shared" si="0"/>
        <v>3</v>
      </c>
      <c r="CG15" s="76">
        <f t="shared" si="1"/>
        <v>4</v>
      </c>
      <c r="CH15" s="27"/>
      <c r="CI15" s="28"/>
      <c r="CJ15" s="449"/>
      <c r="CK15" s="450"/>
    </row>
    <row r="16" spans="1:89" ht="15" customHeight="1">
      <c r="A16" s="22">
        <v>12</v>
      </c>
      <c r="B16" s="13" t="s">
        <v>130</v>
      </c>
      <c r="C16" s="455"/>
      <c r="D16" s="16"/>
      <c r="E16" s="17"/>
      <c r="F16" s="16"/>
      <c r="G16" s="17"/>
      <c r="H16" s="16"/>
      <c r="I16" s="17"/>
      <c r="J16" s="16"/>
      <c r="K16" s="17"/>
      <c r="L16" s="16"/>
      <c r="M16" s="17"/>
      <c r="N16" s="16"/>
      <c r="O16" s="17"/>
      <c r="P16" s="16"/>
      <c r="Q16" s="17"/>
      <c r="R16" s="18"/>
      <c r="S16" s="17"/>
      <c r="T16" s="18"/>
      <c r="U16" s="17"/>
      <c r="V16" s="18"/>
      <c r="W16" s="17"/>
      <c r="X16" s="18"/>
      <c r="Y16" s="82"/>
      <c r="Z16" s="16"/>
      <c r="AA16" s="17"/>
      <c r="AB16" s="16"/>
      <c r="AC16" s="17"/>
      <c r="AD16" s="18"/>
      <c r="AE16" s="17"/>
      <c r="AF16" s="16"/>
      <c r="AG16" s="82"/>
      <c r="AH16" s="16"/>
      <c r="AI16" s="17"/>
      <c r="AJ16" s="16"/>
      <c r="AK16" s="17"/>
      <c r="AL16" s="16"/>
      <c r="AM16" s="17"/>
      <c r="AN16" s="16"/>
      <c r="AO16" s="17"/>
      <c r="AP16" s="529"/>
      <c r="AQ16" s="530"/>
      <c r="AR16" s="104"/>
      <c r="AS16" s="105"/>
      <c r="AT16" s="22">
        <v>12</v>
      </c>
      <c r="AU16" s="13" t="s">
        <v>130</v>
      </c>
      <c r="AV16" s="455"/>
      <c r="AW16" s="81"/>
      <c r="AX16" s="66" t="s">
        <v>33</v>
      </c>
      <c r="AY16" s="68"/>
      <c r="AZ16" s="66" t="s">
        <v>33</v>
      </c>
      <c r="BA16" s="68"/>
      <c r="BB16" s="73" t="s">
        <v>33</v>
      </c>
      <c r="BC16" s="110"/>
      <c r="BD16" s="66" t="s">
        <v>33</v>
      </c>
      <c r="BE16" s="16"/>
      <c r="BF16" s="71"/>
      <c r="BG16" s="73"/>
      <c r="BH16" s="71"/>
      <c r="BI16" s="73"/>
      <c r="BJ16" s="73"/>
      <c r="BK16" s="59"/>
      <c r="BL16" s="71"/>
      <c r="BM16" s="38"/>
      <c r="BN16" s="188" t="s">
        <v>47</v>
      </c>
      <c r="BO16" s="73"/>
      <c r="BP16" s="71"/>
      <c r="BQ16" s="73"/>
      <c r="BR16" s="73"/>
      <c r="BS16" s="18"/>
      <c r="BT16" s="71"/>
      <c r="BU16" s="16"/>
      <c r="BV16" s="66"/>
      <c r="BW16" s="73"/>
      <c r="BX16" s="71" t="s">
        <v>34</v>
      </c>
      <c r="BY16" s="73"/>
      <c r="BZ16" s="73" t="s">
        <v>34</v>
      </c>
      <c r="CA16" s="59"/>
      <c r="CB16" s="71" t="s">
        <v>34</v>
      </c>
      <c r="CC16" s="22">
        <v>12</v>
      </c>
      <c r="CD16" s="13" t="s">
        <v>130</v>
      </c>
      <c r="CE16" s="455"/>
      <c r="CF16" s="311">
        <f t="shared" si="0"/>
        <v>4</v>
      </c>
      <c r="CG16" s="76">
        <f t="shared" si="1"/>
        <v>4</v>
      </c>
      <c r="CH16" s="27"/>
      <c r="CI16" s="28"/>
      <c r="CJ16" s="449"/>
      <c r="CK16" s="450"/>
    </row>
    <row r="17" spans="1:89" ht="15" customHeight="1">
      <c r="A17" s="22">
        <v>13</v>
      </c>
      <c r="B17" s="13" t="s">
        <v>131</v>
      </c>
      <c r="C17" s="455"/>
      <c r="D17" s="16"/>
      <c r="E17" s="17"/>
      <c r="F17" s="16"/>
      <c r="G17" s="17"/>
      <c r="H17" s="16"/>
      <c r="I17" s="17"/>
      <c r="J17" s="16"/>
      <c r="K17" s="17"/>
      <c r="L17" s="16"/>
      <c r="M17" s="17"/>
      <c r="N17" s="16"/>
      <c r="O17" s="17"/>
      <c r="P17" s="16"/>
      <c r="Q17" s="17"/>
      <c r="R17" s="18"/>
      <c r="S17" s="17"/>
      <c r="T17" s="18"/>
      <c r="U17" s="17"/>
      <c r="V17" s="18"/>
      <c r="W17" s="17"/>
      <c r="X17" s="18"/>
      <c r="Y17" s="82"/>
      <c r="Z17" s="16"/>
      <c r="AA17" s="17"/>
      <c r="AB17" s="16"/>
      <c r="AC17" s="17"/>
      <c r="AD17" s="18"/>
      <c r="AE17" s="17"/>
      <c r="AF17" s="16"/>
      <c r="AG17" s="82"/>
      <c r="AH17" s="16"/>
      <c r="AI17" s="17"/>
      <c r="AJ17" s="16"/>
      <c r="AK17" s="17"/>
      <c r="AL17" s="16"/>
      <c r="AM17" s="17"/>
      <c r="AN17" s="16"/>
      <c r="AO17" s="17"/>
      <c r="AP17" s="525"/>
      <c r="AQ17" s="526"/>
      <c r="AR17" s="104"/>
      <c r="AS17" s="105"/>
      <c r="AT17" s="22">
        <v>13</v>
      </c>
      <c r="AU17" s="13" t="s">
        <v>131</v>
      </c>
      <c r="AV17" s="455"/>
      <c r="AW17" s="16"/>
      <c r="AX17" s="71" t="s">
        <v>34</v>
      </c>
      <c r="AY17" s="73"/>
      <c r="AZ17" s="71" t="s">
        <v>34</v>
      </c>
      <c r="BA17" s="73"/>
      <c r="BB17" s="73" t="s">
        <v>34</v>
      </c>
      <c r="BC17" s="59"/>
      <c r="BD17" s="71" t="s">
        <v>34</v>
      </c>
      <c r="BE17" s="81"/>
      <c r="BF17" s="66" t="s">
        <v>33</v>
      </c>
      <c r="BG17" s="68"/>
      <c r="BH17" s="66" t="s">
        <v>33</v>
      </c>
      <c r="BI17" s="68"/>
      <c r="BJ17" s="73" t="s">
        <v>33</v>
      </c>
      <c r="BK17" s="110"/>
      <c r="BL17" s="66" t="s">
        <v>33</v>
      </c>
      <c r="BM17" s="38"/>
      <c r="BN17" s="71"/>
      <c r="BO17" s="73"/>
      <c r="BP17" s="71"/>
      <c r="BQ17" s="73"/>
      <c r="BR17" s="73"/>
      <c r="BS17" s="18"/>
      <c r="BT17" s="71"/>
      <c r="BU17" s="108"/>
      <c r="BV17" s="66"/>
      <c r="BW17" s="68"/>
      <c r="BX17" s="66"/>
      <c r="BY17" s="68"/>
      <c r="BZ17" s="68"/>
      <c r="CA17" s="83"/>
      <c r="CB17" s="66"/>
      <c r="CC17" s="22">
        <v>13</v>
      </c>
      <c r="CD17" s="13" t="s">
        <v>131</v>
      </c>
      <c r="CE17" s="455"/>
      <c r="CF17" s="311">
        <f t="shared" si="0"/>
        <v>4</v>
      </c>
      <c r="CG17" s="76">
        <f t="shared" si="1"/>
        <v>4</v>
      </c>
      <c r="CH17" s="27"/>
      <c r="CI17" s="28"/>
      <c r="CJ17" s="449"/>
      <c r="CK17" s="450"/>
    </row>
    <row r="18" spans="1:89" ht="15" customHeight="1">
      <c r="A18" s="142">
        <v>14</v>
      </c>
      <c r="B18" s="145" t="s">
        <v>132</v>
      </c>
      <c r="C18" s="455">
        <v>25</v>
      </c>
      <c r="D18" s="14"/>
      <c r="E18" s="65"/>
      <c r="F18" s="14"/>
      <c r="G18" s="65"/>
      <c r="H18" s="14"/>
      <c r="I18" s="65"/>
      <c r="J18" s="14"/>
      <c r="K18" s="65"/>
      <c r="L18" s="14"/>
      <c r="M18" s="65"/>
      <c r="N18" s="14"/>
      <c r="O18" s="58"/>
      <c r="P18" s="14"/>
      <c r="Q18" s="65"/>
      <c r="R18" s="15"/>
      <c r="S18" s="65"/>
      <c r="T18" s="15"/>
      <c r="U18" s="65"/>
      <c r="V18" s="15"/>
      <c r="W18" s="65"/>
      <c r="X18" s="15"/>
      <c r="Y18" s="80"/>
      <c r="Z18" s="14"/>
      <c r="AA18" s="65"/>
      <c r="AB18" s="14"/>
      <c r="AC18" s="65"/>
      <c r="AD18" s="15"/>
      <c r="AE18" s="65"/>
      <c r="AF18" s="14"/>
      <c r="AG18" s="80"/>
      <c r="AH18" s="14"/>
      <c r="AI18" s="65"/>
      <c r="AJ18" s="14"/>
      <c r="AK18" s="65"/>
      <c r="AL18" s="14"/>
      <c r="AM18" s="65"/>
      <c r="AN18" s="14"/>
      <c r="AO18" s="65"/>
      <c r="AP18" s="509"/>
      <c r="AQ18" s="510"/>
      <c r="AR18" s="33"/>
      <c r="AS18" s="34"/>
      <c r="AT18" s="142">
        <v>14</v>
      </c>
      <c r="AU18" s="145" t="s">
        <v>132</v>
      </c>
      <c r="AV18" s="455">
        <v>25</v>
      </c>
      <c r="AW18" s="14"/>
      <c r="AX18" s="70"/>
      <c r="AY18" s="72"/>
      <c r="AZ18" s="70"/>
      <c r="BA18" s="72"/>
      <c r="BB18" s="72"/>
      <c r="BC18" s="58"/>
      <c r="BD18" s="70"/>
      <c r="BE18" s="14"/>
      <c r="BF18" s="70" t="s">
        <v>34</v>
      </c>
      <c r="BG18" s="72"/>
      <c r="BH18" s="70" t="s">
        <v>34</v>
      </c>
      <c r="BI18" s="72"/>
      <c r="BJ18" s="72" t="s">
        <v>34</v>
      </c>
      <c r="BK18" s="58"/>
      <c r="BL18" s="70" t="s">
        <v>34</v>
      </c>
      <c r="BM18" s="84"/>
      <c r="BN18" s="67" t="s">
        <v>41</v>
      </c>
      <c r="BO18" s="69"/>
      <c r="BP18" s="67" t="s">
        <v>33</v>
      </c>
      <c r="BQ18" s="69"/>
      <c r="BR18" s="72" t="s">
        <v>33</v>
      </c>
      <c r="BS18" s="87"/>
      <c r="BT18" s="67" t="s">
        <v>33</v>
      </c>
      <c r="BU18" s="96"/>
      <c r="BV18" s="67"/>
      <c r="BW18" s="69"/>
      <c r="BX18" s="67"/>
      <c r="BY18" s="69"/>
      <c r="BZ18" s="69"/>
      <c r="CA18" s="97"/>
      <c r="CB18" s="67"/>
      <c r="CC18" s="142">
        <v>14</v>
      </c>
      <c r="CD18" s="145" t="s">
        <v>132</v>
      </c>
      <c r="CE18" s="455">
        <v>24</v>
      </c>
      <c r="CF18" s="311">
        <f t="shared" si="0"/>
        <v>3</v>
      </c>
      <c r="CG18" s="76">
        <f t="shared" si="1"/>
        <v>4</v>
      </c>
      <c r="CH18" s="27"/>
      <c r="CI18" s="28"/>
      <c r="CJ18" s="449"/>
      <c r="CK18" s="450"/>
    </row>
    <row r="19" spans="1:89" ht="15" customHeight="1">
      <c r="A19" s="142">
        <v>15</v>
      </c>
      <c r="B19" s="145" t="s">
        <v>133</v>
      </c>
      <c r="C19" s="455"/>
      <c r="D19" s="14"/>
      <c r="E19" s="65"/>
      <c r="F19" s="14"/>
      <c r="G19" s="65"/>
      <c r="H19" s="14"/>
      <c r="I19" s="65"/>
      <c r="J19" s="14"/>
      <c r="K19" s="65"/>
      <c r="L19" s="14"/>
      <c r="M19" s="65"/>
      <c r="N19" s="14"/>
      <c r="O19" s="58"/>
      <c r="P19" s="14"/>
      <c r="Q19" s="65"/>
      <c r="R19" s="15"/>
      <c r="S19" s="65"/>
      <c r="T19" s="15"/>
      <c r="U19" s="65"/>
      <c r="V19" s="15"/>
      <c r="W19" s="65"/>
      <c r="X19" s="15"/>
      <c r="Y19" s="80"/>
      <c r="Z19" s="14"/>
      <c r="AA19" s="65"/>
      <c r="AB19" s="14"/>
      <c r="AC19" s="65"/>
      <c r="AD19" s="15"/>
      <c r="AE19" s="65"/>
      <c r="AF19" s="14"/>
      <c r="AG19" s="80"/>
      <c r="AH19" s="14"/>
      <c r="AI19" s="65"/>
      <c r="AJ19" s="14"/>
      <c r="AK19" s="65"/>
      <c r="AL19" s="14"/>
      <c r="AM19" s="65"/>
      <c r="AN19" s="14"/>
      <c r="AO19" s="65"/>
      <c r="AP19" s="290" t="s">
        <v>340</v>
      </c>
      <c r="AQ19" s="288"/>
      <c r="AR19" s="33"/>
      <c r="AS19" s="34"/>
      <c r="AT19" s="142">
        <v>15</v>
      </c>
      <c r="AU19" s="145" t="s">
        <v>133</v>
      </c>
      <c r="AV19" s="455"/>
      <c r="AW19" s="14"/>
      <c r="AX19" s="74" t="s">
        <v>42</v>
      </c>
      <c r="AY19" s="72"/>
      <c r="AZ19" s="70"/>
      <c r="BA19" s="72"/>
      <c r="BB19" s="72"/>
      <c r="BC19" s="58"/>
      <c r="BD19" s="70"/>
      <c r="BE19" s="14"/>
      <c r="BF19" s="74"/>
      <c r="BG19" s="72"/>
      <c r="BH19" s="70"/>
      <c r="BI19" s="72"/>
      <c r="BJ19" s="72"/>
      <c r="BK19" s="58"/>
      <c r="BL19" s="70"/>
      <c r="BM19" s="14"/>
      <c r="BN19" s="67" t="s">
        <v>41</v>
      </c>
      <c r="BO19" s="72"/>
      <c r="BP19" s="70" t="s">
        <v>34</v>
      </c>
      <c r="BQ19" s="72"/>
      <c r="BR19" s="72" t="s">
        <v>34</v>
      </c>
      <c r="BS19" s="58"/>
      <c r="BT19" s="70" t="s">
        <v>34</v>
      </c>
      <c r="BU19" s="84"/>
      <c r="BV19" s="67"/>
      <c r="BW19" s="69"/>
      <c r="BX19" s="71" t="s">
        <v>33</v>
      </c>
      <c r="BY19" s="69"/>
      <c r="BZ19" s="72" t="s">
        <v>33</v>
      </c>
      <c r="CA19" s="87"/>
      <c r="CB19" s="67" t="s">
        <v>33</v>
      </c>
      <c r="CC19" s="142">
        <v>15</v>
      </c>
      <c r="CD19" s="145" t="s">
        <v>133</v>
      </c>
      <c r="CE19" s="455"/>
      <c r="CF19" s="311">
        <f t="shared" si="0"/>
        <v>3</v>
      </c>
      <c r="CG19" s="76">
        <f t="shared" si="1"/>
        <v>3</v>
      </c>
      <c r="CH19" s="27"/>
      <c r="CI19" s="28"/>
      <c r="CJ19" s="449"/>
      <c r="CK19" s="450"/>
    </row>
    <row r="20" spans="1:89" ht="15" customHeight="1">
      <c r="A20" s="142">
        <v>16</v>
      </c>
      <c r="B20" s="145" t="s">
        <v>127</v>
      </c>
      <c r="C20" s="455"/>
      <c r="D20" s="14"/>
      <c r="E20" s="65"/>
      <c r="F20" s="14"/>
      <c r="G20" s="65"/>
      <c r="H20" s="14"/>
      <c r="I20" s="65"/>
      <c r="J20" s="14"/>
      <c r="K20" s="65"/>
      <c r="L20" s="14"/>
      <c r="M20" s="65"/>
      <c r="N20" s="14"/>
      <c r="O20" s="58"/>
      <c r="P20" s="14"/>
      <c r="Q20" s="65"/>
      <c r="R20" s="15"/>
      <c r="S20" s="65"/>
      <c r="T20" s="15"/>
      <c r="U20" s="65"/>
      <c r="V20" s="15"/>
      <c r="W20" s="65"/>
      <c r="X20" s="15"/>
      <c r="Y20" s="80"/>
      <c r="Z20" s="14"/>
      <c r="AA20" s="65"/>
      <c r="AB20" s="14"/>
      <c r="AC20" s="65"/>
      <c r="AD20" s="15"/>
      <c r="AE20" s="65"/>
      <c r="AF20" s="14"/>
      <c r="AG20" s="80"/>
      <c r="AH20" s="14"/>
      <c r="AI20" s="65"/>
      <c r="AJ20" s="14"/>
      <c r="AK20" s="65"/>
      <c r="AL20" s="14"/>
      <c r="AM20" s="65"/>
      <c r="AN20" s="14"/>
      <c r="AO20" s="65"/>
      <c r="AP20" s="290" t="s">
        <v>340</v>
      </c>
      <c r="AQ20" s="289" t="s">
        <v>300</v>
      </c>
      <c r="AR20" s="285"/>
      <c r="AS20" s="184"/>
      <c r="AT20" s="142">
        <v>16</v>
      </c>
      <c r="AU20" s="145" t="s">
        <v>127</v>
      </c>
      <c r="AV20" s="455"/>
      <c r="AW20" s="84"/>
      <c r="AX20" s="74" t="s">
        <v>42</v>
      </c>
      <c r="AY20" s="69"/>
      <c r="AZ20" s="67" t="s">
        <v>33</v>
      </c>
      <c r="BA20" s="69"/>
      <c r="BB20" s="72" t="s">
        <v>33</v>
      </c>
      <c r="BC20" s="87"/>
      <c r="BD20" s="67" t="s">
        <v>33</v>
      </c>
      <c r="BE20" s="14"/>
      <c r="BF20" s="74"/>
      <c r="BG20" s="72"/>
      <c r="BH20" s="70"/>
      <c r="BI20" s="72"/>
      <c r="BJ20" s="72"/>
      <c r="BK20" s="58"/>
      <c r="BL20" s="70"/>
      <c r="BM20" s="37"/>
      <c r="BN20" s="67" t="s">
        <v>41</v>
      </c>
      <c r="BO20" s="72"/>
      <c r="BP20" s="70"/>
      <c r="BQ20" s="72"/>
      <c r="BR20" s="72"/>
      <c r="BS20" s="15"/>
      <c r="BT20" s="70"/>
      <c r="BU20" s="14"/>
      <c r="BV20" s="70"/>
      <c r="BW20" s="72"/>
      <c r="BX20" s="70" t="s">
        <v>34</v>
      </c>
      <c r="BY20" s="72"/>
      <c r="BZ20" s="72" t="s">
        <v>34</v>
      </c>
      <c r="CA20" s="58"/>
      <c r="CB20" s="70" t="s">
        <v>34</v>
      </c>
      <c r="CC20" s="142">
        <v>16</v>
      </c>
      <c r="CD20" s="145" t="s">
        <v>127</v>
      </c>
      <c r="CE20" s="455"/>
      <c r="CF20" s="311">
        <f t="shared" si="0"/>
        <v>3</v>
      </c>
      <c r="CG20" s="76">
        <f t="shared" si="1"/>
        <v>3</v>
      </c>
      <c r="CH20" s="27"/>
      <c r="CI20" s="28"/>
      <c r="CJ20" s="449"/>
      <c r="CK20" s="450"/>
    </row>
    <row r="21" spans="1:89" ht="15" customHeight="1">
      <c r="A21" s="142">
        <v>17</v>
      </c>
      <c r="B21" s="145" t="s">
        <v>128</v>
      </c>
      <c r="C21" s="455"/>
      <c r="D21" s="14"/>
      <c r="E21" s="65"/>
      <c r="F21" s="14"/>
      <c r="G21" s="65"/>
      <c r="H21" s="14"/>
      <c r="I21" s="65"/>
      <c r="J21" s="14"/>
      <c r="K21" s="65"/>
      <c r="L21" s="14"/>
      <c r="M21" s="65"/>
      <c r="N21" s="14"/>
      <c r="O21" s="58"/>
      <c r="P21" s="14"/>
      <c r="Q21" s="65"/>
      <c r="R21" s="15"/>
      <c r="S21" s="65"/>
      <c r="T21" s="14"/>
      <c r="U21" s="65"/>
      <c r="V21" s="15"/>
      <c r="W21" s="65"/>
      <c r="X21" s="15"/>
      <c r="Y21" s="80"/>
      <c r="Z21" s="14"/>
      <c r="AA21" s="65"/>
      <c r="AB21" s="14"/>
      <c r="AC21" s="65"/>
      <c r="AD21" s="15"/>
      <c r="AE21" s="65"/>
      <c r="AF21" s="14"/>
      <c r="AG21" s="80"/>
      <c r="AH21" s="14"/>
      <c r="AI21" s="65"/>
      <c r="AJ21" s="14"/>
      <c r="AK21" s="65"/>
      <c r="AL21" s="14"/>
      <c r="AM21" s="65"/>
      <c r="AN21" s="14"/>
      <c r="AO21" s="65"/>
      <c r="AP21" s="577" t="s">
        <v>300</v>
      </c>
      <c r="AQ21" s="578"/>
      <c r="AR21" s="33"/>
      <c r="AS21" s="34"/>
      <c r="AT21" s="142">
        <v>17</v>
      </c>
      <c r="AU21" s="145" t="s">
        <v>128</v>
      </c>
      <c r="AV21" s="455"/>
      <c r="AW21" s="14"/>
      <c r="AX21" s="70" t="s">
        <v>34</v>
      </c>
      <c r="AY21" s="72"/>
      <c r="AZ21" s="70" t="s">
        <v>34</v>
      </c>
      <c r="BA21" s="72"/>
      <c r="BB21" s="72" t="s">
        <v>34</v>
      </c>
      <c r="BC21" s="58"/>
      <c r="BD21" s="70" t="s">
        <v>34</v>
      </c>
      <c r="BE21" s="84"/>
      <c r="BF21" s="67" t="s">
        <v>33</v>
      </c>
      <c r="BG21" s="69"/>
      <c r="BH21" s="67" t="s">
        <v>33</v>
      </c>
      <c r="BI21" s="69"/>
      <c r="BJ21" s="72" t="s">
        <v>33</v>
      </c>
      <c r="BK21" s="87"/>
      <c r="BL21" s="67" t="s">
        <v>33</v>
      </c>
      <c r="BM21" s="37"/>
      <c r="BN21" s="67" t="s">
        <v>41</v>
      </c>
      <c r="BO21" s="72"/>
      <c r="BP21" s="70"/>
      <c r="BQ21" s="72"/>
      <c r="BR21" s="72"/>
      <c r="BS21" s="15"/>
      <c r="BT21" s="70"/>
      <c r="BU21" s="96"/>
      <c r="BV21" s="67"/>
      <c r="BW21" s="69"/>
      <c r="BX21" s="67"/>
      <c r="BY21" s="69"/>
      <c r="BZ21" s="69"/>
      <c r="CA21" s="97"/>
      <c r="CB21" s="67"/>
      <c r="CC21" s="142">
        <v>17</v>
      </c>
      <c r="CD21" s="145" t="s">
        <v>128</v>
      </c>
      <c r="CE21" s="455"/>
      <c r="CF21" s="311">
        <f t="shared" si="0"/>
        <v>4</v>
      </c>
      <c r="CG21" s="76">
        <f t="shared" si="1"/>
        <v>4</v>
      </c>
      <c r="CH21" s="27"/>
      <c r="CI21" s="28"/>
      <c r="CJ21" s="449"/>
      <c r="CK21" s="450"/>
    </row>
    <row r="22" spans="1:89" ht="15" customHeight="1">
      <c r="A22" s="142">
        <v>18</v>
      </c>
      <c r="B22" s="145" t="s">
        <v>129</v>
      </c>
      <c r="C22" s="455"/>
      <c r="D22" s="14"/>
      <c r="E22" s="65"/>
      <c r="F22" s="14"/>
      <c r="G22" s="65"/>
      <c r="H22" s="14"/>
      <c r="I22" s="65"/>
      <c r="J22" s="14"/>
      <c r="K22" s="65"/>
      <c r="L22" s="14"/>
      <c r="M22" s="65"/>
      <c r="N22" s="14"/>
      <c r="O22" s="58"/>
      <c r="P22" s="14"/>
      <c r="Q22" s="65"/>
      <c r="R22" s="15"/>
      <c r="S22" s="65"/>
      <c r="T22" s="15"/>
      <c r="U22" s="65"/>
      <c r="V22" s="15"/>
      <c r="W22" s="65"/>
      <c r="X22" s="15"/>
      <c r="Y22" s="80"/>
      <c r="Z22" s="14"/>
      <c r="AA22" s="65"/>
      <c r="AB22" s="14"/>
      <c r="AC22" s="65"/>
      <c r="AD22" s="15"/>
      <c r="AE22" s="65"/>
      <c r="AF22" s="14"/>
      <c r="AG22" s="80"/>
      <c r="AH22" s="14"/>
      <c r="AI22" s="65"/>
      <c r="AJ22" s="14"/>
      <c r="AK22" s="65"/>
      <c r="AL22" s="14"/>
      <c r="AM22" s="65"/>
      <c r="AN22" s="14"/>
      <c r="AO22" s="65"/>
      <c r="AP22" s="523"/>
      <c r="AQ22" s="524"/>
      <c r="AR22" s="33"/>
      <c r="AS22" s="34"/>
      <c r="AT22" s="142">
        <v>18</v>
      </c>
      <c r="AU22" s="145" t="s">
        <v>129</v>
      </c>
      <c r="AV22" s="455"/>
      <c r="AW22" s="14"/>
      <c r="AX22" s="70"/>
      <c r="AY22" s="72"/>
      <c r="AZ22" s="70"/>
      <c r="BA22" s="72"/>
      <c r="BB22" s="72"/>
      <c r="BC22" s="58"/>
      <c r="BD22" s="70"/>
      <c r="BE22" s="14"/>
      <c r="BF22" s="70" t="s">
        <v>34</v>
      </c>
      <c r="BG22" s="72"/>
      <c r="BH22" s="70" t="s">
        <v>34</v>
      </c>
      <c r="BI22" s="72"/>
      <c r="BJ22" s="72" t="s">
        <v>34</v>
      </c>
      <c r="BK22" s="58"/>
      <c r="BL22" s="70" t="s">
        <v>34</v>
      </c>
      <c r="BM22" s="84"/>
      <c r="BN22" s="67" t="s">
        <v>41</v>
      </c>
      <c r="BO22" s="69"/>
      <c r="BP22" s="67" t="s">
        <v>33</v>
      </c>
      <c r="BQ22" s="69"/>
      <c r="BR22" s="72" t="s">
        <v>33</v>
      </c>
      <c r="BS22" s="87"/>
      <c r="BT22" s="67" t="s">
        <v>33</v>
      </c>
      <c r="BU22" s="96"/>
      <c r="BV22" s="67"/>
      <c r="BW22" s="69"/>
      <c r="BX22" s="67"/>
      <c r="BY22" s="69"/>
      <c r="BZ22" s="69"/>
      <c r="CA22" s="97"/>
      <c r="CB22" s="67"/>
      <c r="CC22" s="142">
        <v>18</v>
      </c>
      <c r="CD22" s="145" t="s">
        <v>129</v>
      </c>
      <c r="CE22" s="455"/>
      <c r="CF22" s="311">
        <f t="shared" si="0"/>
        <v>3</v>
      </c>
      <c r="CG22" s="76">
        <f t="shared" si="1"/>
        <v>4</v>
      </c>
      <c r="CH22" s="27"/>
      <c r="CI22" s="28"/>
      <c r="CJ22" s="449"/>
      <c r="CK22" s="450"/>
    </row>
    <row r="23" spans="1:89" ht="15" customHeight="1">
      <c r="A23" s="22">
        <v>19</v>
      </c>
      <c r="B23" s="13" t="s">
        <v>130</v>
      </c>
      <c r="C23" s="455"/>
      <c r="D23" s="16"/>
      <c r="E23" s="17"/>
      <c r="F23" s="16"/>
      <c r="G23" s="17"/>
      <c r="H23" s="16"/>
      <c r="I23" s="17"/>
      <c r="J23" s="16"/>
      <c r="K23" s="17"/>
      <c r="L23" s="16"/>
      <c r="M23" s="17"/>
      <c r="N23" s="16"/>
      <c r="O23" s="59"/>
      <c r="P23" s="16"/>
      <c r="Q23" s="17"/>
      <c r="R23" s="18"/>
      <c r="S23" s="17"/>
      <c r="T23" s="18"/>
      <c r="U23" s="17"/>
      <c r="V23" s="18"/>
      <c r="W23" s="17"/>
      <c r="X23" s="18"/>
      <c r="Y23" s="82"/>
      <c r="Z23" s="16"/>
      <c r="AA23" s="17"/>
      <c r="AB23" s="16"/>
      <c r="AC23" s="17"/>
      <c r="AD23" s="18"/>
      <c r="AE23" s="17"/>
      <c r="AF23" s="16"/>
      <c r="AG23" s="82"/>
      <c r="AH23" s="16"/>
      <c r="AI23" s="17"/>
      <c r="AJ23" s="16"/>
      <c r="AK23" s="17"/>
      <c r="AL23" s="16"/>
      <c r="AM23" s="17"/>
      <c r="AN23" s="16"/>
      <c r="AO23" s="17"/>
      <c r="AP23" s="529"/>
      <c r="AQ23" s="530"/>
      <c r="AR23" s="104"/>
      <c r="AS23" s="105"/>
      <c r="AT23" s="22">
        <v>19</v>
      </c>
      <c r="AU23" s="13" t="s">
        <v>130</v>
      </c>
      <c r="AV23" s="455"/>
      <c r="AW23" s="16"/>
      <c r="AX23" s="71"/>
      <c r="AY23" s="73"/>
      <c r="AZ23" s="71"/>
      <c r="BA23" s="73"/>
      <c r="BB23" s="73"/>
      <c r="BC23" s="59"/>
      <c r="BD23" s="71"/>
      <c r="BE23" s="16"/>
      <c r="BF23" s="71"/>
      <c r="BG23" s="73"/>
      <c r="BH23" s="71"/>
      <c r="BI23" s="73"/>
      <c r="BJ23" s="73"/>
      <c r="BK23" s="59"/>
      <c r="BL23" s="71"/>
      <c r="BM23" s="16"/>
      <c r="BN23" s="71" t="s">
        <v>34</v>
      </c>
      <c r="BO23" s="73"/>
      <c r="BP23" s="71" t="s">
        <v>34</v>
      </c>
      <c r="BQ23" s="73"/>
      <c r="BR23" s="73" t="s">
        <v>34</v>
      </c>
      <c r="BS23" s="59"/>
      <c r="BT23" s="70" t="s">
        <v>61</v>
      </c>
      <c r="BU23" s="81"/>
      <c r="BV23" s="66"/>
      <c r="BW23" s="68"/>
      <c r="BX23" s="71" t="s">
        <v>33</v>
      </c>
      <c r="BY23" s="68"/>
      <c r="BZ23" s="73" t="s">
        <v>33</v>
      </c>
      <c r="CA23" s="110"/>
      <c r="CB23" s="66" t="s">
        <v>33</v>
      </c>
      <c r="CC23" s="22">
        <v>19</v>
      </c>
      <c r="CD23" s="13" t="s">
        <v>130</v>
      </c>
      <c r="CE23" s="455"/>
      <c r="CF23" s="311">
        <f t="shared" si="0"/>
        <v>3</v>
      </c>
      <c r="CG23" s="76">
        <f t="shared" si="1"/>
        <v>3</v>
      </c>
      <c r="CH23" s="27"/>
      <c r="CI23" s="28"/>
      <c r="CJ23" s="545"/>
      <c r="CK23" s="546"/>
    </row>
    <row r="24" spans="1:89" ht="15" customHeight="1">
      <c r="A24" s="22">
        <v>20</v>
      </c>
      <c r="B24" s="13" t="s">
        <v>131</v>
      </c>
      <c r="C24" s="455"/>
      <c r="D24" s="16"/>
      <c r="E24" s="17"/>
      <c r="F24" s="16"/>
      <c r="G24" s="17"/>
      <c r="H24" s="16"/>
      <c r="I24" s="17"/>
      <c r="J24" s="16"/>
      <c r="K24" s="17"/>
      <c r="L24" s="16"/>
      <c r="M24" s="17"/>
      <c r="N24" s="16"/>
      <c r="O24" s="59"/>
      <c r="P24" s="16"/>
      <c r="Q24" s="17"/>
      <c r="R24" s="18"/>
      <c r="S24" s="17"/>
      <c r="T24" s="18"/>
      <c r="U24" s="17"/>
      <c r="V24" s="18"/>
      <c r="W24" s="17"/>
      <c r="X24" s="18"/>
      <c r="Y24" s="82"/>
      <c r="Z24" s="16"/>
      <c r="AA24" s="17"/>
      <c r="AB24" s="16"/>
      <c r="AC24" s="17"/>
      <c r="AD24" s="18"/>
      <c r="AE24" s="17"/>
      <c r="AF24" s="16"/>
      <c r="AG24" s="82"/>
      <c r="AH24" s="16"/>
      <c r="AI24" s="17"/>
      <c r="AJ24" s="16"/>
      <c r="AK24" s="17"/>
      <c r="AL24" s="16"/>
      <c r="AM24" s="17"/>
      <c r="AN24" s="16"/>
      <c r="AO24" s="17"/>
      <c r="AP24" s="529"/>
      <c r="AQ24" s="530"/>
      <c r="AR24" s="104"/>
      <c r="AS24" s="105"/>
      <c r="AT24" s="22">
        <v>20</v>
      </c>
      <c r="AU24" s="13" t="s">
        <v>131</v>
      </c>
      <c r="AV24" s="455"/>
      <c r="AW24" s="81"/>
      <c r="AX24" s="66" t="s">
        <v>33</v>
      </c>
      <c r="AY24" s="68"/>
      <c r="AZ24" s="66" t="s">
        <v>33</v>
      </c>
      <c r="BA24" s="68"/>
      <c r="BB24" s="73" t="s">
        <v>33</v>
      </c>
      <c r="BC24" s="110"/>
      <c r="BD24" s="66" t="s">
        <v>33</v>
      </c>
      <c r="BE24" s="16"/>
      <c r="BF24" s="71"/>
      <c r="BG24" s="73"/>
      <c r="BH24" s="71"/>
      <c r="BI24" s="73"/>
      <c r="BJ24" s="73"/>
      <c r="BK24" s="59"/>
      <c r="BL24" s="71"/>
      <c r="BM24" s="38"/>
      <c r="BN24" s="71"/>
      <c r="BO24" s="73"/>
      <c r="BP24" s="71"/>
      <c r="BQ24" s="73"/>
      <c r="BR24" s="73"/>
      <c r="BS24" s="18"/>
      <c r="BT24" s="71"/>
      <c r="BU24" s="16"/>
      <c r="BV24" s="71"/>
      <c r="BW24" s="73"/>
      <c r="BX24" s="71" t="s">
        <v>34</v>
      </c>
      <c r="BY24" s="73"/>
      <c r="BZ24" s="73" t="s">
        <v>34</v>
      </c>
      <c r="CA24" s="59"/>
      <c r="CB24" s="71" t="s">
        <v>34</v>
      </c>
      <c r="CC24" s="22">
        <v>20</v>
      </c>
      <c r="CD24" s="13" t="s">
        <v>131</v>
      </c>
      <c r="CE24" s="455"/>
      <c r="CF24" s="311">
        <f t="shared" si="0"/>
        <v>4</v>
      </c>
      <c r="CG24" s="76">
        <f t="shared" si="1"/>
        <v>3</v>
      </c>
      <c r="CH24" s="27"/>
      <c r="CI24" s="28"/>
      <c r="CJ24" s="449"/>
      <c r="CK24" s="450"/>
    </row>
    <row r="25" spans="1:89" ht="15" customHeight="1">
      <c r="A25" s="142">
        <v>21</v>
      </c>
      <c r="B25" s="145" t="s">
        <v>132</v>
      </c>
      <c r="C25" s="455">
        <v>26</v>
      </c>
      <c r="D25" s="14"/>
      <c r="E25" s="65"/>
      <c r="F25" s="14"/>
      <c r="G25" s="65"/>
      <c r="H25" s="14"/>
      <c r="I25" s="65"/>
      <c r="J25" s="14"/>
      <c r="K25" s="65"/>
      <c r="L25" s="14"/>
      <c r="M25" s="65"/>
      <c r="N25" s="14"/>
      <c r="O25" s="58"/>
      <c r="P25" s="14"/>
      <c r="Q25" s="65"/>
      <c r="R25" s="15"/>
      <c r="S25" s="65"/>
      <c r="T25" s="15"/>
      <c r="U25" s="65"/>
      <c r="V25" s="15"/>
      <c r="W25" s="65"/>
      <c r="X25" s="15"/>
      <c r="Y25" s="80"/>
      <c r="Z25" s="14"/>
      <c r="AA25" s="65"/>
      <c r="AB25" s="14"/>
      <c r="AC25" s="65"/>
      <c r="AD25" s="15"/>
      <c r="AE25" s="65"/>
      <c r="AF25" s="14"/>
      <c r="AG25" s="80"/>
      <c r="AH25" s="14"/>
      <c r="AI25" s="65"/>
      <c r="AJ25" s="14"/>
      <c r="AK25" s="65"/>
      <c r="AL25" s="14"/>
      <c r="AM25" s="65"/>
      <c r="AN25" s="14"/>
      <c r="AO25" s="65"/>
      <c r="AP25" s="523"/>
      <c r="AQ25" s="524"/>
      <c r="AR25" s="33"/>
      <c r="AS25" s="34"/>
      <c r="AT25" s="142">
        <v>21</v>
      </c>
      <c r="AU25" s="145" t="s">
        <v>132</v>
      </c>
      <c r="AV25" s="455">
        <v>26</v>
      </c>
      <c r="AW25" s="14"/>
      <c r="AX25" s="70" t="s">
        <v>34</v>
      </c>
      <c r="AY25" s="72"/>
      <c r="AZ25" s="70" t="s">
        <v>34</v>
      </c>
      <c r="BA25" s="72"/>
      <c r="BB25" s="72" t="s">
        <v>34</v>
      </c>
      <c r="BC25" s="58"/>
      <c r="BD25" s="70" t="s">
        <v>34</v>
      </c>
      <c r="BE25" s="84"/>
      <c r="BF25" s="67" t="s">
        <v>33</v>
      </c>
      <c r="BG25" s="69"/>
      <c r="BH25" s="67" t="s">
        <v>33</v>
      </c>
      <c r="BI25" s="69"/>
      <c r="BJ25" s="72" t="s">
        <v>33</v>
      </c>
      <c r="BK25" s="87"/>
      <c r="BL25" s="67" t="s">
        <v>33</v>
      </c>
      <c r="BM25" s="37"/>
      <c r="BN25" s="70"/>
      <c r="BO25" s="72"/>
      <c r="BP25" s="70"/>
      <c r="BQ25" s="72"/>
      <c r="BR25" s="72"/>
      <c r="BS25" s="15"/>
      <c r="BT25" s="70"/>
      <c r="BU25" s="96"/>
      <c r="BV25" s="67"/>
      <c r="BW25" s="69"/>
      <c r="BX25" s="67"/>
      <c r="BY25" s="69"/>
      <c r="BZ25" s="69"/>
      <c r="CA25" s="97"/>
      <c r="CB25" s="67"/>
      <c r="CC25" s="142">
        <v>21</v>
      </c>
      <c r="CD25" s="145" t="s">
        <v>132</v>
      </c>
      <c r="CE25" s="455">
        <v>25</v>
      </c>
      <c r="CF25" s="311">
        <f t="shared" si="0"/>
        <v>4</v>
      </c>
      <c r="CG25" s="76">
        <f t="shared" si="1"/>
        <v>4</v>
      </c>
      <c r="CH25" s="27"/>
      <c r="CI25" s="28"/>
      <c r="CJ25" s="449"/>
      <c r="CK25" s="450"/>
    </row>
    <row r="26" spans="1:89" ht="15" customHeight="1">
      <c r="A26" s="142">
        <v>22</v>
      </c>
      <c r="B26" s="145" t="s">
        <v>133</v>
      </c>
      <c r="C26" s="455"/>
      <c r="D26" s="14"/>
      <c r="E26" s="65"/>
      <c r="F26" s="14"/>
      <c r="G26" s="65"/>
      <c r="H26" s="112"/>
      <c r="I26" s="65"/>
      <c r="J26" s="14"/>
      <c r="K26" s="65"/>
      <c r="L26" s="112"/>
      <c r="M26" s="65"/>
      <c r="N26" s="14"/>
      <c r="O26" s="58"/>
      <c r="P26" s="14"/>
      <c r="Q26" s="65"/>
      <c r="R26" s="112"/>
      <c r="S26" s="65"/>
      <c r="T26" s="15"/>
      <c r="U26" s="65"/>
      <c r="V26" s="112"/>
      <c r="W26" s="65"/>
      <c r="X26" s="112"/>
      <c r="Y26" s="80"/>
      <c r="Z26" s="14"/>
      <c r="AA26" s="65"/>
      <c r="AB26" s="14"/>
      <c r="AC26" s="65"/>
      <c r="AD26" s="15"/>
      <c r="AE26" s="65"/>
      <c r="AF26" s="14"/>
      <c r="AG26" s="80"/>
      <c r="AH26" s="14"/>
      <c r="AI26" s="65"/>
      <c r="AJ26" s="14"/>
      <c r="AK26" s="65"/>
      <c r="AL26" s="14"/>
      <c r="AM26" s="65"/>
      <c r="AN26" s="14"/>
      <c r="AO26" s="65"/>
      <c r="AP26" s="523"/>
      <c r="AQ26" s="524"/>
      <c r="AR26" s="33"/>
      <c r="AS26" s="34"/>
      <c r="AT26" s="142">
        <v>22</v>
      </c>
      <c r="AU26" s="145" t="s">
        <v>133</v>
      </c>
      <c r="AV26" s="455"/>
      <c r="AW26" s="14"/>
      <c r="AX26" s="70"/>
      <c r="AY26" s="72"/>
      <c r="AZ26" s="70"/>
      <c r="BA26" s="72"/>
      <c r="BB26" s="72"/>
      <c r="BC26" s="58"/>
      <c r="BD26" s="70"/>
      <c r="BE26" s="14"/>
      <c r="BF26" s="70" t="s">
        <v>34</v>
      </c>
      <c r="BG26" s="72"/>
      <c r="BH26" s="70" t="s">
        <v>34</v>
      </c>
      <c r="BI26" s="72"/>
      <c r="BJ26" s="72" t="s">
        <v>34</v>
      </c>
      <c r="BK26" s="58"/>
      <c r="BL26" s="70" t="s">
        <v>34</v>
      </c>
      <c r="BM26" s="84"/>
      <c r="BN26" s="67" t="s">
        <v>33</v>
      </c>
      <c r="BO26" s="69"/>
      <c r="BP26" s="67" t="s">
        <v>33</v>
      </c>
      <c r="BQ26" s="69"/>
      <c r="BR26" s="72" t="s">
        <v>33</v>
      </c>
      <c r="BS26" s="87"/>
      <c r="BT26" s="67" t="s">
        <v>33</v>
      </c>
      <c r="BU26" s="96"/>
      <c r="BV26" s="67"/>
      <c r="BW26" s="69"/>
      <c r="BX26" s="67"/>
      <c r="BY26" s="69"/>
      <c r="BZ26" s="69"/>
      <c r="CA26" s="97"/>
      <c r="CB26" s="67"/>
      <c r="CC26" s="142">
        <v>22</v>
      </c>
      <c r="CD26" s="145" t="s">
        <v>133</v>
      </c>
      <c r="CE26" s="455"/>
      <c r="CF26" s="311">
        <f t="shared" si="0"/>
        <v>4</v>
      </c>
      <c r="CG26" s="76">
        <f t="shared" si="1"/>
        <v>4</v>
      </c>
      <c r="CH26" s="27"/>
      <c r="CI26" s="28"/>
      <c r="CJ26" s="449"/>
      <c r="CK26" s="450"/>
    </row>
    <row r="27" spans="1:89" ht="15" customHeight="1">
      <c r="A27" s="142">
        <v>23</v>
      </c>
      <c r="B27" s="145" t="s">
        <v>127</v>
      </c>
      <c r="C27" s="455"/>
      <c r="D27" s="14"/>
      <c r="E27" s="65"/>
      <c r="F27" s="14"/>
      <c r="G27" s="65"/>
      <c r="H27" s="14"/>
      <c r="I27" s="65"/>
      <c r="J27" s="14"/>
      <c r="K27" s="65"/>
      <c r="L27" s="14"/>
      <c r="M27" s="65"/>
      <c r="N27" s="14"/>
      <c r="O27" s="58"/>
      <c r="P27" s="14"/>
      <c r="Q27" s="65"/>
      <c r="R27" s="15"/>
      <c r="S27" s="65"/>
      <c r="T27" s="15"/>
      <c r="U27" s="65"/>
      <c r="V27" s="15"/>
      <c r="W27" s="65"/>
      <c r="X27" s="15"/>
      <c r="Y27" s="80"/>
      <c r="Z27" s="14"/>
      <c r="AA27" s="65"/>
      <c r="AB27" s="14"/>
      <c r="AC27" s="65"/>
      <c r="AD27" s="15"/>
      <c r="AE27" s="65"/>
      <c r="AF27" s="14"/>
      <c r="AG27" s="80"/>
      <c r="AH27" s="14"/>
      <c r="AI27" s="65"/>
      <c r="AJ27" s="14" t="s">
        <v>42</v>
      </c>
      <c r="AK27" s="65"/>
      <c r="AL27" s="14"/>
      <c r="AM27" s="65"/>
      <c r="AN27" s="14"/>
      <c r="AO27" s="65"/>
      <c r="AP27" s="523"/>
      <c r="AQ27" s="524"/>
      <c r="AR27" s="33"/>
      <c r="AS27" s="34"/>
      <c r="AT27" s="142">
        <v>23</v>
      </c>
      <c r="AU27" s="145" t="s">
        <v>127</v>
      </c>
      <c r="AV27" s="455"/>
      <c r="AW27" s="14"/>
      <c r="AX27" s="70"/>
      <c r="AY27" s="72"/>
      <c r="AZ27" s="70"/>
      <c r="BA27" s="72"/>
      <c r="BB27" s="72"/>
      <c r="BC27" s="58"/>
      <c r="BD27" s="70"/>
      <c r="BE27" s="14"/>
      <c r="BF27" s="70"/>
      <c r="BG27" s="72"/>
      <c r="BH27" s="70"/>
      <c r="BI27" s="72"/>
      <c r="BJ27" s="72"/>
      <c r="BK27" s="58"/>
      <c r="BL27" s="70"/>
      <c r="BM27" s="14"/>
      <c r="BN27" s="70" t="s">
        <v>34</v>
      </c>
      <c r="BO27" s="72"/>
      <c r="BP27" s="70" t="s">
        <v>34</v>
      </c>
      <c r="BQ27" s="72"/>
      <c r="BR27" s="72" t="s">
        <v>34</v>
      </c>
      <c r="BS27" s="58"/>
      <c r="BT27" s="70" t="s">
        <v>34</v>
      </c>
      <c r="BU27" s="84"/>
      <c r="BV27" s="67"/>
      <c r="BW27" s="69"/>
      <c r="BX27" s="67" t="s">
        <v>33</v>
      </c>
      <c r="BY27" s="69"/>
      <c r="BZ27" s="72" t="s">
        <v>33</v>
      </c>
      <c r="CA27" s="87"/>
      <c r="CB27" s="67" t="s">
        <v>33</v>
      </c>
      <c r="CC27" s="142">
        <v>23</v>
      </c>
      <c r="CD27" s="145" t="s">
        <v>127</v>
      </c>
      <c r="CE27" s="455"/>
      <c r="CF27" s="311">
        <f t="shared" si="0"/>
        <v>3</v>
      </c>
      <c r="CG27" s="76">
        <f t="shared" si="1"/>
        <v>4</v>
      </c>
      <c r="CH27" s="27"/>
      <c r="CI27" s="28"/>
      <c r="CJ27" s="449"/>
      <c r="CK27" s="450"/>
    </row>
    <row r="28" spans="1:89" ht="15" customHeight="1">
      <c r="A28" s="142">
        <v>24</v>
      </c>
      <c r="B28" s="145" t="s">
        <v>128</v>
      </c>
      <c r="C28" s="455"/>
      <c r="D28" s="14"/>
      <c r="E28" s="65"/>
      <c r="F28" s="14"/>
      <c r="G28" s="65"/>
      <c r="H28" s="14"/>
      <c r="I28" s="65"/>
      <c r="J28" s="14"/>
      <c r="K28" s="65"/>
      <c r="L28" s="14"/>
      <c r="M28" s="65"/>
      <c r="N28" s="14"/>
      <c r="O28" s="58"/>
      <c r="P28" s="14"/>
      <c r="Q28" s="65"/>
      <c r="R28" s="15"/>
      <c r="S28" s="65"/>
      <c r="T28" s="15"/>
      <c r="U28" s="65"/>
      <c r="V28" s="15"/>
      <c r="W28" s="65"/>
      <c r="X28" s="15"/>
      <c r="Y28" s="80"/>
      <c r="Z28" s="14"/>
      <c r="AA28" s="65"/>
      <c r="AB28" s="14"/>
      <c r="AC28" s="65"/>
      <c r="AD28" s="15"/>
      <c r="AE28" s="65"/>
      <c r="AF28" s="14"/>
      <c r="AG28" s="80"/>
      <c r="AH28" s="14"/>
      <c r="AI28" s="65"/>
      <c r="AJ28" s="14"/>
      <c r="AK28" s="65"/>
      <c r="AL28" s="14"/>
      <c r="AM28" s="65"/>
      <c r="AN28" s="14"/>
      <c r="AO28" s="65"/>
      <c r="AP28" s="523"/>
      <c r="AQ28" s="524"/>
      <c r="AR28" s="33"/>
      <c r="AS28" s="34"/>
      <c r="AT28" s="142">
        <v>24</v>
      </c>
      <c r="AU28" s="145" t="s">
        <v>128</v>
      </c>
      <c r="AV28" s="455"/>
      <c r="AW28" s="84"/>
      <c r="AX28" s="67" t="s">
        <v>33</v>
      </c>
      <c r="AY28" s="69"/>
      <c r="AZ28" s="67" t="s">
        <v>41</v>
      </c>
      <c r="BA28" s="69"/>
      <c r="BB28" s="72" t="s">
        <v>33</v>
      </c>
      <c r="BC28" s="87"/>
      <c r="BD28" s="67" t="s">
        <v>33</v>
      </c>
      <c r="BE28" s="14"/>
      <c r="BF28" s="70"/>
      <c r="BG28" s="72"/>
      <c r="BH28" s="70"/>
      <c r="BI28" s="72"/>
      <c r="BJ28" s="72"/>
      <c r="BK28" s="58"/>
      <c r="BL28" s="70"/>
      <c r="BM28" s="37"/>
      <c r="BN28" s="70"/>
      <c r="BO28" s="72"/>
      <c r="BP28" s="70"/>
      <c r="BQ28" s="72"/>
      <c r="BR28" s="72"/>
      <c r="BS28" s="15"/>
      <c r="BT28" s="70"/>
      <c r="BU28" s="14"/>
      <c r="BV28" s="70"/>
      <c r="BW28" s="72"/>
      <c r="BX28" s="70" t="s">
        <v>34</v>
      </c>
      <c r="BY28" s="72"/>
      <c r="BZ28" s="72" t="s">
        <v>34</v>
      </c>
      <c r="CA28" s="58"/>
      <c r="CB28" s="70" t="s">
        <v>34</v>
      </c>
      <c r="CC28" s="142">
        <v>24</v>
      </c>
      <c r="CD28" s="145" t="s">
        <v>128</v>
      </c>
      <c r="CE28" s="455"/>
      <c r="CF28" s="311">
        <f t="shared" si="0"/>
        <v>3</v>
      </c>
      <c r="CG28" s="76">
        <f t="shared" si="1"/>
        <v>3</v>
      </c>
      <c r="CH28" s="27"/>
      <c r="CI28" s="28"/>
      <c r="CJ28" s="449"/>
      <c r="CK28" s="450"/>
    </row>
    <row r="29" spans="1:89" ht="15" customHeight="1">
      <c r="A29" s="142">
        <v>25</v>
      </c>
      <c r="B29" s="145" t="s">
        <v>129</v>
      </c>
      <c r="C29" s="455"/>
      <c r="D29" s="14"/>
      <c r="E29" s="65"/>
      <c r="F29" s="14"/>
      <c r="G29" s="65"/>
      <c r="H29" s="14"/>
      <c r="I29" s="65"/>
      <c r="J29" s="14"/>
      <c r="K29" s="65"/>
      <c r="L29" s="14"/>
      <c r="M29" s="65"/>
      <c r="N29" s="14"/>
      <c r="O29" s="58"/>
      <c r="P29" s="14"/>
      <c r="Q29" s="65"/>
      <c r="R29" s="15"/>
      <c r="S29" s="65"/>
      <c r="T29" s="15"/>
      <c r="U29" s="65"/>
      <c r="V29" s="15"/>
      <c r="W29" s="65"/>
      <c r="X29" s="15"/>
      <c r="Y29" s="80"/>
      <c r="Z29" s="14"/>
      <c r="AA29" s="65"/>
      <c r="AB29" s="14"/>
      <c r="AC29" s="65"/>
      <c r="AD29" s="15"/>
      <c r="AE29" s="65"/>
      <c r="AF29" s="14"/>
      <c r="AG29" s="80"/>
      <c r="AH29" s="14"/>
      <c r="AI29" s="65"/>
      <c r="AJ29" s="14"/>
      <c r="AK29" s="65"/>
      <c r="AL29" s="14"/>
      <c r="AM29" s="65"/>
      <c r="AN29" s="14"/>
      <c r="AO29" s="65"/>
      <c r="AP29" s="523"/>
      <c r="AQ29" s="524"/>
      <c r="AR29" s="33"/>
      <c r="AS29" s="34"/>
      <c r="AT29" s="142">
        <v>25</v>
      </c>
      <c r="AU29" s="145" t="s">
        <v>129</v>
      </c>
      <c r="AV29" s="455"/>
      <c r="AW29" s="14"/>
      <c r="AX29" s="70" t="s">
        <v>34</v>
      </c>
      <c r="AY29" s="72"/>
      <c r="AZ29" s="70" t="s">
        <v>34</v>
      </c>
      <c r="BA29" s="72"/>
      <c r="BB29" s="72" t="s">
        <v>34</v>
      </c>
      <c r="BC29" s="58"/>
      <c r="BD29" s="70" t="s">
        <v>34</v>
      </c>
      <c r="BE29" s="84"/>
      <c r="BF29" s="67" t="s">
        <v>33</v>
      </c>
      <c r="BG29" s="69"/>
      <c r="BH29" s="67" t="s">
        <v>33</v>
      </c>
      <c r="BI29" s="69"/>
      <c r="BJ29" s="72" t="s">
        <v>33</v>
      </c>
      <c r="BK29" s="87"/>
      <c r="BL29" s="67" t="s">
        <v>33</v>
      </c>
      <c r="BM29" s="37"/>
      <c r="BN29" s="70"/>
      <c r="BO29" s="72"/>
      <c r="BP29" s="70"/>
      <c r="BQ29" s="72"/>
      <c r="BR29" s="72"/>
      <c r="BS29" s="15"/>
      <c r="BT29" s="70"/>
      <c r="BU29" s="96"/>
      <c r="BV29" s="67"/>
      <c r="BW29" s="69"/>
      <c r="BX29" s="67"/>
      <c r="BY29" s="69"/>
      <c r="BZ29" s="69"/>
      <c r="CA29" s="97"/>
      <c r="CB29" s="67"/>
      <c r="CC29" s="142">
        <v>25</v>
      </c>
      <c r="CD29" s="145" t="s">
        <v>129</v>
      </c>
      <c r="CE29" s="455"/>
      <c r="CF29" s="311">
        <f t="shared" si="0"/>
        <v>4</v>
      </c>
      <c r="CG29" s="76">
        <f t="shared" si="1"/>
        <v>4</v>
      </c>
      <c r="CH29" s="27"/>
      <c r="CI29" s="28"/>
      <c r="CJ29" s="449"/>
      <c r="CK29" s="450"/>
    </row>
    <row r="30" spans="1:89" ht="15" customHeight="1">
      <c r="A30" s="22">
        <v>26</v>
      </c>
      <c r="B30" s="13" t="s">
        <v>130</v>
      </c>
      <c r="C30" s="455"/>
      <c r="D30" s="111"/>
      <c r="E30" s="17"/>
      <c r="F30" s="111"/>
      <c r="G30" s="17"/>
      <c r="H30" s="111"/>
      <c r="I30" s="17"/>
      <c r="J30" s="111"/>
      <c r="K30" s="17"/>
      <c r="L30" s="111"/>
      <c r="M30" s="17"/>
      <c r="N30" s="16"/>
      <c r="O30" s="59"/>
      <c r="P30" s="16"/>
      <c r="Q30" s="17"/>
      <c r="R30" s="111"/>
      <c r="S30" s="17"/>
      <c r="T30" s="111"/>
      <c r="U30" s="17"/>
      <c r="V30" s="18"/>
      <c r="W30" s="17"/>
      <c r="X30" s="279"/>
      <c r="Y30" s="82"/>
      <c r="Z30" s="111"/>
      <c r="AA30" s="17"/>
      <c r="AB30" s="111"/>
      <c r="AC30" s="17"/>
      <c r="AD30" s="111"/>
      <c r="AE30" s="17"/>
      <c r="AF30" s="111"/>
      <c r="AG30" s="82"/>
      <c r="AH30" s="111"/>
      <c r="AI30" s="17"/>
      <c r="AJ30" s="16"/>
      <c r="AK30" s="17"/>
      <c r="AL30" s="111"/>
      <c r="AM30" s="17"/>
      <c r="AN30" s="111"/>
      <c r="AO30" s="17"/>
      <c r="AP30" s="511" t="s">
        <v>304</v>
      </c>
      <c r="AQ30" s="530"/>
      <c r="AR30" s="104"/>
      <c r="AS30" s="105"/>
      <c r="AT30" s="22">
        <v>26</v>
      </c>
      <c r="AU30" s="13" t="s">
        <v>130</v>
      </c>
      <c r="AV30" s="455"/>
      <c r="AW30" s="16"/>
      <c r="AX30" s="71"/>
      <c r="AY30" s="73"/>
      <c r="AZ30" s="71"/>
      <c r="BA30" s="73"/>
      <c r="BB30" s="73"/>
      <c r="BC30" s="59"/>
      <c r="BD30" s="71"/>
      <c r="BE30" s="16"/>
      <c r="BF30" s="71" t="s">
        <v>34</v>
      </c>
      <c r="BG30" s="73"/>
      <c r="BH30" s="71" t="s">
        <v>34</v>
      </c>
      <c r="BI30" s="73"/>
      <c r="BJ30" s="73" t="s">
        <v>34</v>
      </c>
      <c r="BK30" s="59"/>
      <c r="BL30" s="71" t="s">
        <v>34</v>
      </c>
      <c r="BM30" s="81"/>
      <c r="BN30" s="66" t="s">
        <v>33</v>
      </c>
      <c r="BO30" s="68"/>
      <c r="BP30" s="66" t="s">
        <v>33</v>
      </c>
      <c r="BQ30" s="68"/>
      <c r="BR30" s="73" t="s">
        <v>33</v>
      </c>
      <c r="BS30" s="110"/>
      <c r="BT30" s="71" t="s">
        <v>33</v>
      </c>
      <c r="BU30" s="108"/>
      <c r="BV30" s="66"/>
      <c r="BW30" s="68"/>
      <c r="BX30" s="66"/>
      <c r="BY30" s="68"/>
      <c r="BZ30" s="68"/>
      <c r="CA30" s="83"/>
      <c r="CB30" s="66"/>
      <c r="CC30" s="22">
        <v>26</v>
      </c>
      <c r="CD30" s="13" t="s">
        <v>130</v>
      </c>
      <c r="CE30" s="455"/>
      <c r="CF30" s="311">
        <f t="shared" si="0"/>
        <v>4</v>
      </c>
      <c r="CG30" s="76">
        <f t="shared" si="1"/>
        <v>4</v>
      </c>
      <c r="CH30" s="27"/>
      <c r="CI30" s="28"/>
      <c r="CJ30" s="449"/>
      <c r="CK30" s="450"/>
    </row>
    <row r="31" spans="1:89" ht="15" customHeight="1">
      <c r="A31" s="22">
        <v>27</v>
      </c>
      <c r="B31" s="13" t="s">
        <v>131</v>
      </c>
      <c r="C31" s="455"/>
      <c r="D31" s="16"/>
      <c r="E31" s="17"/>
      <c r="F31" s="16"/>
      <c r="G31" s="17"/>
      <c r="H31" s="16"/>
      <c r="I31" s="17"/>
      <c r="J31" s="16"/>
      <c r="K31" s="17"/>
      <c r="L31" s="16"/>
      <c r="M31" s="17"/>
      <c r="N31" s="16"/>
      <c r="O31" s="59"/>
      <c r="P31" s="16"/>
      <c r="Q31" s="17"/>
      <c r="R31" s="18"/>
      <c r="S31" s="17"/>
      <c r="T31" s="18"/>
      <c r="U31" s="17"/>
      <c r="V31" s="18"/>
      <c r="W31" s="17"/>
      <c r="X31" s="18"/>
      <c r="Y31" s="82"/>
      <c r="Z31" s="16"/>
      <c r="AA31" s="17"/>
      <c r="AB31" s="16"/>
      <c r="AC31" s="17"/>
      <c r="AD31" s="18"/>
      <c r="AE31" s="17"/>
      <c r="AF31" s="16"/>
      <c r="AG31" s="82"/>
      <c r="AH31" s="16"/>
      <c r="AI31" s="17"/>
      <c r="AJ31" s="16"/>
      <c r="AK31" s="17"/>
      <c r="AL31" s="16"/>
      <c r="AM31" s="17"/>
      <c r="AN31" s="16"/>
      <c r="AO31" s="17"/>
      <c r="AP31" s="529"/>
      <c r="AQ31" s="530"/>
      <c r="AR31" s="104"/>
      <c r="AS31" s="105"/>
      <c r="AT31" s="22">
        <v>27</v>
      </c>
      <c r="AU31" s="13" t="s">
        <v>131</v>
      </c>
      <c r="AV31" s="455"/>
      <c r="AW31" s="16"/>
      <c r="AX31" s="71"/>
      <c r="AY31" s="73"/>
      <c r="AZ31" s="71"/>
      <c r="BA31" s="73"/>
      <c r="BB31" s="73"/>
      <c r="BC31" s="59"/>
      <c r="BD31" s="71"/>
      <c r="BE31" s="16"/>
      <c r="BF31" s="71"/>
      <c r="BG31" s="73"/>
      <c r="BH31" s="71"/>
      <c r="BI31" s="73"/>
      <c r="BJ31" s="73"/>
      <c r="BK31" s="59"/>
      <c r="BL31" s="71"/>
      <c r="BM31" s="16"/>
      <c r="BN31" s="71" t="s">
        <v>34</v>
      </c>
      <c r="BO31" s="73"/>
      <c r="BP31" s="71" t="s">
        <v>34</v>
      </c>
      <c r="BQ31" s="73"/>
      <c r="BR31" s="73" t="s">
        <v>34</v>
      </c>
      <c r="BS31" s="59"/>
      <c r="BT31" s="75" t="s">
        <v>34</v>
      </c>
      <c r="BU31" s="81"/>
      <c r="BV31" s="66"/>
      <c r="BW31" s="68"/>
      <c r="BX31" s="66" t="s">
        <v>33</v>
      </c>
      <c r="BY31" s="68"/>
      <c r="BZ31" s="73" t="s">
        <v>33</v>
      </c>
      <c r="CA31" s="110"/>
      <c r="CB31" s="66" t="s">
        <v>33</v>
      </c>
      <c r="CC31" s="22">
        <v>27</v>
      </c>
      <c r="CD31" s="13" t="s">
        <v>131</v>
      </c>
      <c r="CE31" s="455"/>
      <c r="CF31" s="311">
        <f t="shared" si="0"/>
        <v>3</v>
      </c>
      <c r="CG31" s="76">
        <f t="shared" si="1"/>
        <v>4</v>
      </c>
      <c r="CH31" s="27"/>
      <c r="CI31" s="28"/>
      <c r="CJ31" s="449"/>
      <c r="CK31" s="450"/>
    </row>
    <row r="32" spans="1:89" ht="15" customHeight="1">
      <c r="A32" s="142">
        <v>28</v>
      </c>
      <c r="B32" s="145" t="s">
        <v>132</v>
      </c>
      <c r="C32" s="455">
        <v>27</v>
      </c>
      <c r="D32" s="14"/>
      <c r="E32" s="65"/>
      <c r="F32" s="14"/>
      <c r="G32" s="65"/>
      <c r="H32" s="14"/>
      <c r="I32" s="65"/>
      <c r="J32" s="14"/>
      <c r="K32" s="65"/>
      <c r="L32" s="14"/>
      <c r="M32" s="65"/>
      <c r="N32" s="14"/>
      <c r="O32" s="58"/>
      <c r="P32" s="14"/>
      <c r="Q32" s="65"/>
      <c r="R32" s="15"/>
      <c r="S32" s="65"/>
      <c r="T32" s="15"/>
      <c r="U32" s="65"/>
      <c r="V32" s="15"/>
      <c r="W32" s="65"/>
      <c r="X32" s="15"/>
      <c r="Y32" s="80"/>
      <c r="Z32" s="14"/>
      <c r="AA32" s="65"/>
      <c r="AB32" s="14"/>
      <c r="AC32" s="65"/>
      <c r="AD32" s="15"/>
      <c r="AE32" s="65"/>
      <c r="AF32" s="14"/>
      <c r="AG32" s="80"/>
      <c r="AH32" s="14"/>
      <c r="AI32" s="65"/>
      <c r="AJ32" s="14"/>
      <c r="AK32" s="65"/>
      <c r="AL32" s="14"/>
      <c r="AM32" s="65"/>
      <c r="AN32" s="14"/>
      <c r="AO32" s="65"/>
      <c r="AP32" s="509"/>
      <c r="AQ32" s="510"/>
      <c r="AR32" s="33"/>
      <c r="AS32" s="34"/>
      <c r="AT32" s="142">
        <v>28</v>
      </c>
      <c r="AU32" s="145" t="s">
        <v>132</v>
      </c>
      <c r="AV32" s="455">
        <v>27</v>
      </c>
      <c r="AW32" s="84"/>
      <c r="AX32" s="67" t="s">
        <v>33</v>
      </c>
      <c r="AY32" s="69"/>
      <c r="AZ32" s="67" t="s">
        <v>33</v>
      </c>
      <c r="BA32" s="69"/>
      <c r="BB32" s="72" t="s">
        <v>33</v>
      </c>
      <c r="BC32" s="87"/>
      <c r="BD32" s="67" t="s">
        <v>33</v>
      </c>
      <c r="BE32" s="14"/>
      <c r="BF32" s="70"/>
      <c r="BG32" s="72"/>
      <c r="BH32" s="70"/>
      <c r="BI32" s="72"/>
      <c r="BJ32" s="72"/>
      <c r="BK32" s="58"/>
      <c r="BL32" s="70"/>
      <c r="BM32" s="37"/>
      <c r="BN32" s="70"/>
      <c r="BO32" s="72"/>
      <c r="BP32" s="70"/>
      <c r="BQ32" s="72"/>
      <c r="BR32" s="72"/>
      <c r="BS32" s="15"/>
      <c r="BT32" s="70"/>
      <c r="BU32" s="14"/>
      <c r="BV32" s="70"/>
      <c r="BW32" s="72"/>
      <c r="BX32" s="70" t="s">
        <v>34</v>
      </c>
      <c r="BY32" s="72"/>
      <c r="BZ32" s="72" t="s">
        <v>34</v>
      </c>
      <c r="CA32" s="58"/>
      <c r="CB32" s="70" t="s">
        <v>34</v>
      </c>
      <c r="CC32" s="142">
        <v>28</v>
      </c>
      <c r="CD32" s="145" t="s">
        <v>132</v>
      </c>
      <c r="CE32" s="455">
        <v>26</v>
      </c>
      <c r="CF32" s="311">
        <f t="shared" si="0"/>
        <v>4</v>
      </c>
      <c r="CG32" s="76">
        <f t="shared" si="1"/>
        <v>3</v>
      </c>
      <c r="CH32" s="27"/>
      <c r="CI32" s="28"/>
      <c r="CJ32" s="449"/>
      <c r="CK32" s="450"/>
    </row>
    <row r="33" spans="1:89" ht="15" customHeight="1">
      <c r="A33" s="142">
        <v>29</v>
      </c>
      <c r="B33" s="145" t="s">
        <v>133</v>
      </c>
      <c r="C33" s="455"/>
      <c r="D33" s="14"/>
      <c r="E33" s="65"/>
      <c r="F33" s="14"/>
      <c r="G33" s="65"/>
      <c r="H33" s="14"/>
      <c r="I33" s="65"/>
      <c r="J33" s="14"/>
      <c r="K33" s="65"/>
      <c r="L33" s="14"/>
      <c r="M33" s="65"/>
      <c r="N33" s="14"/>
      <c r="O33" s="58"/>
      <c r="P33" s="14"/>
      <c r="Q33" s="65"/>
      <c r="R33" s="15"/>
      <c r="S33" s="65"/>
      <c r="T33" s="15"/>
      <c r="U33" s="65"/>
      <c r="V33" s="15"/>
      <c r="W33" s="65"/>
      <c r="X33" s="15"/>
      <c r="Y33" s="80"/>
      <c r="Z33" s="14"/>
      <c r="AA33" s="65"/>
      <c r="AB33" s="14"/>
      <c r="AC33" s="65"/>
      <c r="AD33" s="15"/>
      <c r="AE33" s="65"/>
      <c r="AF33" s="14"/>
      <c r="AG33" s="80"/>
      <c r="AH33" s="14"/>
      <c r="AI33" s="65"/>
      <c r="AJ33" s="14" t="s">
        <v>42</v>
      </c>
      <c r="AK33" s="65"/>
      <c r="AL33" s="14"/>
      <c r="AM33" s="65"/>
      <c r="AN33" s="14"/>
      <c r="AO33" s="65"/>
      <c r="AP33" s="509"/>
      <c r="AQ33" s="510"/>
      <c r="AR33" s="33"/>
      <c r="AS33" s="34"/>
      <c r="AT33" s="142">
        <v>29</v>
      </c>
      <c r="AU33" s="145" t="s">
        <v>133</v>
      </c>
      <c r="AV33" s="455"/>
      <c r="AW33" s="14"/>
      <c r="AX33" s="70" t="s">
        <v>34</v>
      </c>
      <c r="AY33" s="72"/>
      <c r="AZ33" s="70" t="s">
        <v>34</v>
      </c>
      <c r="BA33" s="72"/>
      <c r="BB33" s="72" t="s">
        <v>34</v>
      </c>
      <c r="BC33" s="58"/>
      <c r="BD33" s="70" t="s">
        <v>34</v>
      </c>
      <c r="BE33" s="84"/>
      <c r="BF33" s="67" t="s">
        <v>33</v>
      </c>
      <c r="BG33" s="69"/>
      <c r="BH33" s="67" t="s">
        <v>33</v>
      </c>
      <c r="BI33" s="69"/>
      <c r="BJ33" s="72" t="s">
        <v>33</v>
      </c>
      <c r="BK33" s="87"/>
      <c r="BL33" s="67" t="s">
        <v>33</v>
      </c>
      <c r="BM33" s="37"/>
      <c r="BN33" s="70"/>
      <c r="BO33" s="72"/>
      <c r="BP33" s="70"/>
      <c r="BQ33" s="72"/>
      <c r="BR33" s="72"/>
      <c r="BS33" s="15"/>
      <c r="BT33" s="70"/>
      <c r="BU33" s="96"/>
      <c r="BV33" s="67"/>
      <c r="BW33" s="69"/>
      <c r="BX33" s="67"/>
      <c r="BY33" s="69"/>
      <c r="BZ33" s="69"/>
      <c r="CA33" s="97"/>
      <c r="CB33" s="67"/>
      <c r="CC33" s="142">
        <v>29</v>
      </c>
      <c r="CD33" s="145" t="s">
        <v>133</v>
      </c>
      <c r="CE33" s="455"/>
      <c r="CF33" s="311">
        <f t="shared" si="0"/>
        <v>4</v>
      </c>
      <c r="CG33" s="76">
        <f t="shared" si="1"/>
        <v>4</v>
      </c>
      <c r="CH33" s="27"/>
      <c r="CI33" s="28"/>
      <c r="CJ33" s="449"/>
      <c r="CK33" s="450"/>
    </row>
    <row r="34" spans="1:89" ht="15" customHeight="1" thickBot="1">
      <c r="A34" s="142">
        <v>30</v>
      </c>
      <c r="B34" s="145" t="s">
        <v>127</v>
      </c>
      <c r="C34" s="455"/>
      <c r="D34" s="14"/>
      <c r="E34" s="65"/>
      <c r="F34" s="14"/>
      <c r="G34" s="65"/>
      <c r="H34" s="14"/>
      <c r="I34" s="65"/>
      <c r="J34" s="14"/>
      <c r="K34" s="65"/>
      <c r="L34" s="14"/>
      <c r="M34" s="65"/>
      <c r="N34" s="14"/>
      <c r="O34" s="58"/>
      <c r="P34" s="14"/>
      <c r="Q34" s="65"/>
      <c r="R34" s="15"/>
      <c r="S34" s="65"/>
      <c r="T34" s="15"/>
      <c r="U34" s="65"/>
      <c r="V34" s="15"/>
      <c r="W34" s="65"/>
      <c r="X34" s="15"/>
      <c r="Y34" s="80"/>
      <c r="Z34" s="14"/>
      <c r="AA34" s="65"/>
      <c r="AB34" s="14"/>
      <c r="AC34" s="65"/>
      <c r="AD34" s="15"/>
      <c r="AE34" s="65"/>
      <c r="AF34" s="14"/>
      <c r="AG34" s="80"/>
      <c r="AH34" s="14"/>
      <c r="AI34" s="65"/>
      <c r="AJ34" s="14"/>
      <c r="AK34" s="65"/>
      <c r="AL34" s="14"/>
      <c r="AM34" s="65"/>
      <c r="AN34" s="14"/>
      <c r="AO34" s="65"/>
      <c r="AP34" s="579" t="s">
        <v>341</v>
      </c>
      <c r="AQ34" s="580"/>
      <c r="AR34" s="35"/>
      <c r="AS34" s="36"/>
      <c r="AT34" s="142">
        <v>30</v>
      </c>
      <c r="AU34" s="145" t="s">
        <v>127</v>
      </c>
      <c r="AV34" s="455"/>
      <c r="AW34" s="14"/>
      <c r="AX34" s="70"/>
      <c r="AY34" s="72"/>
      <c r="AZ34" s="70"/>
      <c r="BA34" s="72"/>
      <c r="BB34" s="72"/>
      <c r="BC34" s="58"/>
      <c r="BD34" s="70"/>
      <c r="BE34" s="14"/>
      <c r="BF34" s="74" t="s">
        <v>42</v>
      </c>
      <c r="BG34" s="72"/>
      <c r="BH34" s="70" t="s">
        <v>34</v>
      </c>
      <c r="BI34" s="72"/>
      <c r="BJ34" s="72" t="s">
        <v>34</v>
      </c>
      <c r="BK34" s="58"/>
      <c r="BL34" s="70" t="s">
        <v>34</v>
      </c>
      <c r="BM34" s="37"/>
      <c r="BN34" s="70" t="s">
        <v>33</v>
      </c>
      <c r="BO34" s="72"/>
      <c r="BP34" s="70" t="s">
        <v>33</v>
      </c>
      <c r="BQ34" s="72"/>
      <c r="BR34" s="154" t="s">
        <v>33</v>
      </c>
      <c r="BS34" s="15"/>
      <c r="BT34" s="70" t="s">
        <v>33</v>
      </c>
      <c r="BU34" s="96"/>
      <c r="BV34" s="67"/>
      <c r="BW34" s="69"/>
      <c r="BX34" s="67"/>
      <c r="BY34" s="69"/>
      <c r="BZ34" s="69"/>
      <c r="CA34" s="97"/>
      <c r="CB34" s="67"/>
      <c r="CC34" s="142">
        <v>30</v>
      </c>
      <c r="CD34" s="145" t="s">
        <v>127</v>
      </c>
      <c r="CE34" s="455"/>
      <c r="CF34" s="312">
        <f t="shared" si="0"/>
        <v>4</v>
      </c>
      <c r="CG34" s="77">
        <f t="shared" si="1"/>
        <v>3</v>
      </c>
      <c r="CH34" s="26"/>
      <c r="CI34" s="21"/>
      <c r="CJ34" s="549"/>
      <c r="CK34" s="550"/>
    </row>
    <row r="35" spans="1:89" ht="15" customHeight="1" thickBot="1">
      <c r="D35" s="8">
        <f t="shared" ref="D35" si="2">(COUNTIF(D5:D34,"הרצליה")+COUNTIF(D5:D34,"חיפה")+COUNTIF(D5:D34,"רמון")+COUNTIF(D5:D34,"ראש פינה")+COUNTIF(D5:D34,"ה.ב"))</f>
        <v>0</v>
      </c>
      <c r="E35" s="9">
        <f t="shared" ref="E35" si="3">(COUNTIF(E5:E34,"כ")+COUNTIF(E5:E34,"כמ"))*6+(COUNTIF(E5:E34,"כש")+COUNTIF(E5:E34,"כמש"))*10</f>
        <v>0</v>
      </c>
      <c r="F35" s="8">
        <f t="shared" ref="F35" si="4">(COUNTIF(F5:F34,"הרצליה")+COUNTIF(F5:F34,"חיפה")+COUNTIF(F5:F34,"רמון")+COUNTIF(F5:F34,"ראש פינה")+COUNTIF(F5:F34,"ה.ב"))</f>
        <v>0</v>
      </c>
      <c r="G35" s="9">
        <f t="shared" ref="G35" si="5">(COUNTIF(G5:G34,"כ")+COUNTIF(G5:G34,"כמ"))*6+(COUNTIF(G5:G34,"כש")+COUNTIF(G5:G34,"כמש"))*10</f>
        <v>0</v>
      </c>
      <c r="H35" s="8">
        <f t="shared" ref="H35" si="6">(COUNTIF(H5:H34,"הרצליה")+COUNTIF(H5:H34,"חיפה")+COUNTIF(H5:H34,"רמון")+COUNTIF(H5:H34,"ראש פינה")+COUNTIF(H5:H34,"ה.ב"))</f>
        <v>0</v>
      </c>
      <c r="I35" s="9">
        <f t="shared" ref="I35" si="7">(COUNTIF(I5:I34,"כ")+COUNTIF(I5:I34,"כמ"))*6+(COUNTIF(I5:I34,"כש")+COUNTIF(I5:I34,"כמש"))*10</f>
        <v>0</v>
      </c>
      <c r="J35" s="8">
        <f t="shared" ref="J35" si="8">(COUNTIF(J5:J34,"הרצליה")+COUNTIF(J5:J34,"חיפה")+COUNTIF(J5:J34,"רמון")+COUNTIF(J5:J34,"ראש פינה")+COUNTIF(J5:J34,"ה.ב"))</f>
        <v>0</v>
      </c>
      <c r="K35" s="9">
        <f t="shared" ref="K35" si="9">(COUNTIF(K5:K34,"כ")+COUNTIF(K5:K34,"כמ"))*6+(COUNTIF(K5:K34,"כש")+COUNTIF(K5:K34,"כמש"))*10</f>
        <v>0</v>
      </c>
      <c r="L35" s="8">
        <f t="shared" ref="L35" si="10">(COUNTIF(L5:L34,"הרצליה")+COUNTIF(L5:L34,"חיפה")+COUNTIF(L5:L34,"רמון")+COUNTIF(L5:L34,"ראש פינה")+COUNTIF(L5:L34,"ה.ב"))</f>
        <v>0</v>
      </c>
      <c r="M35" s="9">
        <f t="shared" ref="M35" si="11">(COUNTIF(M5:M34,"כ")+COUNTIF(M5:M34,"כמ"))*6+(COUNTIF(M5:M34,"כש")+COUNTIF(M5:M34,"כמש"))*10</f>
        <v>0</v>
      </c>
      <c r="N35" s="8">
        <f t="shared" ref="N35" si="12">(COUNTIF(N5:N34,"הרצליה")+COUNTIF(N5:N34,"חיפה")+COUNTIF(N5:N34,"רמון")+COUNTIF(N5:N34,"ראש פינה")+COUNTIF(N5:N34,"ה.ב"))</f>
        <v>0</v>
      </c>
      <c r="O35" s="9">
        <f t="shared" ref="O35" si="13">(COUNTIF(O5:O34,"כ")+COUNTIF(O5:O34,"כמ"))*6+(COUNTIF(O5:O34,"כש")+COUNTIF(O5:O34,"כמש"))*10</f>
        <v>0</v>
      </c>
      <c r="P35" s="8">
        <f t="shared" ref="P35" si="14">(COUNTIF(P5:P34,"הרצליה")+COUNTIF(P5:P34,"חיפה")+COUNTIF(P5:P34,"רמון")+COUNTIF(P5:P34,"ראש פינה")+COUNTIF(P5:P34,"ה.ב"))</f>
        <v>0</v>
      </c>
      <c r="Q35" s="9">
        <f t="shared" ref="Q35" si="15">(COUNTIF(Q5:Q34,"כ")+COUNTIF(Q5:Q34,"כמ"))*6+(COUNTIF(Q5:Q34,"כש")+COUNTIF(Q5:Q34,"כמש"))*10</f>
        <v>0</v>
      </c>
      <c r="R35" s="8">
        <f t="shared" ref="R35" si="16">(COUNTIF(R5:R34,"הרצליה")+COUNTIF(R5:R34,"חיפה")+COUNTIF(R5:R34,"רמון")+COUNTIF(R5:R34,"ראש פינה")+COUNTIF(R5:R34,"ה.ב"))</f>
        <v>0</v>
      </c>
      <c r="S35" s="9">
        <f t="shared" ref="S35" si="17">(COUNTIF(S5:S34,"כ")+COUNTIF(S5:S34,"כמ"))*6+(COUNTIF(S5:S34,"כש")+COUNTIF(S5:S34,"כמש"))*10</f>
        <v>0</v>
      </c>
      <c r="T35" s="8">
        <f t="shared" ref="T35" si="18">(COUNTIF(T5:T34,"הרצליה")+COUNTIF(T5:T34,"חיפה")+COUNTIF(T5:T34,"רמון")+COUNTIF(T5:T34,"ראש פינה")+COUNTIF(T5:T34,"ה.ב"))</f>
        <v>0</v>
      </c>
      <c r="U35" s="9">
        <f t="shared" ref="U35" si="19">(COUNTIF(U5:U34,"כ")+COUNTIF(U5:U34,"כמ"))*6+(COUNTIF(U5:U34,"כש")+COUNTIF(U5:U34,"כמש"))*10</f>
        <v>0</v>
      </c>
      <c r="V35" s="8">
        <f t="shared" ref="V35" si="20">(COUNTIF(V5:V34,"הרצליה")+COUNTIF(V5:V34,"חיפה")+COUNTIF(V5:V34,"רמון")+COUNTIF(V5:V34,"ראש פינה")+COUNTIF(V5:V34,"ה.ב"))</f>
        <v>0</v>
      </c>
      <c r="W35" s="9">
        <f t="shared" ref="W35" si="21">(COUNTIF(W5:W34,"כ")+COUNTIF(W5:W34,"כמ"))*6+(COUNTIF(W5:W34,"כש")+COUNTIF(W5:W34,"כמש"))*10</f>
        <v>0</v>
      </c>
      <c r="X35" s="8">
        <f t="shared" ref="X35" si="22">(COUNTIF(X5:X34,"הרצליה")+COUNTIF(X5:X34,"חיפה")+COUNTIF(X5:X34,"רמון")+COUNTIF(X5:X34,"ראש פינה")+COUNTIF(X5:X34,"ה.ב"))</f>
        <v>1</v>
      </c>
      <c r="Y35" s="9">
        <f t="shared" ref="Y35" si="23">(COUNTIF(Y5:Y34,"כ")+COUNTIF(Y5:Y34,"כמ"))*6+(COUNTIF(Y5:Y34,"כש")+COUNTIF(Y5:Y34,"כמש"))*10</f>
        <v>0</v>
      </c>
      <c r="Z35" s="8">
        <f t="shared" ref="Z35" si="24">(COUNTIF(Z5:Z34,"הרצליה")+COUNTIF(Z5:Z34,"חיפה")+COUNTIF(Z5:Z34,"רמון")+COUNTIF(Z5:Z34,"ראש פינה")+COUNTIF(Z5:Z34,"ה.ב"))</f>
        <v>0</v>
      </c>
      <c r="AA35" s="9">
        <f t="shared" ref="AA35" si="25">(COUNTIF(AA5:AA34,"כ")+COUNTIF(AA5:AA34,"כמ"))*6+(COUNTIF(AA5:AA34,"כש")+COUNTIF(AA5:AA34,"כמש"))*10</f>
        <v>0</v>
      </c>
      <c r="AB35" s="8">
        <f t="shared" ref="AB35" si="26">(COUNTIF(AB5:AB34,"הרצליה")+COUNTIF(AB5:AB34,"חיפה")+COUNTIF(AB5:AB34,"רמון")+COUNTIF(AB5:AB34,"ראש פינה")+COUNTIF(AB5:AB34,"ה.ב"))</f>
        <v>0</v>
      </c>
      <c r="AC35" s="9">
        <f t="shared" ref="AC35" si="27">(COUNTIF(AC5:AC34,"כ")+COUNTIF(AC5:AC34,"כמ"))*6+(COUNTIF(AC5:AC34,"כש")+COUNTIF(AC5:AC34,"כמש"))*10</f>
        <v>0</v>
      </c>
      <c r="AD35" s="8">
        <f t="shared" ref="AD35" si="28">(COUNTIF(AD5:AD34,"הרצליה")+COUNTIF(AD5:AD34,"חיפה")+COUNTIF(AD5:AD34,"רמון")+COUNTIF(AD5:AD34,"ראש פינה")+COUNTIF(AD5:AD34,"ה.ב"))</f>
        <v>0</v>
      </c>
      <c r="AE35" s="9">
        <f t="shared" ref="AE35" si="29">(COUNTIF(AE5:AE34,"כ")+COUNTIF(AE5:AE34,"כמ"))*6+(COUNTIF(AE5:AE34,"כש")+COUNTIF(AE5:AE34,"כמש"))*10</f>
        <v>0</v>
      </c>
      <c r="AF35" s="8">
        <f t="shared" ref="AF35" si="30">(COUNTIF(AF5:AF34,"הרצליה")+COUNTIF(AF5:AF34,"חיפה")+COUNTIF(AF5:AF34,"רמון")+COUNTIF(AF5:AF34,"ראש פינה")+COUNTIF(AF5:AF34,"ה.ב"))</f>
        <v>0</v>
      </c>
      <c r="AG35" s="9">
        <f t="shared" ref="AG35" si="31">(COUNTIF(AG5:AG34,"כ")+COUNTIF(AG5:AG34,"כמ"))*6+(COUNTIF(AG5:AG34,"כש")+COUNTIF(AG5:AG34,"כמש"))*10</f>
        <v>0</v>
      </c>
      <c r="AH35" s="8">
        <f t="shared" ref="AH35" si="32">(COUNTIF(AH5:AH34,"הרצליה")+COUNTIF(AH5:AH34,"חיפה")+COUNTIF(AH5:AH34,"רמון")+COUNTIF(AH5:AH34,"ראש פינה")+COUNTIF(AH5:AH34,"ה.ב"))</f>
        <v>0</v>
      </c>
      <c r="AI35" s="9">
        <f t="shared" ref="AI35" si="33">(COUNTIF(AI5:AI34,"כ")+COUNTIF(AI5:AI34,"כמ"))*6+(COUNTIF(AI5:AI34,"כש")+COUNTIF(AI5:AI34,"כמש"))*10</f>
        <v>0</v>
      </c>
      <c r="AJ35" s="8">
        <f t="shared" ref="AJ35" si="34">(COUNTIF(AJ5:AJ34,"הרצליה")+COUNTIF(AJ5:AJ34,"חיפה")+COUNTIF(AJ5:AJ34,"רמון")+COUNTIF(AJ5:AJ34,"ראש פינה")+COUNTIF(AJ5:AJ34,"ה.ב"))</f>
        <v>0</v>
      </c>
      <c r="AK35" s="9">
        <f t="shared" ref="AK35" si="35">(COUNTIF(AK5:AK34,"כ")+COUNTIF(AK5:AK34,"כמ"))*6+(COUNTIF(AK5:AK34,"כש")+COUNTIF(AK5:AK34,"כמש"))*10</f>
        <v>0</v>
      </c>
      <c r="AL35" s="8">
        <f t="shared" ref="AL35" si="36">(COUNTIF(AL5:AL34,"הרצליה")+COUNTIF(AL5:AL34,"חיפה")+COUNTIF(AL5:AL34,"רמון")+COUNTIF(AL5:AL34,"ראש פינה")+COUNTIF(AL5:AL34,"ה.ב"))</f>
        <v>0</v>
      </c>
      <c r="AM35" s="9">
        <f t="shared" ref="AM35" si="37">(COUNTIF(AM5:AM34,"כ")+COUNTIF(AM5:AM34,"כמ"))*6+(COUNTIF(AM5:AM34,"כש")+COUNTIF(AM5:AM34,"כמש"))*10</f>
        <v>0</v>
      </c>
      <c r="AN35" s="8">
        <f t="shared" ref="AN35" si="38">(COUNTIF(AN5:AN34,"הרצליה")+COUNTIF(AN5:AN34,"חיפה")+COUNTIF(AN5:AN34,"רמון")+COUNTIF(AN5:AN34,"ראש פינה")+COUNTIF(AN5:AN34,"ה.ב"))</f>
        <v>0</v>
      </c>
      <c r="AO35" s="9">
        <f t="shared" ref="AO35" si="39">(COUNTIF(AO5:AO34,"כ")+COUNTIF(AO5:AO34,"כמ"))*6+(COUNTIF(AO5:AO34,"כש")+COUNTIF(AO5:AO34,"כמש"))*10</f>
        <v>0</v>
      </c>
      <c r="AT35" s="482" t="s">
        <v>38</v>
      </c>
      <c r="AU35" s="483"/>
      <c r="AV35" s="484"/>
      <c r="AW35" s="485">
        <f>COUNTIF(AX4:AX34,"י")+COUNTIF(AX4:AX34,"Y")+COUNTIF(AX4:AX34,"2")</f>
        <v>6</v>
      </c>
      <c r="AX35" s="465"/>
      <c r="AY35" s="464">
        <f>COUNTIF(AZ4:AZ34,"י")+COUNTIF(AZ4:AZ34,"Y")+COUNTIF(AZ4:AZ34,"2")</f>
        <v>6</v>
      </c>
      <c r="AZ35" s="465"/>
      <c r="BA35" s="464">
        <f>COUNTIF(BB4:BB34,"י")+COUNTIF(BB4:BB34,"Y")+COUNTIF(BB4:BB34,"2")</f>
        <v>6</v>
      </c>
      <c r="BB35" s="465"/>
      <c r="BC35" s="464">
        <f>COUNTIF(BD4:BD34,"י")+COUNTIF(BD4:BD34,"Y")+COUNTIF(BD4:BD34,"2")</f>
        <v>7</v>
      </c>
      <c r="BD35" s="465"/>
      <c r="BE35" s="464">
        <f>COUNTIF(BF4:BF34,"י")+COUNTIF(BF4:BF34,"Y")+COUNTIF(BF4:BF34,"2")</f>
        <v>8</v>
      </c>
      <c r="BF35" s="465"/>
      <c r="BG35" s="464">
        <f>COUNTIF(BH4:BH34,"י")+COUNTIF(BH4:BH34,"Y")+COUNTIF(BH4:BH34,"2")</f>
        <v>8</v>
      </c>
      <c r="BH35" s="465"/>
      <c r="BI35" s="464">
        <f>COUNTIF(BJ4:BJ34,"י")+COUNTIF(BJ4:BJ34,"Y")+COUNTIF(BJ4:BJ34,"2")</f>
        <v>8</v>
      </c>
      <c r="BJ35" s="465"/>
      <c r="BK35" s="464">
        <f>COUNTIF(BL4:BL34,"י")+COUNTIF(BL4:BL34,"Y")+COUNTIF(BL4:BL34,"2")</f>
        <v>8</v>
      </c>
      <c r="BL35" s="465"/>
      <c r="BM35" s="464">
        <f>COUNTIF(BN4:BN34,"י")+COUNTIF(BN4:BN34,"Y")+COUNTIF(BN4:BN34,"2")</f>
        <v>5</v>
      </c>
      <c r="BN35" s="465"/>
      <c r="BO35" s="464">
        <f>COUNTIF(BP4:BP34,"י")+COUNTIF(BP4:BP34,"Y")+COUNTIF(BP4:BP34,"2")</f>
        <v>8</v>
      </c>
      <c r="BP35" s="465"/>
      <c r="BQ35" s="464">
        <f>COUNTIF(BR4:BR34,"י")+COUNTIF(BR4:BR34,"Y")+COUNTIF(BR4:BR34,"2")</f>
        <v>8</v>
      </c>
      <c r="BR35" s="465"/>
      <c r="BS35" s="464">
        <f>COUNTIF(BT4:BT34,"י")+COUNTIF(BT4:BT34,"Y")+COUNTIF(BT4:BT34,"2")</f>
        <v>7</v>
      </c>
      <c r="BT35" s="465"/>
      <c r="BU35" s="464">
        <f>COUNTIF(BV4:BV34,"י")+COUNTIF(BV4:BV34,"Y")+COUNTIF(BV4:BV34,"2")</f>
        <v>0</v>
      </c>
      <c r="BV35" s="465"/>
      <c r="BW35" s="464">
        <f>COUNTIF(BX4:BX34,"י")+COUNTIF(BX4:BX34,"Y")+COUNTIF(BX4:BX34,"2")</f>
        <v>7</v>
      </c>
      <c r="BX35" s="465"/>
      <c r="BY35" s="464">
        <f>COUNTIF(BZ4:BZ34,"י")+COUNTIF(BZ4:BZ34,"Y")+COUNTIF(BZ4:BZ34,"2")</f>
        <v>7</v>
      </c>
      <c r="BZ35" s="465"/>
      <c r="CA35" s="466">
        <f>COUNTIF(CB4:CB34,"י")+COUNTIF(CB4:CB34,"Y")+COUNTIF(CB4:CB34,"2")</f>
        <v>7</v>
      </c>
      <c r="CB35" s="467"/>
      <c r="CC35" s="468" t="s">
        <v>140</v>
      </c>
      <c r="CD35" s="469"/>
      <c r="CE35" s="470"/>
    </row>
    <row r="36" spans="1:89" ht="15" customHeight="1" thickBot="1">
      <c r="B36" s="1"/>
      <c r="C36" s="1" t="s">
        <v>322</v>
      </c>
      <c r="D36" s="234">
        <f>D35+מאי!D37</f>
        <v>8</v>
      </c>
      <c r="E36" s="234">
        <f>E35+מאי!E37</f>
        <v>94</v>
      </c>
      <c r="F36" s="234">
        <f>F35+מאי!F37</f>
        <v>9</v>
      </c>
      <c r="G36" s="234">
        <f>G35+מאי!G37</f>
        <v>108</v>
      </c>
      <c r="H36" s="234">
        <f>H35+מאי!H37</f>
        <v>7</v>
      </c>
      <c r="I36" s="234">
        <f>I35+מאי!I37</f>
        <v>98</v>
      </c>
      <c r="J36" s="234">
        <f>J35+מאי!J37</f>
        <v>6</v>
      </c>
      <c r="K36" s="234">
        <f>K35+מאי!K37</f>
        <v>54</v>
      </c>
      <c r="L36" s="234">
        <f>L35+מאי!L37</f>
        <v>5</v>
      </c>
      <c r="M36" s="234">
        <f>M35+מאי!M37</f>
        <v>110</v>
      </c>
      <c r="N36" s="234">
        <f>N35+מאי!N37</f>
        <v>12</v>
      </c>
      <c r="O36" s="234">
        <f>O35+מאי!O37</f>
        <v>178</v>
      </c>
      <c r="P36" s="234">
        <f>P35+מאי!P37</f>
        <v>9</v>
      </c>
      <c r="Q36" s="234">
        <f>Q35+מאי!Q37</f>
        <v>104</v>
      </c>
      <c r="R36" s="234">
        <f>R35+מאי!R37</f>
        <v>4</v>
      </c>
      <c r="S36" s="234">
        <f>S35+מאי!S37</f>
        <v>90</v>
      </c>
      <c r="T36" s="234">
        <f>T35+מאי!T37</f>
        <v>9</v>
      </c>
      <c r="U36" s="234">
        <f>U35+מאי!U37</f>
        <v>94</v>
      </c>
      <c r="V36" s="234">
        <f>V35+מאי!V37</f>
        <v>2</v>
      </c>
      <c r="W36" s="234">
        <f>W35+מאי!W37</f>
        <v>90</v>
      </c>
      <c r="X36" s="234">
        <f>X35+מאי!X37</f>
        <v>15</v>
      </c>
      <c r="Y36" s="234">
        <f>Y35+מאי!Y37</f>
        <v>246</v>
      </c>
      <c r="Z36" s="234">
        <f>Z35+מאי!Z37</f>
        <v>2</v>
      </c>
      <c r="AA36" s="234">
        <f>AA35+מאי!AA37</f>
        <v>0</v>
      </c>
      <c r="AB36" s="234">
        <f>AB35+מאי!AB37</f>
        <v>4</v>
      </c>
      <c r="AC36" s="234">
        <f>AC35+מאי!AC37</f>
        <v>164</v>
      </c>
      <c r="AD36" s="234">
        <f>AD35+מאי!AD37</f>
        <v>1</v>
      </c>
      <c r="AE36" s="234">
        <f>AE35+מאי!AE37</f>
        <v>180</v>
      </c>
      <c r="AF36" s="234">
        <f>AF35+מאי!AF37</f>
        <v>10</v>
      </c>
      <c r="AG36" s="234">
        <f>AG35+מאי!AG37</f>
        <v>200</v>
      </c>
      <c r="AH36" s="234">
        <f>AH35+מאי!AH37</f>
        <v>2</v>
      </c>
      <c r="AI36" s="234">
        <f>AI35+מאי!AI37</f>
        <v>168</v>
      </c>
      <c r="AJ36" s="234">
        <f>AJ35+מאי!AJ37</f>
        <v>6</v>
      </c>
      <c r="AK36" s="234">
        <f>AK35+מאי!AK37</f>
        <v>102</v>
      </c>
      <c r="AL36" s="234">
        <f>AL35+מאי!AL37</f>
        <v>9</v>
      </c>
      <c r="AM36" s="234">
        <f>AM35+מאי!AM37</f>
        <v>90</v>
      </c>
      <c r="AN36" s="234">
        <f>AN35+מאי!AN37</f>
        <v>1</v>
      </c>
      <c r="AO36" s="234">
        <f>AO35+מאי!AO37</f>
        <v>42</v>
      </c>
      <c r="AT36" s="478" t="s">
        <v>39</v>
      </c>
      <c r="AU36" s="479"/>
      <c r="AV36" s="480"/>
      <c r="AW36" s="481">
        <f>COUNTIF(AX4:AX34,"ל")+COUNTIF(AX4:AX34,"L")+COUNTIF(AX4:AX34,"ל2")</f>
        <v>8</v>
      </c>
      <c r="AX36" s="475"/>
      <c r="AY36" s="474">
        <f>COUNTIF(AZ4:AZ34,"ל")+COUNTIF(AZ4:AZ34,"L")+COUNTIF(AZ4:AZ34,"ל2")</f>
        <v>8</v>
      </c>
      <c r="AZ36" s="475"/>
      <c r="BA36" s="474">
        <f>COUNTIF(BB4:BB34,"ל")+COUNTIF(BB4:BB34,"L")+COUNTIF(BB4:BB34,"ל2")</f>
        <v>7</v>
      </c>
      <c r="BB36" s="475"/>
      <c r="BC36" s="474">
        <f>COUNTIF(BD4:BD34,"ל")+COUNTIF(BD4:BD34,"L")+COUNTIF(BD4:BD34,"ל2")</f>
        <v>8</v>
      </c>
      <c r="BD36" s="475"/>
      <c r="BE36" s="474">
        <f>COUNTIF(BF4:BF34,"ל")+COUNTIF(BF4:BF34,"L")+COUNTIF(BF4:BF34,"ל2")</f>
        <v>7</v>
      </c>
      <c r="BF36" s="475"/>
      <c r="BG36" s="474">
        <f>COUNTIF(BH4:BH34,"ל")+COUNTIF(BH4:BH34,"L")+COUNTIF(BH4:BH34,"ל2")</f>
        <v>8</v>
      </c>
      <c r="BH36" s="475"/>
      <c r="BI36" s="474">
        <f>COUNTIF(BJ4:BJ34,"ל")+COUNTIF(BJ4:BJ34,"L")+COUNTIF(BJ4:BJ34,"ל2")</f>
        <v>8</v>
      </c>
      <c r="BJ36" s="475"/>
      <c r="BK36" s="474">
        <f>COUNTIF(BL4:BL34,"ל")+COUNTIF(BL4:BL34,"L")+COUNTIF(BL4:BL34,"ל2")</f>
        <v>8</v>
      </c>
      <c r="BL36" s="475"/>
      <c r="BM36" s="474">
        <f>COUNTIF(BN4:BN34,"ל")+COUNTIF(BN4:BN34,"L")+COUNTIF(BN4:BN34,"ל2")</f>
        <v>7</v>
      </c>
      <c r="BN36" s="475"/>
      <c r="BO36" s="474">
        <f>COUNTIF(BP4:BP34,"ל")+COUNTIF(BP4:BP34,"L")+COUNTIF(BP4:BP34,"ל2")</f>
        <v>7</v>
      </c>
      <c r="BP36" s="475"/>
      <c r="BQ36" s="474">
        <f>COUNTIF(BR4:BR34,"ל")+COUNTIF(BR4:BR34,"L")+COUNTIF(BR4:BR34,"ל2")</f>
        <v>7</v>
      </c>
      <c r="BR36" s="475"/>
      <c r="BS36" s="474">
        <f>COUNTIF(BT4:BT34,"ל")+COUNTIF(BT4:BT34,"L")+COUNTIF(BT4:BT34,"ל2")</f>
        <v>6</v>
      </c>
      <c r="BT36" s="475"/>
      <c r="BU36" s="474">
        <f>COUNTIF(BV4:BV34,"ל")+COUNTIF(BV4:BV34,"L")+COUNTIF(BV4:BV34,"ל2")</f>
        <v>0</v>
      </c>
      <c r="BV36" s="475"/>
      <c r="BW36" s="474">
        <f>COUNTIF(BX4:BX34,"ל")+COUNTIF(BX4:BX34,"L")+COUNTIF(BX4:BX34,"ל2")</f>
        <v>7</v>
      </c>
      <c r="BX36" s="475"/>
      <c r="BY36" s="474">
        <f>COUNTIF(BZ4:BZ34,"ל")+COUNTIF(BZ4:BZ34,"L")+COUNTIF(BZ4:BZ34,"ל2")</f>
        <v>7</v>
      </c>
      <c r="BZ36" s="475"/>
      <c r="CA36" s="476">
        <f>COUNTIF(CB4:CB34,"ל")+COUNTIF(CB4:CB34,"L")+COUNTIF(CB4:CB34,"ל2")</f>
        <v>7</v>
      </c>
      <c r="CB36" s="477"/>
      <c r="CC36" s="471"/>
      <c r="CD36" s="472"/>
      <c r="CE36" s="473"/>
    </row>
    <row r="37" spans="1:89" s="63" customFormat="1" ht="15" customHeight="1" thickBot="1">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W37" s="488">
        <f>(AW35*12)+(AW36*12)+(COUNTIF(AX4:AX34,"ק")*8)+(COUNTIF(AX4:AX34,"ח")*8)+(COUNTIF(AX4:AX34,"מ")*8)+(COUNTIF(AX4:AX34,"מיל")*8)</f>
        <v>184</v>
      </c>
      <c r="AX37" s="487"/>
      <c r="AY37" s="486">
        <f>(AY35*12)+(AY36*12)+(COUNTIF(AZ4:AZ34,"ק")*8)+(COUNTIF(AZ4:AZ34,"ח")*8)+(COUNTIF(AZ4:AZ34,"מ")*8)+(COUNTIF(AZ4:AZ34,"מיל")*8)</f>
        <v>176</v>
      </c>
      <c r="AZ37" s="487"/>
      <c r="BA37" s="486">
        <f>(BA35*12)+(BA36*12)+(COUNTIF(BB4:BB34,"ק")*8)+(COUNTIF(BB4:BB34,"ח")*8)+(COUNTIF(BB4:BB34,"מ")*8)+(COUNTIF(BB4:BB34,"מיל")*8)</f>
        <v>188</v>
      </c>
      <c r="BB37" s="487"/>
      <c r="BC37" s="486">
        <f>(BC35*12)+(BC36*12)+(COUNTIF(BD4:BD34,"ק")*8)+(COUNTIF(BD4:BD34,"ח")*8)+(COUNTIF(BD4:BD34,"מ")*8)+(COUNTIF(BD4:BD34,"מיל")*8)</f>
        <v>180</v>
      </c>
      <c r="BD37" s="487"/>
      <c r="BE37" s="486">
        <f>(BE35*12)+(BE36*12)+(COUNTIF(BF4:BF34,"ק")*8)+(COUNTIF(BF4:BF34,"ח")*8)+(COUNTIF(BF4:BF34,"מ")*8)+(COUNTIF(BF4:BF34,"מיל")*8)</f>
        <v>188</v>
      </c>
      <c r="BF37" s="487"/>
      <c r="BG37" s="486">
        <f>(BG35*12)+(BG36*12)+(COUNTIF(BH4:BH34,"ק")*8)+(COUNTIF(BH4:BH34,"ח")*8)+(COUNTIF(BH4:BH34,"מ")*8)+(COUNTIF(BH4:BH34,"מיל")*8)</f>
        <v>192</v>
      </c>
      <c r="BH37" s="487"/>
      <c r="BI37" s="486">
        <f>(BI35*12)+(BI36*12)+(COUNTIF(BJ4:BJ34,"ק")*8)+(COUNTIF(BJ4:BJ34,"ח")*8)+(COUNTIF(BJ4:BJ34,"מ")*8)+(COUNTIF(BJ4:BJ34,"מיל")*8)</f>
        <v>192</v>
      </c>
      <c r="BJ37" s="487"/>
      <c r="BK37" s="486">
        <f>(BK35*12)+(BK36*12)+(COUNTIF(BL4:BL34,"ק")*8)+(COUNTIF(BL4:BL34,"ח")*8)+(COUNTIF(BL4:BL34,"מ")*8)+(COUNTIF(BL4:BL34,"מיל")*8)</f>
        <v>192</v>
      </c>
      <c r="BL37" s="487"/>
      <c r="BM37" s="486">
        <f>(BM35*12)+(BM36*12)+(COUNTIF(BN4:BN34,"ק")*8)+(COUNTIF(BN4:BN34,"ח")*8)+(COUNTIF(BN4:BN34,"מ")*8)+(COUNTIF(BN4:BN34,"מיל")*8)</f>
        <v>200</v>
      </c>
      <c r="BN37" s="487"/>
      <c r="BO37" s="486">
        <f>(BO35*12)+(BO36*12)+(COUNTIF(BP4:BP34,"ק")*8)+(COUNTIF(BP4:BP34,"ח")*8)+(COUNTIF(BP4:BP34,"מ")*8)+(COUNTIF(BP4:BP34,"מיל")*8)</f>
        <v>180</v>
      </c>
      <c r="BP37" s="487"/>
      <c r="BQ37" s="486">
        <f>(BQ35*12)+(BQ36*12)+(COUNTIF(BR4:BR34,"ק")*8)+(COUNTIF(BR4:BR34,"ח")*8)+(COUNTIF(BR4:BR34,"מ")*8)+(COUNTIF(BR4:BR34,"מיל")*8)</f>
        <v>180</v>
      </c>
      <c r="BR37" s="487"/>
      <c r="BS37" s="486">
        <f>(BS35*12)+(BS36*12)+(COUNTIF(BT4:BT34,"ק")*8)+(COUNTIF(BT4:BT34,"ח")*8)+(COUNTIF(BT4:BT34,"מ")*8)+(COUNTIF(BT4:BT34,"מיל")*8)</f>
        <v>156</v>
      </c>
      <c r="BT37" s="487"/>
      <c r="BU37" s="486">
        <f>(BU35*12)+(BU36*12)+(COUNTIF(BV4:BV34,"ק")*8)+(COUNTIF(BV4:BV34,"ח")*8)+(COUNTIF(BV4:BV34,"מ")*8)+(COUNTIF(BV4:BV34,"מיל")*8)</f>
        <v>0</v>
      </c>
      <c r="BV37" s="487"/>
      <c r="BW37" s="486">
        <f>(BW35*12)+(BW36*12)+(COUNTIF(BX4:BX34,"ק")*8)+(COUNTIF(BX4:BX34,"ח")*8)+(COUNTIF(BX4:BX34,"מ")*8)+(COUNTIF(BX4:BX34,"מיל")*8)</f>
        <v>168</v>
      </c>
      <c r="BX37" s="487"/>
      <c r="BY37" s="486">
        <f>(BY35*12)+(BY36*12)+(COUNTIF(BZ4:BZ34,"ק")*8)+(COUNTIF(BZ4:BZ34,"ח")*8)+(COUNTIF(BZ4:BZ34,"מ")*8)+(COUNTIF(BZ4:BZ34,"מיל")*8)</f>
        <v>168</v>
      </c>
      <c r="BZ37" s="487"/>
      <c r="CA37" s="486">
        <f>(CA35*12)+(CA36*12)+(COUNTIF(CB4:CB34,"ק")*8)+(COUNTIF(CB4:CB34,"ח")*8)+(COUNTIF(CB4:CB34,"מ")*8)+(COUNTIF(CB4:CB34,"מיל")*8)</f>
        <v>168</v>
      </c>
      <c r="CB37" s="496"/>
      <c r="CC37" s="497">
        <v>176</v>
      </c>
      <c r="CD37" s="498"/>
      <c r="CE37" s="499"/>
    </row>
    <row r="38" spans="1:89" ht="15" customHeight="1" thickBot="1">
      <c r="AW38" s="500">
        <f>AW37-CC37</f>
        <v>8</v>
      </c>
      <c r="AX38" s="491"/>
      <c r="AY38" s="490">
        <f>AY37-CC37</f>
        <v>0</v>
      </c>
      <c r="AZ38" s="491"/>
      <c r="BA38" s="490">
        <f>BA37-CC37</f>
        <v>12</v>
      </c>
      <c r="BB38" s="491"/>
      <c r="BC38" s="490">
        <f>BC37-CC37</f>
        <v>4</v>
      </c>
      <c r="BD38" s="491"/>
      <c r="BE38" s="490">
        <f>BE37-CC37</f>
        <v>12</v>
      </c>
      <c r="BF38" s="491"/>
      <c r="BG38" s="490">
        <f>BG37-CC37</f>
        <v>16</v>
      </c>
      <c r="BH38" s="491"/>
      <c r="BI38" s="490">
        <f>BI37-CC37</f>
        <v>16</v>
      </c>
      <c r="BJ38" s="491"/>
      <c r="BK38" s="490">
        <f>BK37-CC37</f>
        <v>16</v>
      </c>
      <c r="BL38" s="491"/>
      <c r="BM38" s="490">
        <f>BM37-CC37</f>
        <v>24</v>
      </c>
      <c r="BN38" s="491"/>
      <c r="BO38" s="490">
        <f>BO37-CC37</f>
        <v>4</v>
      </c>
      <c r="BP38" s="491"/>
      <c r="BQ38" s="490">
        <f>BQ37-CC37</f>
        <v>4</v>
      </c>
      <c r="BR38" s="491"/>
      <c r="BS38" s="490">
        <f>BS37-CC37</f>
        <v>-20</v>
      </c>
      <c r="BT38" s="491"/>
      <c r="BU38" s="490">
        <f>BU37-CC37</f>
        <v>-176</v>
      </c>
      <c r="BV38" s="491"/>
      <c r="BW38" s="490">
        <f>BW37-CC37</f>
        <v>-8</v>
      </c>
      <c r="BX38" s="491"/>
      <c r="BY38" s="490">
        <f>BY37-CC37</f>
        <v>-8</v>
      </c>
      <c r="BZ38" s="491"/>
      <c r="CA38" s="492">
        <f>CA37-CC37</f>
        <v>-8</v>
      </c>
      <c r="CB38" s="493"/>
      <c r="CC38" s="494" t="s">
        <v>222</v>
      </c>
      <c r="CD38" s="494"/>
      <c r="CE38" s="495"/>
    </row>
  </sheetData>
  <customSheetViews>
    <customSheetView guid="{C6961C98-214A-4770-9A2D-B399A95C6C8B}" scale="80">
      <pane ySplit="4" topLeftCell="A5" activePane="bottomLeft" state="frozen"/>
      <selection pane="bottomLeft" activeCell="T5" sqref="T5"/>
      <pageMargins left="0.7" right="0.7" top="0.75" bottom="0.75" header="0.3" footer="0.3"/>
      <pageSetup paperSize="9" orientation="portrait" r:id="rId1"/>
    </customSheetView>
    <customSheetView guid="{A704065A-5B6F-476C-AE5F-F67C013164B0}" scale="80">
      <pane ySplit="4" topLeftCell="A5" activePane="bottomLeft" state="frozen"/>
      <selection pane="bottomLeft" activeCell="L28" sqref="L28"/>
      <pageMargins left="0.7" right="0.7" top="0.75" bottom="0.75" header="0.3" footer="0.3"/>
      <pageSetup paperSize="9" orientation="portrait" r:id="rId2"/>
    </customSheetView>
    <customSheetView guid="{319CE2B6-D20C-48B8-B7D9-15D19162A7CD}" scale="80">
      <pane ySplit="4" topLeftCell="A5" activePane="bottomLeft" state="frozen"/>
      <selection pane="bottomLeft" activeCell="T5" sqref="T5"/>
      <pageMargins left="0.7" right="0.7" top="0.75" bottom="0.75" header="0.3" footer="0.3"/>
      <pageSetup paperSize="9" orientation="portrait" r:id="rId3"/>
    </customSheetView>
    <customSheetView guid="{C5360886-767B-4F33-B24F-A6512AA390CC}" scale="80" topLeftCell="AK1">
      <pane ySplit="4" topLeftCell="A5" activePane="bottomLeft" state="frozen"/>
      <selection pane="bottomLeft" activeCell="BM43" sqref="BM43"/>
      <pageMargins left="0.7" right="0.7" top="0.75" bottom="0.75" header="0.3" footer="0.3"/>
      <pageSetup paperSize="9" orientation="portrait" r:id="rId4"/>
    </customSheetView>
    <customSheetView guid="{9C777CA9-4E1C-4A90-9032-5D0586052FC8}" scale="80">
      <pane ySplit="4" topLeftCell="A5" activePane="bottomLeft" state="frozen"/>
      <selection pane="bottomLeft" activeCell="D5" sqref="D5"/>
      <pageMargins left="0.7" right="0.7" top="0.75" bottom="0.75" header="0.3" footer="0.3"/>
      <pageSetup paperSize="9" orientation="portrait" r:id="rId5"/>
    </customSheetView>
    <customSheetView guid="{FEBD343F-EB1E-4B3A-B093-25A74DB60DAB}" scale="80" topLeftCell="AQ1">
      <selection activeCell="R45" sqref="R45"/>
      <pageMargins left="0.7" right="0.7" top="0.75" bottom="0.75" header="0.3" footer="0.3"/>
      <pageSetup paperSize="9" orientation="portrait" r:id="rId6"/>
    </customSheetView>
    <customSheetView guid="{1D39CB39-D8E6-4DA4-ABBA-40E2E6F11928}" scale="80">
      <pane ySplit="3" topLeftCell="A5" activePane="bottomLeft" state="frozen"/>
      <selection pane="bottomLeft" activeCell="D5" sqref="D5"/>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D5" sqref="D5"/>
      <pageMargins left="0.7" right="0.7" top="0.75" bottom="0.75" header="0.3" footer="0.3"/>
      <pageSetup paperSize="9" orientation="portrait" r:id="rId8"/>
    </customSheetView>
    <customSheetView guid="{03543009-41DE-4C7D-B8BE-69526021AF29}" scale="80">
      <pane ySplit="4" topLeftCell="A5" activePane="bottomLeft" state="frozen"/>
      <selection pane="bottomLeft" activeCell="D5" sqref="D5"/>
      <pageMargins left="0.7" right="0.7" top="0.75" bottom="0.75" header="0.3" footer="0.3"/>
      <pageSetup paperSize="9" orientation="portrait" r:id="rId9"/>
    </customSheetView>
    <customSheetView guid="{03CD1AFD-FDA7-4904-966E-FB90CD2C490F}" scale="80">
      <pane ySplit="3" topLeftCell="A4" activePane="bottomLeft" state="frozen"/>
      <selection pane="bottomLeft" activeCell="X19" sqref="X19"/>
      <pageMargins left="0.7" right="0.7" top="0.75" bottom="0.75" header="0.3" footer="0.3"/>
      <pageSetup paperSize="9" orientation="portrait" r:id="rId10"/>
    </customSheetView>
  </customSheetViews>
  <mergeCells count="229">
    <mergeCell ref="AY37:AZ37"/>
    <mergeCell ref="BA37:BB37"/>
    <mergeCell ref="BC37:BD37"/>
    <mergeCell ref="BE37:BF37"/>
    <mergeCell ref="BG37:BH37"/>
    <mergeCell ref="BI37:BJ37"/>
    <mergeCell ref="BK37:BL37"/>
    <mergeCell ref="BM37:BN37"/>
    <mergeCell ref="BU38:BV38"/>
    <mergeCell ref="AP22:AQ22"/>
    <mergeCell ref="AP24:AQ24"/>
    <mergeCell ref="AP27:AQ27"/>
    <mergeCell ref="AP28:AQ28"/>
    <mergeCell ref="AP29:AQ29"/>
    <mergeCell ref="AP30:AQ30"/>
    <mergeCell ref="AW37:AX37"/>
    <mergeCell ref="AT35:AV35"/>
    <mergeCell ref="AW35:AX35"/>
    <mergeCell ref="AT36:AV36"/>
    <mergeCell ref="AW36:AX36"/>
    <mergeCell ref="AP34:AQ34"/>
    <mergeCell ref="BK36:BL36"/>
    <mergeCell ref="BM36:BN36"/>
    <mergeCell ref="BO36:BP36"/>
    <mergeCell ref="BQ36:BR36"/>
    <mergeCell ref="BI36:BJ36"/>
    <mergeCell ref="AY36:AZ36"/>
    <mergeCell ref="BA36:BB36"/>
    <mergeCell ref="BC36:BD36"/>
    <mergeCell ref="BE36:BF36"/>
    <mergeCell ref="BG36:BH36"/>
    <mergeCell ref="CA37:CB37"/>
    <mergeCell ref="CC37:CE37"/>
    <mergeCell ref="AW38:AX38"/>
    <mergeCell ref="AY38:AZ38"/>
    <mergeCell ref="BA38:BB38"/>
    <mergeCell ref="BC38:BD38"/>
    <mergeCell ref="BE38:BF38"/>
    <mergeCell ref="BG38:BH38"/>
    <mergeCell ref="BI38:BJ38"/>
    <mergeCell ref="BK38:BL38"/>
    <mergeCell ref="BO37:BP37"/>
    <mergeCell ref="BQ37:BR37"/>
    <mergeCell ref="BS37:BT37"/>
    <mergeCell ref="BU37:BV37"/>
    <mergeCell ref="BW37:BX37"/>
    <mergeCell ref="BY37:BZ37"/>
    <mergeCell ref="BY38:BZ38"/>
    <mergeCell ref="CA38:CB38"/>
    <mergeCell ref="CC38:CE38"/>
    <mergeCell ref="BM38:BN38"/>
    <mergeCell ref="BO38:BP38"/>
    <mergeCell ref="BQ38:BR38"/>
    <mergeCell ref="BS38:BT38"/>
    <mergeCell ref="BW38:BX38"/>
    <mergeCell ref="CJ25:CK25"/>
    <mergeCell ref="C25:C31"/>
    <mergeCell ref="C32:C34"/>
    <mergeCell ref="BY35:BZ35"/>
    <mergeCell ref="CA35:CB35"/>
    <mergeCell ref="CC35:CE36"/>
    <mergeCell ref="BS36:BT36"/>
    <mergeCell ref="BU36:BV36"/>
    <mergeCell ref="BW36:BX36"/>
    <mergeCell ref="BY36:BZ36"/>
    <mergeCell ref="BG35:BH35"/>
    <mergeCell ref="BI35:BJ35"/>
    <mergeCell ref="BK35:BL35"/>
    <mergeCell ref="BM35:BN35"/>
    <mergeCell ref="BO35:BP35"/>
    <mergeCell ref="BQ35:BR35"/>
    <mergeCell ref="CA36:CB36"/>
    <mergeCell ref="BS35:BT35"/>
    <mergeCell ref="BU35:BV35"/>
    <mergeCell ref="BW35:BX35"/>
    <mergeCell ref="AY35:AZ35"/>
    <mergeCell ref="BA35:BB35"/>
    <mergeCell ref="BC35:BD35"/>
    <mergeCell ref="BE35:BF35"/>
    <mergeCell ref="AP18:AQ18"/>
    <mergeCell ref="CJ18:CK18"/>
    <mergeCell ref="AP15:AQ15"/>
    <mergeCell ref="CJ31:CK31"/>
    <mergeCell ref="AP32:AQ32"/>
    <mergeCell ref="CJ32:CK32"/>
    <mergeCell ref="AP33:AQ33"/>
    <mergeCell ref="CJ33:CK33"/>
    <mergeCell ref="AP16:AQ16"/>
    <mergeCell ref="AV18:AV24"/>
    <mergeCell ref="AV25:AV31"/>
    <mergeCell ref="AV32:AV34"/>
    <mergeCell ref="CE18:CE24"/>
    <mergeCell ref="CE25:CE31"/>
    <mergeCell ref="CE32:CE34"/>
    <mergeCell ref="CJ34:CK34"/>
    <mergeCell ref="AP26:AQ26"/>
    <mergeCell ref="CJ26:CK26"/>
    <mergeCell ref="CJ27:CK27"/>
    <mergeCell ref="CJ28:CK28"/>
    <mergeCell ref="CJ29:CK29"/>
    <mergeCell ref="CJ30:CK30"/>
    <mergeCell ref="AP31:AQ31"/>
    <mergeCell ref="AP25:AQ25"/>
    <mergeCell ref="C5:C10"/>
    <mergeCell ref="C11:C17"/>
    <mergeCell ref="C18:C24"/>
    <mergeCell ref="CJ19:CK19"/>
    <mergeCell ref="CJ20:CK20"/>
    <mergeCell ref="AP21:AQ21"/>
    <mergeCell ref="AP14:AQ14"/>
    <mergeCell ref="CJ14:CK14"/>
    <mergeCell ref="CJ15:CK15"/>
    <mergeCell ref="CJ16:CK16"/>
    <mergeCell ref="AP17:AQ17"/>
    <mergeCell ref="CJ17:CK17"/>
    <mergeCell ref="CJ21:CK21"/>
    <mergeCell ref="CJ22:CK22"/>
    <mergeCell ref="AP23:AQ23"/>
    <mergeCell ref="CJ23:CK23"/>
    <mergeCell ref="CJ24:CK24"/>
    <mergeCell ref="CJ10:CK10"/>
    <mergeCell ref="AP11:AQ11"/>
    <mergeCell ref="CJ11:CK11"/>
    <mergeCell ref="AP12:AQ12"/>
    <mergeCell ref="CJ12:CK12"/>
    <mergeCell ref="AP13:AQ13"/>
    <mergeCell ref="CJ13:CK13"/>
    <mergeCell ref="CJ5:CK5"/>
    <mergeCell ref="CJ6:CK6"/>
    <mergeCell ref="AP7:AQ7"/>
    <mergeCell ref="CJ7:CK7"/>
    <mergeCell ref="AP8:AQ8"/>
    <mergeCell ref="CJ8:CK8"/>
    <mergeCell ref="AP9:AQ9"/>
    <mergeCell ref="CJ9:CK9"/>
    <mergeCell ref="AV11:AV17"/>
    <mergeCell ref="CE5:CE10"/>
    <mergeCell ref="CE11:CE17"/>
    <mergeCell ref="AN4:AO4"/>
    <mergeCell ref="AW4:AX4"/>
    <mergeCell ref="AY4:AZ4"/>
    <mergeCell ref="BA4:BB4"/>
    <mergeCell ref="BC4:BD4"/>
    <mergeCell ref="BE4:BF4"/>
    <mergeCell ref="Z4:AA4"/>
    <mergeCell ref="AB4:AC4"/>
    <mergeCell ref="AF4:AG4"/>
    <mergeCell ref="AH4:AI4"/>
    <mergeCell ref="AJ4:AK4"/>
    <mergeCell ref="AL4:AM4"/>
    <mergeCell ref="BS4:BT4"/>
    <mergeCell ref="BU4:BV4"/>
    <mergeCell ref="BW4:BX4"/>
    <mergeCell ref="BY4:BZ4"/>
    <mergeCell ref="CA4:CB4"/>
    <mergeCell ref="AP10:AQ10"/>
    <mergeCell ref="BG4:BH4"/>
    <mergeCell ref="BI4:BJ4"/>
    <mergeCell ref="BK4:BL4"/>
    <mergeCell ref="BM4:BN4"/>
    <mergeCell ref="BO4:BP4"/>
    <mergeCell ref="BQ4:BR4"/>
    <mergeCell ref="AV5:AV10"/>
    <mergeCell ref="N4:O4"/>
    <mergeCell ref="P4:Q4"/>
    <mergeCell ref="R4:S4"/>
    <mergeCell ref="T4:U4"/>
    <mergeCell ref="V4:W4"/>
    <mergeCell ref="X4:Y4"/>
    <mergeCell ref="AB3:AC3"/>
    <mergeCell ref="AF3:AG3"/>
    <mergeCell ref="AH3:AI3"/>
    <mergeCell ref="AJ3:AK3"/>
    <mergeCell ref="AL3:AM3"/>
    <mergeCell ref="AN3:AO3"/>
    <mergeCell ref="P3:Q3"/>
    <mergeCell ref="R3:S3"/>
    <mergeCell ref="T3:U3"/>
    <mergeCell ref="V3:W3"/>
    <mergeCell ref="X3:Y3"/>
    <mergeCell ref="Z3:AA3"/>
    <mergeCell ref="CF2:CG3"/>
    <mergeCell ref="CH2:CI3"/>
    <mergeCell ref="CJ2:CK4"/>
    <mergeCell ref="AD3:AE3"/>
    <mergeCell ref="D3:E3"/>
    <mergeCell ref="F3:G3"/>
    <mergeCell ref="H3:I3"/>
    <mergeCell ref="J3:K3"/>
    <mergeCell ref="L3:M3"/>
    <mergeCell ref="N3:O3"/>
    <mergeCell ref="AP2:AQ4"/>
    <mergeCell ref="AR2:AS3"/>
    <mergeCell ref="AW2:BD2"/>
    <mergeCell ref="BE2:BL2"/>
    <mergeCell ref="BM2:BT2"/>
    <mergeCell ref="BU2:CB2"/>
    <mergeCell ref="AW3:AX3"/>
    <mergeCell ref="AY3:AZ3"/>
    <mergeCell ref="BA3:BB3"/>
    <mergeCell ref="BC3:BD3"/>
    <mergeCell ref="BW3:BX3"/>
    <mergeCell ref="BY3:BZ3"/>
    <mergeCell ref="CA3:CB3"/>
    <mergeCell ref="BE3:BF3"/>
    <mergeCell ref="A1:C4"/>
    <mergeCell ref="D1:AS1"/>
    <mergeCell ref="AT1:AV4"/>
    <mergeCell ref="AW1:CB1"/>
    <mergeCell ref="CC1:CE4"/>
    <mergeCell ref="D2:W2"/>
    <mergeCell ref="X2:Y2"/>
    <mergeCell ref="Z2:AA2"/>
    <mergeCell ref="AF2:AG2"/>
    <mergeCell ref="AH2:AO2"/>
    <mergeCell ref="BG3:BH3"/>
    <mergeCell ref="BI3:BJ3"/>
    <mergeCell ref="BK3:BL3"/>
    <mergeCell ref="BM3:BN3"/>
    <mergeCell ref="BO3:BP3"/>
    <mergeCell ref="AD4:AE4"/>
    <mergeCell ref="D4:E4"/>
    <mergeCell ref="F4:G4"/>
    <mergeCell ref="H4:I4"/>
    <mergeCell ref="J4:K4"/>
    <mergeCell ref="L4:M4"/>
    <mergeCell ref="BQ3:BR3"/>
    <mergeCell ref="BS3:BT3"/>
    <mergeCell ref="BU3:BV3"/>
  </mergeCells>
  <phoneticPr fontId="27" type="noConversion"/>
  <conditionalFormatting sqref="A1:C4 X2:AH2 AP2 AR2 D3:N3 AD3:AE24 D4:Q4 AR4:AS4 C5 AH5:AS8 D5:X13 A5:B34 AR9:AS9 AH10:AS11 D14:P15 R14:X15 D16:X34 AH17:AO17 AI18:AO18 AH19:AH20 AJ19:AQ20 AH21:AP22 AH23:AO23 AI24:AP25 AD25 AH26:AP31 AD26:AE34 AH32:AQ32 AH33:AS34">
    <cfRule type="cellIs" dxfId="6491" priority="795" operator="equal">
      <formula>"כמש"</formula>
    </cfRule>
    <cfRule type="cellIs" dxfId="6490" priority="797" operator="equal">
      <formula>"ק"</formula>
    </cfRule>
    <cfRule type="cellIs" dxfId="6489" priority="798" operator="equal">
      <formula>"מ"</formula>
    </cfRule>
    <cfRule type="cellIs" dxfId="6488" priority="803" operator="equal">
      <formula>"כ"</formula>
    </cfRule>
    <cfRule type="cellIs" dxfId="6487" priority="799" operator="equal">
      <formula>"מנוחה"</formula>
    </cfRule>
    <cfRule type="cellIs" dxfId="6486" priority="800" operator="equal">
      <formula>"מיל"</formula>
    </cfRule>
    <cfRule type="cellIs" dxfId="6485" priority="796" operator="equal">
      <formula>"כמ"</formula>
    </cfRule>
    <cfRule type="cellIs" dxfId="6484" priority="802" operator="equal">
      <formula>"כש"</formula>
    </cfRule>
    <cfRule type="cellIs" dxfId="6483" priority="793" operator="equal">
      <formula>"י"</formula>
    </cfRule>
    <cfRule type="cellIs" dxfId="6482" priority="792" operator="equal">
      <formula>"ל"</formula>
    </cfRule>
  </conditionalFormatting>
  <conditionalFormatting sqref="D3:N3 AD3:AE4 D4:S4">
    <cfRule type="cellIs" dxfId="6481" priority="533" operator="equal">
      <formula>"ח"</formula>
    </cfRule>
  </conditionalFormatting>
  <conditionalFormatting sqref="P3:Q3">
    <cfRule type="cellIs" dxfId="6480" priority="527" operator="equal">
      <formula>"כמש"</formula>
    </cfRule>
    <cfRule type="cellIs" dxfId="6479" priority="528" operator="equal">
      <formula>"כמ"</formula>
    </cfRule>
    <cfRule type="cellIs" dxfId="6478" priority="530" operator="equal">
      <formula>"מ"</formula>
    </cfRule>
    <cfRule type="cellIs" dxfId="6477" priority="531" operator="equal">
      <formula>"מנוחה"</formula>
    </cfRule>
    <cfRule type="cellIs" dxfId="6476" priority="532" operator="equal">
      <formula>"מיל"</formula>
    </cfRule>
    <cfRule type="cellIs" dxfId="6475" priority="534" operator="equal">
      <formula>"כש"</formula>
    </cfRule>
    <cfRule type="cellIs" dxfId="6474" priority="535" operator="equal">
      <formula>"כ"</formula>
    </cfRule>
    <cfRule type="cellIs" dxfId="6473" priority="525" operator="equal">
      <formula>"ל"</formula>
    </cfRule>
    <cfRule type="cellIs" dxfId="6472" priority="526" operator="equal">
      <formula>"י"</formula>
    </cfRule>
    <cfRule type="cellIs" dxfId="6471" priority="529" operator="equal">
      <formula>"ק"</formula>
    </cfRule>
  </conditionalFormatting>
  <conditionalFormatting sqref="P3:W3">
    <cfRule type="cellIs" dxfId="6470" priority="500" operator="equal">
      <formula>"ח"</formula>
    </cfRule>
  </conditionalFormatting>
  <conditionalFormatting sqref="R3:AO4">
    <cfRule type="cellIs" dxfId="6469" priority="407" operator="equal">
      <formula>"כמ"</formula>
    </cfRule>
    <cfRule type="cellIs" dxfId="6468" priority="405" operator="equal">
      <formula>"י"</formula>
    </cfRule>
    <cfRule type="cellIs" dxfId="6467" priority="409" operator="equal">
      <formula>"מ"</formula>
    </cfRule>
    <cfRule type="cellIs" dxfId="6466" priority="410" operator="equal">
      <formula>"מנוחה"</formula>
    </cfRule>
    <cfRule type="cellIs" dxfId="6465" priority="411" operator="equal">
      <formula>"מיל"</formula>
    </cfRule>
    <cfRule type="cellIs" dxfId="6464" priority="414" operator="equal">
      <formula>"כ"</formula>
    </cfRule>
    <cfRule type="cellIs" dxfId="6463" priority="413" operator="equal">
      <formula>"כש"</formula>
    </cfRule>
    <cfRule type="cellIs" dxfId="6462" priority="404" operator="equal">
      <formula>"ל"</formula>
    </cfRule>
    <cfRule type="cellIs" dxfId="6461" priority="408" operator="equal">
      <formula>"ק"</formula>
    </cfRule>
    <cfRule type="cellIs" dxfId="6460" priority="406" operator="equal">
      <formula>"כמש"</formula>
    </cfRule>
  </conditionalFormatting>
  <conditionalFormatting sqref="T4:W4">
    <cfRule type="cellIs" dxfId="6459" priority="434" operator="equal">
      <formula>"ח"</formula>
    </cfRule>
  </conditionalFormatting>
  <conditionalFormatting sqref="X4:Y4">
    <cfRule type="cellIs" dxfId="6458" priority="544" operator="equal">
      <formula>"ח"</formula>
    </cfRule>
  </conditionalFormatting>
  <conditionalFormatting sqref="X3:AO3 Z4:AK4 BM6:BO34 BU5:BW34 A1:C4 X2:AH2 AP2 AR2 AR4:AS4 C5 BM5 BO5 AH5:AS8 D5:X13 AD5:AE24 A5:B34 AW5:AW34 AY5:AY34 BA5:BA34 BC5:BC34 BE5:BE34 BG5:BG34 BI5:BI34 BK5:BK34 BQ5:BQ34 BS5:BS34 BY5:BY34 CA5:CA34 AR9:AS9 AH10:AS11 AP12:AP13 AR12:AS13 AH12:AO17 D14:P15 R14:X15 D16:X34 AI18:AO18 AR18:AS32 AH19:AH20 AJ19:AQ20 AH21:AP22 AH23:AO23 AI24:AP25 AD25 AH26:AP31 AD26:AE34 AH32:AQ32 AH33:AS34">
    <cfRule type="cellIs" dxfId="6457" priority="801" operator="equal">
      <formula>"ח"</formula>
    </cfRule>
  </conditionalFormatting>
  <conditionalFormatting sqref="Y5:AG34">
    <cfRule type="cellIs" dxfId="6456" priority="362" operator="equal">
      <formula>"כמש"</formula>
    </cfRule>
    <cfRule type="cellIs" dxfId="6455" priority="364" operator="equal">
      <formula>"ק"</formula>
    </cfRule>
    <cfRule type="cellIs" dxfId="6454" priority="365" operator="equal">
      <formula>"מ"</formula>
    </cfRule>
    <cfRule type="cellIs" dxfId="6453" priority="366" operator="equal">
      <formula>"מנוחה"</formula>
    </cfRule>
    <cfRule type="cellIs" dxfId="6452" priority="370" operator="equal">
      <formula>"כ"</formula>
    </cfRule>
    <cfRule type="cellIs" dxfId="6451" priority="367" operator="equal">
      <formula>"מיל"</formula>
    </cfRule>
    <cfRule type="cellIs" dxfId="6450" priority="368" operator="equal">
      <formula>"ח"</formula>
    </cfRule>
    <cfRule type="cellIs" dxfId="6449" priority="369" operator="equal">
      <formula>"כש"</formula>
    </cfRule>
    <cfRule type="cellIs" dxfId="6448" priority="363" operator="equal">
      <formula>"כמ"</formula>
    </cfRule>
    <cfRule type="cellIs" dxfId="6447" priority="360" operator="equal">
      <formula>"ל"</formula>
    </cfRule>
    <cfRule type="cellIs" dxfId="6446" priority="361" operator="equal">
      <formula>"י"</formula>
    </cfRule>
  </conditionalFormatting>
  <conditionalFormatting sqref="AH9:AP9">
    <cfRule type="cellIs" dxfId="6445" priority="9" operator="equal">
      <formula>"כמש"</formula>
    </cfRule>
    <cfRule type="cellIs" dxfId="6444" priority="10" operator="equal">
      <formula>"כמ"</formula>
    </cfRule>
    <cfRule type="cellIs" dxfId="6443" priority="11" operator="equal">
      <formula>"ק"</formula>
    </cfRule>
    <cfRule type="cellIs" dxfId="6442" priority="12" operator="equal">
      <formula>"מ"</formula>
    </cfRule>
    <cfRule type="cellIs" dxfId="6441" priority="13" operator="equal">
      <formula>"מנוחה"</formula>
    </cfRule>
    <cfRule type="cellIs" dxfId="6440" priority="14" operator="equal">
      <formula>"מיל"</formula>
    </cfRule>
    <cfRule type="cellIs" dxfId="6439" priority="15" operator="equal">
      <formula>"כש"</formula>
    </cfRule>
    <cfRule type="cellIs" dxfId="6438" priority="17" operator="equal">
      <formula>"ח"</formula>
    </cfRule>
    <cfRule type="cellIs" dxfId="6437" priority="16" operator="equal">
      <formula>"כ"</formula>
    </cfRule>
    <cfRule type="cellIs" dxfId="6436" priority="7" operator="equal">
      <formula>"ל"</formula>
    </cfRule>
    <cfRule type="cellIs" dxfId="6435" priority="8" operator="equal">
      <formula>"י"</formula>
    </cfRule>
  </conditionalFormatting>
  <conditionalFormatting sqref="AL4:AO4">
    <cfRule type="cellIs" dxfId="6434" priority="412" operator="equal">
      <formula>"ח"</formula>
    </cfRule>
  </conditionalFormatting>
  <conditionalFormatting sqref="AP17:AQ18">
    <cfRule type="cellIs" dxfId="6433" priority="777" operator="equal">
      <formula>"ח"</formula>
    </cfRule>
    <cfRule type="cellIs" dxfId="6432" priority="776" operator="equal">
      <formula>"מיל"</formula>
    </cfRule>
    <cfRule type="cellIs" dxfId="6431" priority="775" operator="equal">
      <formula>"מנוחה"</formula>
    </cfRule>
    <cfRule type="cellIs" dxfId="6430" priority="774" operator="equal">
      <formula>"מ"</formula>
    </cfRule>
    <cfRule type="cellIs" dxfId="6429" priority="773" operator="equal">
      <formula>"ק"</formula>
    </cfRule>
    <cfRule type="cellIs" dxfId="6428" priority="772" operator="equal">
      <formula>"כמ"</formula>
    </cfRule>
    <cfRule type="cellIs" dxfId="6427" priority="771" operator="equal">
      <formula>"כמש"</formula>
    </cfRule>
    <cfRule type="cellIs" dxfId="6426" priority="769" operator="equal">
      <formula>"ל"</formula>
    </cfRule>
    <cfRule type="cellIs" dxfId="6425" priority="779" operator="equal">
      <formula>"כ"</formula>
    </cfRule>
    <cfRule type="cellIs" dxfId="6424" priority="778" operator="equal">
      <formula>"כש"</formula>
    </cfRule>
    <cfRule type="cellIs" dxfId="6423" priority="770" operator="equal">
      <formula>"י"</formula>
    </cfRule>
  </conditionalFormatting>
  <conditionalFormatting sqref="AT1 CC1 AH12:AP16 AR12:AS32">
    <cfRule type="cellIs" dxfId="6422" priority="781" operator="equal">
      <formula>"י"</formula>
    </cfRule>
    <cfRule type="cellIs" dxfId="6421" priority="783" operator="equal">
      <formula>"כמש"</formula>
    </cfRule>
    <cfRule type="cellIs" dxfId="6420" priority="784" operator="equal">
      <formula>"כמ"</formula>
    </cfRule>
    <cfRule type="cellIs" dxfId="6419" priority="785" operator="equal">
      <formula>"ק"</formula>
    </cfRule>
    <cfRule type="cellIs" dxfId="6418" priority="786" operator="equal">
      <formula>"מ"</formula>
    </cfRule>
    <cfRule type="cellIs" dxfId="6417" priority="787" operator="equal">
      <formula>"מנוחה"</formula>
    </cfRule>
    <cfRule type="cellIs" dxfId="6416" priority="790" operator="equal">
      <formula>"כש"</formula>
    </cfRule>
    <cfRule type="cellIs" dxfId="6415" priority="780" operator="equal">
      <formula>"ל"</formula>
    </cfRule>
    <cfRule type="cellIs" dxfId="6414" priority="788" operator="equal">
      <formula>"מיל"</formula>
    </cfRule>
    <cfRule type="cellIs" dxfId="6413" priority="791" operator="equal">
      <formula>"כ"</formula>
    </cfRule>
  </conditionalFormatting>
  <conditionalFormatting sqref="AT1 CC1 AP14:AP16 AR14:AS17">
    <cfRule type="cellIs" dxfId="6412" priority="789" operator="equal">
      <formula>"ח"</formula>
    </cfRule>
  </conditionalFormatting>
  <conditionalFormatting sqref="AV5 AT5:AU34">
    <cfRule type="cellIs" dxfId="6411" priority="332" operator="equal">
      <formula>"מ"</formula>
    </cfRule>
    <cfRule type="cellIs" dxfId="6410" priority="331" operator="equal">
      <formula>"ק"</formula>
    </cfRule>
    <cfRule type="cellIs" dxfId="6409" priority="330" operator="equal">
      <formula>"כמ"</formula>
    </cfRule>
    <cfRule type="cellIs" dxfId="6408" priority="329" operator="equal">
      <formula>"כמש"</formula>
    </cfRule>
    <cfRule type="cellIs" dxfId="6407" priority="328" operator="equal">
      <formula>"י"</formula>
    </cfRule>
    <cfRule type="cellIs" dxfId="6406" priority="327" operator="equal">
      <formula>"ל"</formula>
    </cfRule>
    <cfRule type="cellIs" dxfId="6405" priority="333" operator="equal">
      <formula>"מנוחה"</formula>
    </cfRule>
    <cfRule type="cellIs" dxfId="6404" priority="334" operator="equal">
      <formula>"מיל"</formula>
    </cfRule>
    <cfRule type="cellIs" dxfId="6403" priority="335" operator="equal">
      <formula>"ח"</formula>
    </cfRule>
    <cfRule type="cellIs" dxfId="6402" priority="336" operator="equal">
      <formula>"כש"</formula>
    </cfRule>
    <cfRule type="cellIs" dxfId="6401" priority="337" operator="equal">
      <formula>"כ"</formula>
    </cfRule>
  </conditionalFormatting>
  <conditionalFormatting sqref="AW38 AY38 BA38 BC38 BE38 BG38 BI38 BK38 BM38 BO38 BQ38 BS38 BU38 BW38 BY38 CA38:CB38">
    <cfRule type="cellIs" dxfId="6400" priority="548" operator="greaterThan">
      <formula>$CE$38</formula>
    </cfRule>
    <cfRule type="cellIs" dxfId="6399" priority="547" operator="lessThan">
      <formula>$CE$38</formula>
    </cfRule>
  </conditionalFormatting>
  <conditionalFormatting sqref="AW5:BL34">
    <cfRule type="cellIs" dxfId="6398" priority="658" operator="equal">
      <formula>"כ"</formula>
    </cfRule>
    <cfRule type="cellIs" dxfId="6397" priority="657" operator="equal">
      <formula>"כש"</formula>
    </cfRule>
  </conditionalFormatting>
  <conditionalFormatting sqref="AW2:CB2 AW3:AZ3 BE3:BO3 AW4:AY4 BE4 BG4 BI4 BK4:BM4 BO4 BS4:BU4 BW4 BY4 CA4">
    <cfRule type="cellIs" dxfId="6396" priority="466" operator="equal">
      <formula>"מיל"</formula>
    </cfRule>
    <cfRule type="cellIs" dxfId="6395" priority="465" operator="equal">
      <formula>"מנוחה"</formula>
    </cfRule>
    <cfRule type="cellIs" dxfId="6394" priority="464" operator="equal">
      <formula>"מ"</formula>
    </cfRule>
    <cfRule type="cellIs" dxfId="6393" priority="463" operator="equal">
      <formula>"ק"</formula>
    </cfRule>
    <cfRule type="cellIs" dxfId="6392" priority="462" operator="equal">
      <formula>"כמ"</formula>
    </cfRule>
    <cfRule type="cellIs" dxfId="6391" priority="461" operator="equal">
      <formula>"כמש"</formula>
    </cfRule>
    <cfRule type="cellIs" dxfId="6390" priority="469" operator="equal">
      <formula>"כ"</formula>
    </cfRule>
    <cfRule type="cellIs" dxfId="6389" priority="460" operator="equal">
      <formula>"י"</formula>
    </cfRule>
    <cfRule type="cellIs" dxfId="6388" priority="459" operator="equal">
      <formula>"ל"</formula>
    </cfRule>
    <cfRule type="cellIs" dxfId="6387" priority="468" operator="equal">
      <formula>"כש"</formula>
    </cfRule>
    <cfRule type="cellIs" dxfId="6386" priority="467" operator="equal">
      <formula>"ח"</formula>
    </cfRule>
  </conditionalFormatting>
  <conditionalFormatting sqref="AX5:AX34">
    <cfRule type="cellIs" dxfId="6385" priority="192" operator="equal">
      <formula>"ח"</formula>
    </cfRule>
  </conditionalFormatting>
  <conditionalFormatting sqref="AZ5:AZ34">
    <cfRule type="cellIs" dxfId="6384" priority="185" operator="equal">
      <formula>"ח"</formula>
    </cfRule>
  </conditionalFormatting>
  <conditionalFormatting sqref="BB5:BB34">
    <cfRule type="cellIs" dxfId="6383" priority="184" operator="equal">
      <formula>"ח"</formula>
    </cfRule>
  </conditionalFormatting>
  <conditionalFormatting sqref="BC3:BC4">
    <cfRule type="cellIs" dxfId="6382" priority="437" operator="equal">
      <formula>"ל"</formula>
    </cfRule>
    <cfRule type="cellIs" dxfId="6381" priority="438" operator="equal">
      <formula>"י"</formula>
    </cfRule>
    <cfRule type="cellIs" dxfId="6380" priority="439" operator="equal">
      <formula>"כמש"</formula>
    </cfRule>
    <cfRule type="cellIs" dxfId="6379" priority="440" operator="equal">
      <formula>"כמ"</formula>
    </cfRule>
    <cfRule type="cellIs" dxfId="6378" priority="442" operator="equal">
      <formula>"מ"</formula>
    </cfRule>
    <cfRule type="cellIs" dxfId="6377" priority="443" operator="equal">
      <formula>"מנוחה"</formula>
    </cfRule>
    <cfRule type="cellIs" dxfId="6376" priority="444" operator="equal">
      <formula>"מיל"</formula>
    </cfRule>
    <cfRule type="cellIs" dxfId="6375" priority="445" operator="equal">
      <formula>"ח"</formula>
    </cfRule>
    <cfRule type="cellIs" dxfId="6374" priority="446" operator="equal">
      <formula>"כש"</formula>
    </cfRule>
    <cfRule type="cellIs" dxfId="6373" priority="447" operator="equal">
      <formula>"כ"</formula>
    </cfRule>
    <cfRule type="cellIs" dxfId="6372" priority="441" operator="equal">
      <formula>"ק"</formula>
    </cfRule>
  </conditionalFormatting>
  <conditionalFormatting sqref="BD5:BD34">
    <cfRule type="cellIs" dxfId="6371" priority="183" operator="equal">
      <formula>"ח"</formula>
    </cfRule>
  </conditionalFormatting>
  <conditionalFormatting sqref="BF5:BF34">
    <cfRule type="cellIs" dxfId="6370" priority="733" operator="equal">
      <formula>"ח"</formula>
    </cfRule>
  </conditionalFormatting>
  <conditionalFormatting sqref="BH5:BH34">
    <cfRule type="cellIs" dxfId="6369" priority="255" operator="equal">
      <formula>"ח"</formula>
    </cfRule>
  </conditionalFormatting>
  <conditionalFormatting sqref="BJ5:BJ34">
    <cfRule type="cellIs" dxfId="6368" priority="254" operator="equal">
      <formula>"ח"</formula>
    </cfRule>
  </conditionalFormatting>
  <conditionalFormatting sqref="BL5:BL34">
    <cfRule type="cellIs" dxfId="6367" priority="253" operator="equal">
      <formula>"ח"</formula>
    </cfRule>
  </conditionalFormatting>
  <conditionalFormatting sqref="BM5:BO34">
    <cfRule type="cellIs" dxfId="6366" priority="724" operator="equal">
      <formula>"כ"</formula>
    </cfRule>
    <cfRule type="cellIs" dxfId="6365" priority="723" operator="equal">
      <formula>"כש"</formula>
    </cfRule>
  </conditionalFormatting>
  <conditionalFormatting sqref="BM6:BT7">
    <cfRule type="cellIs" dxfId="6364" priority="303" operator="equal">
      <formula>"כ"</formula>
    </cfRule>
    <cfRule type="cellIs" dxfId="6363" priority="302" operator="equal">
      <formula>"כש"</formula>
    </cfRule>
  </conditionalFormatting>
  <conditionalFormatting sqref="BM10:BT11">
    <cfRule type="cellIs" dxfId="6362" priority="178" operator="equal">
      <formula>"כש"</formula>
    </cfRule>
    <cfRule type="cellIs" dxfId="6361" priority="179" operator="equal">
      <formula>"כ"</formula>
    </cfRule>
  </conditionalFormatting>
  <conditionalFormatting sqref="BM14:BT15">
    <cfRule type="cellIs" dxfId="6360" priority="166" operator="equal">
      <formula>"כש"</formula>
    </cfRule>
    <cfRule type="cellIs" dxfId="6359" priority="167" operator="equal">
      <formula>"כ"</formula>
    </cfRule>
  </conditionalFormatting>
  <conditionalFormatting sqref="BM18:BT19">
    <cfRule type="cellIs" dxfId="6358" priority="154" operator="equal">
      <formula>"כש"</formula>
    </cfRule>
    <cfRule type="cellIs" dxfId="6357" priority="155" operator="equal">
      <formula>"כ"</formula>
    </cfRule>
  </conditionalFormatting>
  <conditionalFormatting sqref="BM22:BT23">
    <cfRule type="cellIs" dxfId="6356" priority="143" operator="equal">
      <formula>"כ"</formula>
    </cfRule>
    <cfRule type="cellIs" dxfId="6355" priority="142" operator="equal">
      <formula>"כש"</formula>
    </cfRule>
  </conditionalFormatting>
  <conditionalFormatting sqref="BM26:BT27">
    <cfRule type="cellIs" dxfId="6354" priority="131" operator="equal">
      <formula>"כ"</formula>
    </cfRule>
    <cfRule type="cellIs" dxfId="6353" priority="130" operator="equal">
      <formula>"כש"</formula>
    </cfRule>
  </conditionalFormatting>
  <conditionalFormatting sqref="BM30:BT31">
    <cfRule type="cellIs" dxfId="6352" priority="118" operator="equal">
      <formula>"כש"</formula>
    </cfRule>
    <cfRule type="cellIs" dxfId="6351" priority="119" operator="equal">
      <formula>"כ"</formula>
    </cfRule>
  </conditionalFormatting>
  <conditionalFormatting sqref="BN5">
    <cfRule type="cellIs" dxfId="6350" priority="722" stopIfTrue="1" operator="equal">
      <formula>"ח"</formula>
    </cfRule>
  </conditionalFormatting>
  <conditionalFormatting sqref="BN6:BN7">
    <cfRule type="cellIs" dxfId="6349" priority="306" operator="equal">
      <formula>"ח"</formula>
    </cfRule>
  </conditionalFormatting>
  <conditionalFormatting sqref="BN10:BN11">
    <cfRule type="cellIs" dxfId="6348" priority="182" operator="equal">
      <formula>"ח"</formula>
    </cfRule>
  </conditionalFormatting>
  <conditionalFormatting sqref="BN14:BN15">
    <cfRule type="cellIs" dxfId="6347" priority="170" operator="equal">
      <formula>"ח"</formula>
    </cfRule>
  </conditionalFormatting>
  <conditionalFormatting sqref="BN18:BN19">
    <cfRule type="cellIs" dxfId="6346" priority="158" operator="equal">
      <formula>"ח"</formula>
    </cfRule>
  </conditionalFormatting>
  <conditionalFormatting sqref="BN22:BN23">
    <cfRule type="cellIs" dxfId="6345" priority="146" operator="equal">
      <formula>"ח"</formula>
    </cfRule>
  </conditionalFormatting>
  <conditionalFormatting sqref="BN26:BN27">
    <cfRule type="cellIs" dxfId="6344" priority="134" operator="equal">
      <formula>"ח"</formula>
    </cfRule>
  </conditionalFormatting>
  <conditionalFormatting sqref="BN30:BN31">
    <cfRule type="cellIs" dxfId="6343" priority="122" operator="equal">
      <formula>"ח"</formula>
    </cfRule>
  </conditionalFormatting>
  <conditionalFormatting sqref="BP5">
    <cfRule type="cellIs" dxfId="6342" priority="634" stopIfTrue="1" operator="equal">
      <formula>"ח"</formula>
    </cfRule>
  </conditionalFormatting>
  <conditionalFormatting sqref="BP6:BP7">
    <cfRule type="cellIs" dxfId="6341" priority="297" operator="equal">
      <formula>"ח"</formula>
    </cfRule>
  </conditionalFormatting>
  <conditionalFormatting sqref="BP6:BP34">
    <cfRule type="cellIs" dxfId="6340" priority="645" operator="equal">
      <formula>"ח"</formula>
    </cfRule>
  </conditionalFormatting>
  <conditionalFormatting sqref="BP10:BP11">
    <cfRule type="cellIs" dxfId="6339" priority="173" operator="equal">
      <formula>"ח"</formula>
    </cfRule>
  </conditionalFormatting>
  <conditionalFormatting sqref="BP14:BP15">
    <cfRule type="cellIs" dxfId="6338" priority="161" operator="equal">
      <formula>"ח"</formula>
    </cfRule>
  </conditionalFormatting>
  <conditionalFormatting sqref="BP18:BP19">
    <cfRule type="cellIs" dxfId="6337" priority="149" operator="equal">
      <formula>"ח"</formula>
    </cfRule>
  </conditionalFormatting>
  <conditionalFormatting sqref="BP22:BP23">
    <cfRule type="cellIs" dxfId="6336" priority="137" operator="equal">
      <formula>"ח"</formula>
    </cfRule>
  </conditionalFormatting>
  <conditionalFormatting sqref="BP26:BP27">
    <cfRule type="cellIs" dxfId="6335" priority="125" operator="equal">
      <formula>"ח"</formula>
    </cfRule>
  </conditionalFormatting>
  <conditionalFormatting sqref="BP30:BP31">
    <cfRule type="cellIs" dxfId="6334" priority="113" operator="equal">
      <formula>"ח"</formula>
    </cfRule>
  </conditionalFormatting>
  <conditionalFormatting sqref="BP34">
    <cfRule type="cellIs" dxfId="6333" priority="24" operator="equal">
      <formula>"כש"</formula>
    </cfRule>
    <cfRule type="cellIs" dxfId="6332" priority="26" operator="equal">
      <formula>"ח"</formula>
    </cfRule>
    <cfRule type="cellIs" dxfId="6331" priority="25" operator="equal">
      <formula>"כ"</formula>
    </cfRule>
  </conditionalFormatting>
  <conditionalFormatting sqref="BP5:BQ34">
    <cfRule type="cellIs" dxfId="6330" priority="635" operator="equal">
      <formula>"כש"</formula>
    </cfRule>
    <cfRule type="cellIs" dxfId="6329" priority="636" operator="equal">
      <formula>"כ"</formula>
    </cfRule>
  </conditionalFormatting>
  <conditionalFormatting sqref="BQ3:CA3 BQ4">
    <cfRule type="cellIs" dxfId="6328" priority="450" operator="equal">
      <formula>"כמש"</formula>
    </cfRule>
    <cfRule type="cellIs" dxfId="6327" priority="451" operator="equal">
      <formula>"כמ"</formula>
    </cfRule>
    <cfRule type="cellIs" dxfId="6326" priority="452" operator="equal">
      <formula>"ק"</formula>
    </cfRule>
    <cfRule type="cellIs" dxfId="6325" priority="453" operator="equal">
      <formula>"מ"</formula>
    </cfRule>
    <cfRule type="cellIs" dxfId="6324" priority="454" operator="equal">
      <formula>"מנוחה"</formula>
    </cfRule>
    <cfRule type="cellIs" dxfId="6323" priority="456" operator="equal">
      <formula>"ח"</formula>
    </cfRule>
    <cfRule type="cellIs" dxfId="6322" priority="457" operator="equal">
      <formula>"כש"</formula>
    </cfRule>
    <cfRule type="cellIs" dxfId="6321" priority="458" operator="equal">
      <formula>"כ"</formula>
    </cfRule>
    <cfRule type="cellIs" dxfId="6320" priority="448" operator="equal">
      <formula>"ל"</formula>
    </cfRule>
    <cfRule type="cellIs" dxfId="6319" priority="449" operator="equal">
      <formula>"י"</formula>
    </cfRule>
    <cfRule type="cellIs" dxfId="6318" priority="455" operator="equal">
      <formula>"מיל"</formula>
    </cfRule>
  </conditionalFormatting>
  <conditionalFormatting sqref="BR5">
    <cfRule type="cellIs" dxfId="6317" priority="612" stopIfTrue="1" operator="equal">
      <formula>"ח"</formula>
    </cfRule>
  </conditionalFormatting>
  <conditionalFormatting sqref="BR6:BR7">
    <cfRule type="cellIs" dxfId="6316" priority="296" operator="equal">
      <formula>"ח"</formula>
    </cfRule>
  </conditionalFormatting>
  <conditionalFormatting sqref="BR6:BR34">
    <cfRule type="cellIs" dxfId="6315" priority="623" operator="equal">
      <formula>"ח"</formula>
    </cfRule>
  </conditionalFormatting>
  <conditionalFormatting sqref="BR10:BR11">
    <cfRule type="cellIs" dxfId="6314" priority="172" operator="equal">
      <formula>"ח"</formula>
    </cfRule>
  </conditionalFormatting>
  <conditionalFormatting sqref="BR14:BR15">
    <cfRule type="cellIs" dxfId="6313" priority="160" operator="equal">
      <formula>"ח"</formula>
    </cfRule>
  </conditionalFormatting>
  <conditionalFormatting sqref="BR18:BR19">
    <cfRule type="cellIs" dxfId="6312" priority="148" operator="equal">
      <formula>"ח"</formula>
    </cfRule>
  </conditionalFormatting>
  <conditionalFormatting sqref="BR22:BR23">
    <cfRule type="cellIs" dxfId="6311" priority="136" operator="equal">
      <formula>"ח"</formula>
    </cfRule>
  </conditionalFormatting>
  <conditionalFormatting sqref="BR26:BR27">
    <cfRule type="cellIs" dxfId="6310" priority="124" operator="equal">
      <formula>"ח"</formula>
    </cfRule>
  </conditionalFormatting>
  <conditionalFormatting sqref="BR30:BR31">
    <cfRule type="cellIs" dxfId="6309" priority="112" operator="equal">
      <formula>"ח"</formula>
    </cfRule>
  </conditionalFormatting>
  <conditionalFormatting sqref="BR34">
    <cfRule type="cellIs" dxfId="6308" priority="2" operator="equal">
      <formula>"כ"</formula>
    </cfRule>
    <cfRule type="cellIs" dxfId="6307" priority="3" operator="equal">
      <formula>"ח"</formula>
    </cfRule>
    <cfRule type="cellIs" dxfId="6306" priority="6" operator="equal">
      <formula>"ח"</formula>
    </cfRule>
    <cfRule type="cellIs" dxfId="6305" priority="23" operator="equal">
      <formula>"ח"</formula>
    </cfRule>
    <cfRule type="cellIs" dxfId="6304" priority="1" operator="equal">
      <formula>"כש"</formula>
    </cfRule>
  </conditionalFormatting>
  <conditionalFormatting sqref="BR5:BS34">
    <cfRule type="cellIs" dxfId="6303" priority="613" operator="equal">
      <formula>"כש"</formula>
    </cfRule>
    <cfRule type="cellIs" dxfId="6302" priority="614" operator="equal">
      <formula>"כ"</formula>
    </cfRule>
  </conditionalFormatting>
  <conditionalFormatting sqref="BT5">
    <cfRule type="cellIs" dxfId="6301" priority="590" stopIfTrue="1" operator="equal">
      <formula>"ח"</formula>
    </cfRule>
  </conditionalFormatting>
  <conditionalFormatting sqref="BT6:BT7">
    <cfRule type="cellIs" dxfId="6300" priority="295" operator="equal">
      <formula>"ח"</formula>
    </cfRule>
  </conditionalFormatting>
  <conditionalFormatting sqref="BT6:BT34">
    <cfRule type="cellIs" dxfId="6299" priority="601" operator="equal">
      <formula>"ח"</formula>
    </cfRule>
  </conditionalFormatting>
  <conditionalFormatting sqref="BT10:BT11">
    <cfRule type="cellIs" dxfId="6298" priority="171" operator="equal">
      <formula>"ח"</formula>
    </cfRule>
  </conditionalFormatting>
  <conditionalFormatting sqref="BT14:BT15">
    <cfRule type="cellIs" dxfId="6297" priority="159" operator="equal">
      <formula>"ח"</formula>
    </cfRule>
  </conditionalFormatting>
  <conditionalFormatting sqref="BT18:BT19">
    <cfRule type="cellIs" dxfId="6296" priority="147" operator="equal">
      <formula>"ח"</formula>
    </cfRule>
  </conditionalFormatting>
  <conditionalFormatting sqref="BT22:BT23">
    <cfRule type="cellIs" dxfId="6295" priority="135" operator="equal">
      <formula>"ח"</formula>
    </cfRule>
  </conditionalFormatting>
  <conditionalFormatting sqref="BT26:BT27">
    <cfRule type="cellIs" dxfId="6294" priority="123" operator="equal">
      <formula>"ח"</formula>
    </cfRule>
  </conditionalFormatting>
  <conditionalFormatting sqref="BT30:BT31">
    <cfRule type="cellIs" dxfId="6293" priority="111" operator="equal">
      <formula>"ח"</formula>
    </cfRule>
  </conditionalFormatting>
  <conditionalFormatting sqref="BT34">
    <cfRule type="cellIs" dxfId="6292" priority="19" operator="equal">
      <formula>"כ"</formula>
    </cfRule>
    <cfRule type="cellIs" dxfId="6291" priority="20" operator="equal">
      <formula>"ח"</formula>
    </cfRule>
    <cfRule type="cellIs" dxfId="6290" priority="18" operator="equal">
      <formula>"כש"</formula>
    </cfRule>
  </conditionalFormatting>
  <conditionalFormatting sqref="BT5:BW34">
    <cfRule type="cellIs" dxfId="6289" priority="591" operator="equal">
      <formula>"כש"</formula>
    </cfRule>
    <cfRule type="cellIs" dxfId="6288" priority="592" operator="equal">
      <formula>"כ"</formula>
    </cfRule>
  </conditionalFormatting>
  <conditionalFormatting sqref="BU7:CB8">
    <cfRule type="cellIs" dxfId="6287" priority="106" operator="equal">
      <formula>"כש"</formula>
    </cfRule>
    <cfRule type="cellIs" dxfId="6286" priority="107" operator="equal">
      <formula>"כ"</formula>
    </cfRule>
  </conditionalFormatting>
  <conditionalFormatting sqref="BU11:CB12">
    <cfRule type="cellIs" dxfId="6285" priority="94" operator="equal">
      <formula>"כש"</formula>
    </cfRule>
    <cfRule type="cellIs" dxfId="6284" priority="95" operator="equal">
      <formula>"כ"</formula>
    </cfRule>
  </conditionalFormatting>
  <conditionalFormatting sqref="BU15:CB16">
    <cfRule type="cellIs" dxfId="6283" priority="82" operator="equal">
      <formula>"כש"</formula>
    </cfRule>
    <cfRule type="cellIs" dxfId="6282" priority="83" operator="equal">
      <formula>"כ"</formula>
    </cfRule>
  </conditionalFormatting>
  <conditionalFormatting sqref="BU19:CB20">
    <cfRule type="cellIs" dxfId="6281" priority="70" operator="equal">
      <formula>"כש"</formula>
    </cfRule>
    <cfRule type="cellIs" dxfId="6280" priority="71" operator="equal">
      <formula>"כ"</formula>
    </cfRule>
  </conditionalFormatting>
  <conditionalFormatting sqref="BU23:CB24">
    <cfRule type="cellIs" dxfId="6279" priority="58" operator="equal">
      <formula>"כש"</formula>
    </cfRule>
    <cfRule type="cellIs" dxfId="6278" priority="59" operator="equal">
      <formula>"כ"</formula>
    </cfRule>
  </conditionalFormatting>
  <conditionalFormatting sqref="BU27:CB28">
    <cfRule type="cellIs" dxfId="6277" priority="47" operator="equal">
      <formula>"כ"</formula>
    </cfRule>
    <cfRule type="cellIs" dxfId="6276" priority="46" operator="equal">
      <formula>"כש"</formula>
    </cfRule>
  </conditionalFormatting>
  <conditionalFormatting sqref="BU31:CB32">
    <cfRule type="cellIs" dxfId="6275" priority="35" operator="equal">
      <formula>"כ"</formula>
    </cfRule>
    <cfRule type="cellIs" dxfId="6274" priority="34" operator="equal">
      <formula>"כש"</formula>
    </cfRule>
  </conditionalFormatting>
  <conditionalFormatting sqref="BV7:BV8">
    <cfRule type="cellIs" dxfId="6273" priority="110" operator="equal">
      <formula>"ח"</formula>
    </cfRule>
  </conditionalFormatting>
  <conditionalFormatting sqref="BV11:BV12">
    <cfRule type="cellIs" dxfId="6272" priority="98" operator="equal">
      <formula>"ח"</formula>
    </cfRule>
  </conditionalFormatting>
  <conditionalFormatting sqref="BV15:BV16">
    <cfRule type="cellIs" dxfId="6271" priority="86" operator="equal">
      <formula>"ח"</formula>
    </cfRule>
  </conditionalFormatting>
  <conditionalFormatting sqref="BV19:BV20">
    <cfRule type="cellIs" dxfId="6270" priority="74" operator="equal">
      <formula>"ח"</formula>
    </cfRule>
  </conditionalFormatting>
  <conditionalFormatting sqref="BV23:BV24">
    <cfRule type="cellIs" dxfId="6269" priority="62" operator="equal">
      <formula>"ח"</formula>
    </cfRule>
  </conditionalFormatting>
  <conditionalFormatting sqref="BV27:BV28">
    <cfRule type="cellIs" dxfId="6268" priority="50" operator="equal">
      <formula>"ח"</formula>
    </cfRule>
  </conditionalFormatting>
  <conditionalFormatting sqref="BV31:BV32">
    <cfRule type="cellIs" dxfId="6267" priority="38" operator="equal">
      <formula>"ח"</formula>
    </cfRule>
  </conditionalFormatting>
  <conditionalFormatting sqref="BX5:BX34">
    <cfRule type="cellIs" dxfId="6266" priority="579" operator="equal">
      <formula>"ח"</formula>
    </cfRule>
  </conditionalFormatting>
  <conditionalFormatting sqref="BX7:BX8">
    <cfRule type="cellIs" dxfId="6265" priority="101" operator="equal">
      <formula>"ח"</formula>
    </cfRule>
  </conditionalFormatting>
  <conditionalFormatting sqref="BX11:BX12">
    <cfRule type="cellIs" dxfId="6264" priority="89" operator="equal">
      <formula>"ח"</formula>
    </cfRule>
  </conditionalFormatting>
  <conditionalFormatting sqref="BX15:BX16">
    <cfRule type="cellIs" dxfId="6263" priority="77" operator="equal">
      <formula>"ח"</formula>
    </cfRule>
  </conditionalFormatting>
  <conditionalFormatting sqref="BX19:BX20">
    <cfRule type="cellIs" dxfId="6262" priority="65" operator="equal">
      <formula>"ח"</formula>
    </cfRule>
  </conditionalFormatting>
  <conditionalFormatting sqref="BX23:BX24">
    <cfRule type="cellIs" dxfId="6261" priority="53" operator="equal">
      <formula>"ח"</formula>
    </cfRule>
  </conditionalFormatting>
  <conditionalFormatting sqref="BX27:BX28">
    <cfRule type="cellIs" dxfId="6260" priority="41" operator="equal">
      <formula>"ח"</formula>
    </cfRule>
  </conditionalFormatting>
  <conditionalFormatting sqref="BX31:BX32">
    <cfRule type="cellIs" dxfId="6259" priority="29" operator="equal">
      <formula>"ח"</formula>
    </cfRule>
  </conditionalFormatting>
  <conditionalFormatting sqref="BZ5:BZ34">
    <cfRule type="cellIs" dxfId="6258" priority="568" operator="equal">
      <formula>"ח"</formula>
    </cfRule>
  </conditionalFormatting>
  <conditionalFormatting sqref="BZ7:BZ8">
    <cfRule type="cellIs" dxfId="6257" priority="100" operator="equal">
      <formula>"ח"</formula>
    </cfRule>
  </conditionalFormatting>
  <conditionalFormatting sqref="BZ11:BZ12">
    <cfRule type="cellIs" dxfId="6256" priority="88" operator="equal">
      <formula>"ח"</formula>
    </cfRule>
  </conditionalFormatting>
  <conditionalFormatting sqref="BZ15:BZ16">
    <cfRule type="cellIs" dxfId="6255" priority="76" operator="equal">
      <formula>"ח"</formula>
    </cfRule>
  </conditionalFormatting>
  <conditionalFormatting sqref="BZ19:BZ20">
    <cfRule type="cellIs" dxfId="6254" priority="64" operator="equal">
      <formula>"ח"</formula>
    </cfRule>
  </conditionalFormatting>
  <conditionalFormatting sqref="BZ23:BZ24">
    <cfRule type="cellIs" dxfId="6253" priority="52" operator="equal">
      <formula>"ח"</formula>
    </cfRule>
  </conditionalFormatting>
  <conditionalFormatting sqref="BZ27:BZ28">
    <cfRule type="cellIs" dxfId="6252" priority="40" operator="equal">
      <formula>"ח"</formula>
    </cfRule>
  </conditionalFormatting>
  <conditionalFormatting sqref="BZ31:BZ32">
    <cfRule type="cellIs" dxfId="6251" priority="28" operator="equal">
      <formula>"ח"</formula>
    </cfRule>
  </conditionalFormatting>
  <conditionalFormatting sqref="CB5:CB34">
    <cfRule type="cellIs" dxfId="6250" priority="557" operator="equal">
      <formula>"ח"</formula>
    </cfRule>
  </conditionalFormatting>
  <conditionalFormatting sqref="CB7:CB8">
    <cfRule type="cellIs" dxfId="6249" priority="99" operator="equal">
      <formula>"ח"</formula>
    </cfRule>
  </conditionalFormatting>
  <conditionalFormatting sqref="CB11:CB12">
    <cfRule type="cellIs" dxfId="6248" priority="87" operator="equal">
      <formula>"ח"</formula>
    </cfRule>
  </conditionalFormatting>
  <conditionalFormatting sqref="CB15:CB16">
    <cfRule type="cellIs" dxfId="6247" priority="75" operator="equal">
      <formula>"ח"</formula>
    </cfRule>
  </conditionalFormatting>
  <conditionalFormatting sqref="CB19:CB20">
    <cfRule type="cellIs" dxfId="6246" priority="63" operator="equal">
      <formula>"ח"</formula>
    </cfRule>
  </conditionalFormatting>
  <conditionalFormatting sqref="CB23:CB24">
    <cfRule type="cellIs" dxfId="6245" priority="51" operator="equal">
      <formula>"ח"</formula>
    </cfRule>
  </conditionalFormatting>
  <conditionalFormatting sqref="CB27:CB28">
    <cfRule type="cellIs" dxfId="6244" priority="39" operator="equal">
      <formula>"ח"</formula>
    </cfRule>
  </conditionalFormatting>
  <conditionalFormatting sqref="CB31:CB32">
    <cfRule type="cellIs" dxfId="6243" priority="27" operator="equal">
      <formula>"ח"</formula>
    </cfRule>
  </conditionalFormatting>
  <conditionalFormatting sqref="CE5 AW5:CD34">
    <cfRule type="cellIs" dxfId="6242" priority="323" operator="equal">
      <formula>"מיל"</formula>
    </cfRule>
    <cfRule type="cellIs" dxfId="6241" priority="317" operator="equal">
      <formula>"י"</formula>
    </cfRule>
    <cfRule type="cellIs" dxfId="6240" priority="316" operator="equal">
      <formula>"ל"</formula>
    </cfRule>
    <cfRule type="cellIs" dxfId="6239" priority="318" operator="equal">
      <formula>"כמש"</formula>
    </cfRule>
    <cfRule type="cellIs" dxfId="6238" priority="319" operator="equal">
      <formula>"כמ"</formula>
    </cfRule>
    <cfRule type="cellIs" dxfId="6237" priority="320" operator="equal">
      <formula>"ק"</formula>
    </cfRule>
    <cfRule type="cellIs" dxfId="6236" priority="321" operator="equal">
      <formula>"מ"</formula>
    </cfRule>
    <cfRule type="cellIs" dxfId="6235" priority="322" operator="equal">
      <formula>"מנוחה"</formula>
    </cfRule>
  </conditionalFormatting>
  <conditionalFormatting sqref="CE5 BX5:CD34">
    <cfRule type="cellIs" dxfId="6234" priority="326" operator="equal">
      <formula>"כ"</formula>
    </cfRule>
    <cfRule type="cellIs" dxfId="6233" priority="325" operator="equal">
      <formula>"כש"</formula>
    </cfRule>
  </conditionalFormatting>
  <conditionalFormatting sqref="CE5 CC5:CD34">
    <cfRule type="cellIs" dxfId="6232" priority="324" operator="equal">
      <formula>"ח"</formula>
    </cfRule>
  </conditionalFormatting>
  <conditionalFormatting sqref="CF5:CG34">
    <cfRule type="cellIs" dxfId="6231" priority="782" operator="lessThan">
      <formula>4</formula>
    </cfRule>
  </conditionalFormatting>
  <hyperlinks>
    <hyperlink ref="X4:Y4" r:id="rId11" tooltip="עדכון במייל" display="עדכון במייל" xr:uid="{00000000-0004-0000-05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500-000000000000}">
          <x14:formula1>
            <xm:f>מיילים!$M$2:$M$40</xm:f>
          </x14:formula1>
          <xm:sqref>X3:AO3</xm:sqref>
        </x14:dataValidation>
        <x14:dataValidation type="list" allowBlank="1" showInputMessage="1" xr:uid="{00000000-0002-0000-0500-000001000000}">
          <x14:formula1>
            <xm:f>מקרא!$B$5:$B$60</xm:f>
          </x14:formula1>
          <xm:sqref>AI18:AO18 AH22:AO23 AH26:AO34 AI24:AO25 BU5:CB34 AJ19:AO20 Y5:AO17 R14:X15 Y21:AO21 Y19:AH20 AW5:BL34 BM5 BS5 BO5 BQ5 BM6:BT34 D18:AC18 AF18:AG18 D5:X13 D14:P15 AD5:AE24 D16:X17 Y22:AG34 D19:X34</xm:sqref>
        </x14:dataValidation>
        <x14:dataValidation type="list" allowBlank="1" showInputMessage="1" showErrorMessage="1" xr:uid="{00000000-0002-0000-0500-000002000000}">
          <x14:formula1>
            <xm:f>מקרא!$B$5:$B$60</xm:f>
          </x14:formula1>
          <xm:sqref>BP5 BR5 BN5 BT5</xm:sqref>
        </x14:dataValidation>
        <x14:dataValidation type="list" allowBlank="1" showInputMessage="1" showErrorMessage="1" xr:uid="{00000000-0002-0000-0500-000003000000}">
          <x14:formula1>
            <xm:f>מיילים!$M$2:$M$36</xm:f>
          </x14:formula1>
          <xm:sqref>T3:U3</xm:sqref>
        </x14:dataValidation>
        <x14:dataValidation type="list" allowBlank="1" showInputMessage="1" showErrorMessage="1" xr:uid="{00000000-0002-0000-0500-000004000000}">
          <x14:formula1>
            <xm:f>מיילים!$M$3:$M$37</xm:f>
          </x14:formula1>
          <xm:sqref>R3:S3 V3:W3</xm:sqref>
        </x14:dataValidation>
        <x14:dataValidation type="list" allowBlank="1" showInputMessage="1" showErrorMessage="1" xr:uid="{00000000-0002-0000-0500-000005000000}">
          <x14:formula1>
            <xm:f>מיילים!$M$2:$M$31</xm:f>
          </x14:formula1>
          <xm:sqref>P3:Q3 AW3:AZ3 BS3:CA3 BE3:BO3 AD3:AE3 D3:N3</xm:sqref>
        </x14:dataValidation>
        <x14:dataValidation type="list" allowBlank="1" showInputMessage="1" showErrorMessage="1" xr:uid="{00000000-0002-0000-0500-000006000000}">
          <x14:formula1>
            <xm:f>מיילים!$M$2:$M$38</xm:f>
          </x14:formula1>
          <xm:sqref>BQ3:BR3 BC3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K39"/>
  <sheetViews>
    <sheetView rightToLeft="1" zoomScale="80" zoomScaleNormal="80" workbookViewId="0">
      <pane ySplit="4" topLeftCell="A5" activePane="bottomLeft" state="frozen"/>
      <selection pane="bottomLeft" activeCell="D5" sqref="D5"/>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29" width="4.625" style="1" customWidth="1"/>
    <col min="30" max="30" width="8.625" style="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289</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581" t="s">
        <v>245</v>
      </c>
      <c r="AU1" s="338"/>
      <c r="AV1" s="339"/>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581" t="s">
        <v>245</v>
      </c>
      <c r="CD1" s="338"/>
      <c r="CE1" s="339"/>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40"/>
      <c r="CD2" s="341"/>
      <c r="CE2" s="342"/>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390"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5"/>
      <c r="BO3" s="533" t="s">
        <v>21</v>
      </c>
      <c r="BP3" s="534"/>
      <c r="BQ3" s="533" t="s">
        <v>23</v>
      </c>
      <c r="BR3" s="534"/>
      <c r="BS3" s="535" t="s">
        <v>28</v>
      </c>
      <c r="BT3" s="536"/>
      <c r="BU3" s="393"/>
      <c r="BV3" s="394"/>
      <c r="BW3" s="395" t="s">
        <v>30</v>
      </c>
      <c r="BX3" s="395"/>
      <c r="BY3" s="395" t="s">
        <v>31</v>
      </c>
      <c r="BZ3" s="395"/>
      <c r="CA3" s="396" t="s">
        <v>227</v>
      </c>
      <c r="CB3" s="397"/>
      <c r="CC3" s="340"/>
      <c r="CD3" s="341"/>
      <c r="CE3" s="342"/>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428"/>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2"/>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582"/>
      <c r="CA4" s="436" t="str">
        <f>HYPERLINK("maiLto:" &amp; מיילים!P33 &amp; "?subject=" &amp; מיילים!U$3 &amp; "&amp;body=" &amp; מיילים!V$3,"עדכון במייל")</f>
        <v>עדכון במייל</v>
      </c>
      <c r="CB4" s="437"/>
      <c r="CC4" s="343"/>
      <c r="CD4" s="344"/>
      <c r="CE4" s="342"/>
      <c r="CF4" s="24" t="s">
        <v>38</v>
      </c>
      <c r="CG4" s="23" t="s">
        <v>39</v>
      </c>
      <c r="CH4" s="95" t="s">
        <v>36</v>
      </c>
      <c r="CI4" s="95" t="s">
        <v>37</v>
      </c>
      <c r="CJ4" s="412"/>
      <c r="CK4" s="413"/>
    </row>
    <row r="5" spans="1:89" ht="15" customHeight="1">
      <c r="A5" s="142">
        <v>1</v>
      </c>
      <c r="B5" s="142" t="s">
        <v>128</v>
      </c>
      <c r="C5" s="506">
        <v>27</v>
      </c>
      <c r="D5" s="84"/>
      <c r="E5" s="80"/>
      <c r="F5" s="84"/>
      <c r="G5" s="80"/>
      <c r="H5" s="133"/>
      <c r="I5" s="80"/>
      <c r="J5" s="84"/>
      <c r="K5" s="80"/>
      <c r="L5" s="133"/>
      <c r="M5" s="80"/>
      <c r="N5" s="84"/>
      <c r="O5" s="87"/>
      <c r="P5" s="84"/>
      <c r="Q5" s="80"/>
      <c r="R5" s="235" t="s">
        <v>41</v>
      </c>
      <c r="S5" s="80"/>
      <c r="T5" s="133"/>
      <c r="U5" s="80"/>
      <c r="V5" s="133"/>
      <c r="W5" s="80"/>
      <c r="X5" s="133"/>
      <c r="Y5" s="80"/>
      <c r="Z5" s="84"/>
      <c r="AA5" s="80"/>
      <c r="AB5" s="84"/>
      <c r="AC5" s="80"/>
      <c r="AD5" s="97"/>
      <c r="AE5" s="80"/>
      <c r="AF5" s="84"/>
      <c r="AG5" s="80"/>
      <c r="AH5" s="84"/>
      <c r="AI5" s="80"/>
      <c r="AJ5" s="84"/>
      <c r="AK5" s="80"/>
      <c r="AL5" s="84"/>
      <c r="AM5" s="80"/>
      <c r="AN5" s="84"/>
      <c r="AO5" s="80"/>
      <c r="AP5" s="583" t="s">
        <v>341</v>
      </c>
      <c r="AQ5" s="584"/>
      <c r="AR5" s="33"/>
      <c r="AS5" s="34"/>
      <c r="AT5" s="142">
        <v>1</v>
      </c>
      <c r="AU5" s="142" t="s">
        <v>128</v>
      </c>
      <c r="AV5" s="506">
        <v>27</v>
      </c>
      <c r="AW5" s="84"/>
      <c r="AX5" s="67"/>
      <c r="AY5" s="69"/>
      <c r="AZ5" s="67"/>
      <c r="BA5" s="69"/>
      <c r="BB5" s="69"/>
      <c r="BC5" s="87"/>
      <c r="BD5" s="67"/>
      <c r="BE5" s="14"/>
      <c r="BF5" s="74" t="s">
        <v>42</v>
      </c>
      <c r="BG5" s="72"/>
      <c r="BH5" s="70"/>
      <c r="BI5" s="72"/>
      <c r="BJ5" s="72"/>
      <c r="BK5" s="58"/>
      <c r="BL5" s="70"/>
      <c r="BM5" s="37"/>
      <c r="BN5" s="74" t="s">
        <v>34</v>
      </c>
      <c r="BO5" s="72"/>
      <c r="BP5" s="74" t="s">
        <v>34</v>
      </c>
      <c r="BQ5" s="72"/>
      <c r="BR5" s="74" t="s">
        <v>34</v>
      </c>
      <c r="BS5" s="78"/>
      <c r="BT5" s="74" t="s">
        <v>34</v>
      </c>
      <c r="BU5" s="96"/>
      <c r="BV5" s="67"/>
      <c r="BW5" s="69"/>
      <c r="BX5" s="67" t="s">
        <v>33</v>
      </c>
      <c r="BY5" s="69"/>
      <c r="BZ5" s="72" t="s">
        <v>33</v>
      </c>
      <c r="CA5" s="87"/>
      <c r="CB5" s="67" t="s">
        <v>33</v>
      </c>
      <c r="CC5" s="142">
        <v>1</v>
      </c>
      <c r="CD5" s="142" t="s">
        <v>128</v>
      </c>
      <c r="CE5" s="506">
        <v>26</v>
      </c>
      <c r="CF5" s="311">
        <f t="shared" ref="CF5:CF35" si="0">COUNTIF(AX5:CB5,"י")+COUNTIF(AX5:CB5,"Y")+COUNTIF(AX5:CB5,"2")</f>
        <v>3</v>
      </c>
      <c r="CG5" s="76">
        <f t="shared" ref="CG5:CG35" si="1">COUNTIF(AW5:CB5,"ל")+COUNTIF(AW5:CB5,"L")+COUNTIF(AW5:CB5,"ל2")</f>
        <v>4</v>
      </c>
      <c r="CH5" s="93"/>
      <c r="CI5" s="94"/>
      <c r="CJ5" s="449"/>
      <c r="CK5" s="450"/>
    </row>
    <row r="6" spans="1:89" ht="15" customHeight="1">
      <c r="A6" s="142">
        <v>2</v>
      </c>
      <c r="B6" s="142" t="s">
        <v>129</v>
      </c>
      <c r="C6" s="507"/>
      <c r="D6" s="14"/>
      <c r="E6" s="65"/>
      <c r="F6" s="14"/>
      <c r="G6" s="65"/>
      <c r="H6" s="14"/>
      <c r="I6" s="65"/>
      <c r="J6" s="14"/>
      <c r="K6" s="65"/>
      <c r="L6" s="14"/>
      <c r="M6" s="65"/>
      <c r="N6" s="14" t="s">
        <v>41</v>
      </c>
      <c r="O6" s="58"/>
      <c r="P6" s="14"/>
      <c r="Q6" s="65"/>
      <c r="R6" s="235" t="s">
        <v>41</v>
      </c>
      <c r="S6" s="65"/>
      <c r="T6" s="15"/>
      <c r="U6" s="65"/>
      <c r="V6" s="15"/>
      <c r="W6" s="65"/>
      <c r="X6" s="15"/>
      <c r="Y6" s="65"/>
      <c r="Z6" s="14"/>
      <c r="AA6" s="65"/>
      <c r="AB6" s="14"/>
      <c r="AC6" s="65"/>
      <c r="AD6" s="15"/>
      <c r="AE6" s="65"/>
      <c r="AF6" s="14"/>
      <c r="AG6" s="65"/>
      <c r="AH6" s="14"/>
      <c r="AI6" s="65"/>
      <c r="AJ6" s="14"/>
      <c r="AK6" s="65"/>
      <c r="AL6" s="14"/>
      <c r="AM6" s="65"/>
      <c r="AN6" s="14"/>
      <c r="AO6" s="65"/>
      <c r="AP6" s="509" t="s">
        <v>290</v>
      </c>
      <c r="AQ6" s="510"/>
      <c r="AR6" s="33"/>
      <c r="AS6" s="34"/>
      <c r="AT6" s="142">
        <v>2</v>
      </c>
      <c r="AU6" s="142" t="s">
        <v>129</v>
      </c>
      <c r="AV6" s="507"/>
      <c r="AW6" s="14"/>
      <c r="AX6" s="67" t="s">
        <v>33</v>
      </c>
      <c r="AY6" s="69"/>
      <c r="AZ6" s="67" t="s">
        <v>33</v>
      </c>
      <c r="BA6" s="69"/>
      <c r="BB6" s="72" t="s">
        <v>33</v>
      </c>
      <c r="BC6" s="87"/>
      <c r="BD6" s="67" t="s">
        <v>33</v>
      </c>
      <c r="BE6" s="14"/>
      <c r="BF6" s="70"/>
      <c r="BG6" s="72"/>
      <c r="BH6" s="70"/>
      <c r="BI6" s="72"/>
      <c r="BJ6" s="72"/>
      <c r="BK6" s="58"/>
      <c r="BL6" s="70"/>
      <c r="BM6" s="37"/>
      <c r="BN6" s="70"/>
      <c r="BO6" s="72"/>
      <c r="BP6" s="70"/>
      <c r="BQ6" s="72"/>
      <c r="BR6" s="72"/>
      <c r="BS6" s="15"/>
      <c r="BT6" s="70"/>
      <c r="BU6" s="96"/>
      <c r="BV6" s="74"/>
      <c r="BW6" s="72"/>
      <c r="BX6" s="74" t="s">
        <v>34</v>
      </c>
      <c r="BY6" s="72"/>
      <c r="BZ6" s="74" t="s">
        <v>34</v>
      </c>
      <c r="CA6" s="58"/>
      <c r="CB6" s="74" t="s">
        <v>34</v>
      </c>
      <c r="CC6" s="142">
        <v>2</v>
      </c>
      <c r="CD6" s="142" t="s">
        <v>129</v>
      </c>
      <c r="CE6" s="507"/>
      <c r="CF6" s="311">
        <f t="shared" si="0"/>
        <v>4</v>
      </c>
      <c r="CG6" s="76">
        <f t="shared" si="1"/>
        <v>3</v>
      </c>
      <c r="CH6" s="27"/>
      <c r="CI6" s="28"/>
      <c r="CJ6" s="449"/>
      <c r="CK6" s="450"/>
    </row>
    <row r="7" spans="1:89" ht="15" customHeight="1">
      <c r="A7" s="22">
        <v>3</v>
      </c>
      <c r="B7" s="22" t="s">
        <v>130</v>
      </c>
      <c r="C7" s="507"/>
      <c r="D7" s="16"/>
      <c r="E7" s="17"/>
      <c r="F7" s="16"/>
      <c r="G7" s="17"/>
      <c r="H7" s="109"/>
      <c r="I7" s="17"/>
      <c r="J7" s="16"/>
      <c r="K7" s="17"/>
      <c r="L7" s="109"/>
      <c r="M7" s="17"/>
      <c r="N7" s="16" t="s">
        <v>41</v>
      </c>
      <c r="O7" s="59"/>
      <c r="P7" s="16"/>
      <c r="Q7" s="17"/>
      <c r="R7" s="235" t="s">
        <v>41</v>
      </c>
      <c r="S7" s="17"/>
      <c r="T7" s="109"/>
      <c r="U7" s="17"/>
      <c r="V7" s="109"/>
      <c r="W7" s="17"/>
      <c r="X7" s="18"/>
      <c r="Y7" s="17"/>
      <c r="Z7" s="16"/>
      <c r="AA7" s="17"/>
      <c r="AB7" s="16"/>
      <c r="AC7" s="17"/>
      <c r="AD7" s="18"/>
      <c r="AE7" s="17"/>
      <c r="AF7" s="16"/>
      <c r="AG7" s="17"/>
      <c r="AH7" s="16"/>
      <c r="AI7" s="17"/>
      <c r="AJ7" s="16"/>
      <c r="AK7" s="17"/>
      <c r="AL7" s="16"/>
      <c r="AM7" s="17"/>
      <c r="AN7" s="16"/>
      <c r="AO7" s="17"/>
      <c r="AP7" s="525"/>
      <c r="AQ7" s="526"/>
      <c r="AR7" s="104"/>
      <c r="AS7" s="105"/>
      <c r="AT7" s="22">
        <v>3</v>
      </c>
      <c r="AU7" s="22" t="s">
        <v>130</v>
      </c>
      <c r="AV7" s="507"/>
      <c r="AW7" s="16"/>
      <c r="AX7" s="75" t="s">
        <v>34</v>
      </c>
      <c r="AY7" s="73"/>
      <c r="AZ7" s="75" t="s">
        <v>34</v>
      </c>
      <c r="BA7" s="73"/>
      <c r="BB7" s="75" t="s">
        <v>34</v>
      </c>
      <c r="BC7" s="59"/>
      <c r="BD7" s="75" t="s">
        <v>34</v>
      </c>
      <c r="BE7" s="16"/>
      <c r="BF7" s="71" t="s">
        <v>33</v>
      </c>
      <c r="BG7" s="68"/>
      <c r="BH7" s="66" t="s">
        <v>33</v>
      </c>
      <c r="BI7" s="68"/>
      <c r="BJ7" s="73" t="s">
        <v>33</v>
      </c>
      <c r="BK7" s="110"/>
      <c r="BL7" s="66" t="s">
        <v>33</v>
      </c>
      <c r="BM7" s="38"/>
      <c r="BN7" s="71"/>
      <c r="BO7" s="73"/>
      <c r="BP7" s="71"/>
      <c r="BQ7" s="73"/>
      <c r="BR7" s="73"/>
      <c r="BS7" s="18"/>
      <c r="BT7" s="71"/>
      <c r="BU7" s="108"/>
      <c r="BV7" s="66"/>
      <c r="BW7" s="68"/>
      <c r="BX7" s="66"/>
      <c r="BY7" s="68"/>
      <c r="BZ7" s="73"/>
      <c r="CA7" s="83"/>
      <c r="CB7" s="66"/>
      <c r="CC7" s="22">
        <v>3</v>
      </c>
      <c r="CD7" s="22" t="s">
        <v>130</v>
      </c>
      <c r="CE7" s="507"/>
      <c r="CF7" s="311">
        <f t="shared" si="0"/>
        <v>4</v>
      </c>
      <c r="CG7" s="76">
        <f t="shared" si="1"/>
        <v>4</v>
      </c>
      <c r="CH7" s="27"/>
      <c r="CI7" s="28"/>
      <c r="CJ7" s="449"/>
      <c r="CK7" s="450"/>
    </row>
    <row r="8" spans="1:89" ht="15" customHeight="1">
      <c r="A8" s="22">
        <v>4</v>
      </c>
      <c r="B8" s="22" t="s">
        <v>131</v>
      </c>
      <c r="C8" s="508"/>
      <c r="D8" s="16"/>
      <c r="E8" s="17"/>
      <c r="F8" s="16"/>
      <c r="G8" s="17"/>
      <c r="H8" s="16"/>
      <c r="I8" s="17"/>
      <c r="J8" s="16"/>
      <c r="K8" s="17"/>
      <c r="L8" s="16"/>
      <c r="M8" s="17"/>
      <c r="N8" s="16" t="s">
        <v>41</v>
      </c>
      <c r="O8" s="59"/>
      <c r="P8" s="16"/>
      <c r="Q8" s="17"/>
      <c r="R8" s="235" t="s">
        <v>41</v>
      </c>
      <c r="S8" s="17"/>
      <c r="T8" s="18"/>
      <c r="U8" s="17"/>
      <c r="V8" s="18"/>
      <c r="W8" s="17"/>
      <c r="X8" s="18"/>
      <c r="Y8" s="17"/>
      <c r="Z8" s="16"/>
      <c r="AA8" s="17"/>
      <c r="AB8" s="16"/>
      <c r="AC8" s="17"/>
      <c r="AD8" s="18"/>
      <c r="AE8" s="17"/>
      <c r="AF8" s="16"/>
      <c r="AG8" s="17"/>
      <c r="AH8" s="16"/>
      <c r="AI8" s="17"/>
      <c r="AJ8" s="16"/>
      <c r="AK8" s="17"/>
      <c r="AL8" s="16"/>
      <c r="AM8" s="17"/>
      <c r="AN8" s="16"/>
      <c r="AO8" s="17"/>
      <c r="AP8" s="525"/>
      <c r="AQ8" s="526"/>
      <c r="AR8" s="104"/>
      <c r="AS8" s="105"/>
      <c r="AT8" s="22">
        <v>4</v>
      </c>
      <c r="AU8" s="22" t="s">
        <v>131</v>
      </c>
      <c r="AV8" s="508"/>
      <c r="AW8" s="16"/>
      <c r="AX8" s="66"/>
      <c r="AY8" s="68"/>
      <c r="AZ8" s="66"/>
      <c r="BA8" s="68"/>
      <c r="BB8" s="73"/>
      <c r="BC8" s="83"/>
      <c r="BD8" s="66"/>
      <c r="BE8" s="16"/>
      <c r="BF8" s="75" t="s">
        <v>34</v>
      </c>
      <c r="BG8" s="73"/>
      <c r="BH8" s="75" t="s">
        <v>34</v>
      </c>
      <c r="BI8" s="73"/>
      <c r="BJ8" s="75" t="s">
        <v>34</v>
      </c>
      <c r="BK8" s="59"/>
      <c r="BL8" s="75" t="s">
        <v>34</v>
      </c>
      <c r="BM8" s="38"/>
      <c r="BN8" s="66" t="s">
        <v>33</v>
      </c>
      <c r="BO8" s="68"/>
      <c r="BP8" s="66" t="s">
        <v>33</v>
      </c>
      <c r="BQ8" s="68"/>
      <c r="BR8" s="73" t="s">
        <v>33</v>
      </c>
      <c r="BS8" s="110"/>
      <c r="BT8" s="70" t="s">
        <v>61</v>
      </c>
      <c r="BU8" s="108"/>
      <c r="BV8" s="66"/>
      <c r="BW8" s="68"/>
      <c r="BX8" s="66"/>
      <c r="BY8" s="68"/>
      <c r="BZ8" s="73"/>
      <c r="CA8" s="83"/>
      <c r="CB8" s="66"/>
      <c r="CC8" s="22">
        <v>4</v>
      </c>
      <c r="CD8" s="22" t="s">
        <v>131</v>
      </c>
      <c r="CE8" s="508"/>
      <c r="CF8" s="311">
        <f t="shared" si="0"/>
        <v>3</v>
      </c>
      <c r="CG8" s="76">
        <f t="shared" si="1"/>
        <v>4</v>
      </c>
      <c r="CH8" s="27"/>
      <c r="CI8" s="28"/>
      <c r="CJ8" s="449"/>
      <c r="CK8" s="450"/>
    </row>
    <row r="9" spans="1:89" ht="15" customHeight="1">
      <c r="A9" s="142">
        <v>5</v>
      </c>
      <c r="B9" s="142" t="s">
        <v>132</v>
      </c>
      <c r="C9" s="506">
        <v>28</v>
      </c>
      <c r="D9" s="14"/>
      <c r="E9" s="65"/>
      <c r="F9" s="14"/>
      <c r="G9" s="65"/>
      <c r="H9" s="14"/>
      <c r="I9" s="65"/>
      <c r="J9" s="14"/>
      <c r="K9" s="65"/>
      <c r="L9" s="14"/>
      <c r="M9" s="65"/>
      <c r="N9" s="14" t="s">
        <v>41</v>
      </c>
      <c r="O9" s="58"/>
      <c r="P9" s="14"/>
      <c r="Q9" s="65"/>
      <c r="R9" s="15"/>
      <c r="S9" s="65"/>
      <c r="T9" s="15"/>
      <c r="U9" s="65"/>
      <c r="V9" s="15"/>
      <c r="W9" s="65"/>
      <c r="X9" s="15"/>
      <c r="Y9" s="65"/>
      <c r="Z9" s="14"/>
      <c r="AA9" s="65"/>
      <c r="AB9" s="14"/>
      <c r="AC9" s="65"/>
      <c r="AD9" s="15"/>
      <c r="AE9" s="65"/>
      <c r="AF9" s="14"/>
      <c r="AG9" s="65"/>
      <c r="AH9" s="14"/>
      <c r="AI9" s="65"/>
      <c r="AJ9" s="14"/>
      <c r="AK9" s="65"/>
      <c r="AL9" s="14"/>
      <c r="AM9" s="65"/>
      <c r="AN9" s="14"/>
      <c r="AO9" s="65"/>
      <c r="AP9" s="509"/>
      <c r="AQ9" s="510"/>
      <c r="AR9" s="33"/>
      <c r="AS9" s="34"/>
      <c r="AT9" s="142">
        <v>5</v>
      </c>
      <c r="AU9" s="142" t="s">
        <v>132</v>
      </c>
      <c r="AV9" s="506">
        <v>28</v>
      </c>
      <c r="AW9" s="14"/>
      <c r="AX9" s="67"/>
      <c r="AY9" s="69"/>
      <c r="AZ9" s="67"/>
      <c r="BA9" s="69"/>
      <c r="BB9" s="72"/>
      <c r="BC9" s="97"/>
      <c r="BD9" s="67"/>
      <c r="BE9" s="14"/>
      <c r="BF9" s="67"/>
      <c r="BG9" s="69"/>
      <c r="BH9" s="67"/>
      <c r="BI9" s="69"/>
      <c r="BJ9" s="72"/>
      <c r="BK9" s="97"/>
      <c r="BL9" s="67"/>
      <c r="BM9" s="37"/>
      <c r="BN9" s="74" t="s">
        <v>34</v>
      </c>
      <c r="BO9" s="72"/>
      <c r="BP9" s="74" t="s">
        <v>34</v>
      </c>
      <c r="BQ9" s="72"/>
      <c r="BR9" s="74" t="s">
        <v>34</v>
      </c>
      <c r="BS9" s="58"/>
      <c r="BT9" s="74" t="s">
        <v>34</v>
      </c>
      <c r="BU9" s="96"/>
      <c r="BV9" s="67"/>
      <c r="BW9" s="69"/>
      <c r="BX9" s="67" t="s">
        <v>33</v>
      </c>
      <c r="BY9" s="69"/>
      <c r="BZ9" s="72" t="s">
        <v>33</v>
      </c>
      <c r="CA9" s="87"/>
      <c r="CB9" s="67" t="s">
        <v>33</v>
      </c>
      <c r="CC9" s="142">
        <v>5</v>
      </c>
      <c r="CD9" s="142" t="s">
        <v>132</v>
      </c>
      <c r="CE9" s="506">
        <v>27</v>
      </c>
      <c r="CF9" s="311">
        <f t="shared" si="0"/>
        <v>3</v>
      </c>
      <c r="CG9" s="76">
        <f t="shared" si="1"/>
        <v>4</v>
      </c>
      <c r="CH9" s="27"/>
      <c r="CI9" s="28"/>
      <c r="CJ9" s="449"/>
      <c r="CK9" s="450"/>
    </row>
    <row r="10" spans="1:89" ht="15" customHeight="1">
      <c r="A10" s="142">
        <v>6</v>
      </c>
      <c r="B10" s="142" t="s">
        <v>133</v>
      </c>
      <c r="C10" s="507"/>
      <c r="D10" s="14"/>
      <c r="E10" s="65"/>
      <c r="F10" s="14"/>
      <c r="G10" s="65"/>
      <c r="H10" s="14"/>
      <c r="I10" s="65"/>
      <c r="J10" s="14"/>
      <c r="K10" s="65"/>
      <c r="L10" s="14"/>
      <c r="M10" s="65"/>
      <c r="N10" s="14" t="s">
        <v>41</v>
      </c>
      <c r="O10" s="58"/>
      <c r="P10" s="14"/>
      <c r="Q10" s="65"/>
      <c r="R10" s="15"/>
      <c r="S10" s="65"/>
      <c r="T10" s="15"/>
      <c r="U10" s="65"/>
      <c r="V10" s="15"/>
      <c r="W10" s="65"/>
      <c r="X10" s="15"/>
      <c r="Y10" s="65"/>
      <c r="Z10" s="14"/>
      <c r="AA10" s="65"/>
      <c r="AB10" s="14"/>
      <c r="AC10" s="65"/>
      <c r="AD10" s="15"/>
      <c r="AE10" s="65"/>
      <c r="AF10" s="14"/>
      <c r="AG10" s="65"/>
      <c r="AH10" s="14"/>
      <c r="AI10" s="65"/>
      <c r="AJ10" s="14"/>
      <c r="AK10" s="65"/>
      <c r="AL10" s="14"/>
      <c r="AM10" s="65"/>
      <c r="AN10" s="14"/>
      <c r="AO10" s="65"/>
      <c r="AP10" s="509"/>
      <c r="AQ10" s="510"/>
      <c r="AR10" s="33"/>
      <c r="AS10" s="34"/>
      <c r="AT10" s="142">
        <v>6</v>
      </c>
      <c r="AU10" s="142" t="s">
        <v>133</v>
      </c>
      <c r="AV10" s="507"/>
      <c r="AW10" s="14"/>
      <c r="AX10" s="67" t="s">
        <v>33</v>
      </c>
      <c r="AY10" s="69"/>
      <c r="AZ10" s="67" t="s">
        <v>33</v>
      </c>
      <c r="BA10" s="69"/>
      <c r="BB10" s="72" t="s">
        <v>33</v>
      </c>
      <c r="BC10" s="87"/>
      <c r="BD10" s="67" t="s">
        <v>33</v>
      </c>
      <c r="BE10" s="14"/>
      <c r="BF10" s="67"/>
      <c r="BG10" s="69"/>
      <c r="BH10" s="67"/>
      <c r="BI10" s="69"/>
      <c r="BJ10" s="72"/>
      <c r="BK10" s="97"/>
      <c r="BL10" s="67"/>
      <c r="BM10" s="37"/>
      <c r="BN10" s="67"/>
      <c r="BO10" s="69"/>
      <c r="BP10" s="67"/>
      <c r="BQ10" s="69"/>
      <c r="BR10" s="72"/>
      <c r="BS10" s="97"/>
      <c r="BT10" s="67"/>
      <c r="BU10" s="96"/>
      <c r="BV10" s="74"/>
      <c r="BW10" s="72"/>
      <c r="BX10" s="74" t="s">
        <v>34</v>
      </c>
      <c r="BY10" s="72"/>
      <c r="BZ10" s="74" t="s">
        <v>34</v>
      </c>
      <c r="CA10" s="58"/>
      <c r="CB10" s="74" t="s">
        <v>34</v>
      </c>
      <c r="CC10" s="142">
        <v>6</v>
      </c>
      <c r="CD10" s="142" t="s">
        <v>133</v>
      </c>
      <c r="CE10" s="507"/>
      <c r="CF10" s="311">
        <f t="shared" si="0"/>
        <v>4</v>
      </c>
      <c r="CG10" s="76">
        <f t="shared" si="1"/>
        <v>3</v>
      </c>
      <c r="CH10" s="27"/>
      <c r="CI10" s="28"/>
      <c r="CJ10" s="449"/>
      <c r="CK10" s="450"/>
    </row>
    <row r="11" spans="1:89" ht="15" customHeight="1">
      <c r="A11" s="142">
        <v>7</v>
      </c>
      <c r="B11" s="142" t="s">
        <v>127</v>
      </c>
      <c r="C11" s="507"/>
      <c r="D11" s="14"/>
      <c r="E11" s="65"/>
      <c r="F11" s="14"/>
      <c r="G11" s="65"/>
      <c r="H11" s="14"/>
      <c r="I11" s="65"/>
      <c r="J11" s="14"/>
      <c r="K11" s="65"/>
      <c r="L11" s="14"/>
      <c r="M11" s="65"/>
      <c r="N11" s="14" t="s">
        <v>41</v>
      </c>
      <c r="O11" s="58"/>
      <c r="P11" s="14"/>
      <c r="Q11" s="65"/>
      <c r="R11" s="15"/>
      <c r="S11" s="65"/>
      <c r="T11" s="15"/>
      <c r="U11" s="65"/>
      <c r="V11" s="15"/>
      <c r="W11" s="65"/>
      <c r="X11" s="300" t="s">
        <v>147</v>
      </c>
      <c r="Y11" s="65"/>
      <c r="Z11" s="14"/>
      <c r="AA11" s="65"/>
      <c r="AB11" s="14"/>
      <c r="AC11" s="65"/>
      <c r="AD11" s="15"/>
      <c r="AE11" s="65"/>
      <c r="AF11" s="14"/>
      <c r="AG11" s="65"/>
      <c r="AH11" s="14"/>
      <c r="AI11" s="65"/>
      <c r="AJ11" s="14" t="s">
        <v>42</v>
      </c>
      <c r="AK11" s="65"/>
      <c r="AL11" s="14"/>
      <c r="AM11" s="65"/>
      <c r="AN11" s="14"/>
      <c r="AO11" s="65"/>
      <c r="AP11" s="509"/>
      <c r="AQ11" s="510"/>
      <c r="AR11" s="33"/>
      <c r="AS11" s="34"/>
      <c r="AT11" s="142">
        <v>7</v>
      </c>
      <c r="AU11" s="142" t="s">
        <v>127</v>
      </c>
      <c r="AV11" s="507"/>
      <c r="AW11" s="14"/>
      <c r="AX11" s="74" t="s">
        <v>34</v>
      </c>
      <c r="AY11" s="72"/>
      <c r="AZ11" s="74" t="s">
        <v>34</v>
      </c>
      <c r="BA11" s="72"/>
      <c r="BB11" s="74" t="s">
        <v>34</v>
      </c>
      <c r="BC11" s="58"/>
      <c r="BD11" s="74" t="s">
        <v>34</v>
      </c>
      <c r="BE11" s="14"/>
      <c r="BF11" s="67" t="s">
        <v>33</v>
      </c>
      <c r="BG11" s="69"/>
      <c r="BH11" s="67" t="s">
        <v>33</v>
      </c>
      <c r="BI11" s="69"/>
      <c r="BJ11" s="72" t="s">
        <v>33</v>
      </c>
      <c r="BK11" s="87"/>
      <c r="BL11" s="67" t="s">
        <v>33</v>
      </c>
      <c r="BM11" s="37"/>
      <c r="BN11" s="67"/>
      <c r="BO11" s="69"/>
      <c r="BP11" s="67"/>
      <c r="BQ11" s="69"/>
      <c r="BR11" s="72"/>
      <c r="BS11" s="97"/>
      <c r="BT11" s="67"/>
      <c r="BU11" s="96"/>
      <c r="BV11" s="67"/>
      <c r="BW11" s="69"/>
      <c r="BX11" s="67"/>
      <c r="BY11" s="69"/>
      <c r="BZ11" s="72"/>
      <c r="CA11" s="97"/>
      <c r="CB11" s="67"/>
      <c r="CC11" s="142">
        <v>7</v>
      </c>
      <c r="CD11" s="142" t="s">
        <v>127</v>
      </c>
      <c r="CE11" s="507"/>
      <c r="CF11" s="311">
        <f t="shared" si="0"/>
        <v>4</v>
      </c>
      <c r="CG11" s="76">
        <f t="shared" si="1"/>
        <v>4</v>
      </c>
      <c r="CH11" s="27"/>
      <c r="CI11" s="28"/>
      <c r="CJ11" s="449"/>
      <c r="CK11" s="450"/>
    </row>
    <row r="12" spans="1:89" ht="15" customHeight="1">
      <c r="A12" s="142">
        <v>8</v>
      </c>
      <c r="B12" s="142" t="s">
        <v>128</v>
      </c>
      <c r="C12" s="507"/>
      <c r="D12" s="14"/>
      <c r="E12" s="65"/>
      <c r="F12" s="14"/>
      <c r="G12" s="65"/>
      <c r="H12" s="112"/>
      <c r="I12" s="65"/>
      <c r="J12" s="14"/>
      <c r="K12" s="65"/>
      <c r="L12" s="112"/>
      <c r="M12" s="65"/>
      <c r="N12" s="14" t="s">
        <v>41</v>
      </c>
      <c r="O12" s="58"/>
      <c r="P12" s="14"/>
      <c r="Q12" s="65"/>
      <c r="R12" s="112"/>
      <c r="S12" s="65"/>
      <c r="T12" s="112"/>
      <c r="U12" s="65"/>
      <c r="V12" s="112"/>
      <c r="W12" s="65"/>
      <c r="X12" s="15"/>
      <c r="Y12" s="65"/>
      <c r="Z12" s="14"/>
      <c r="AA12" s="65"/>
      <c r="AB12" s="14"/>
      <c r="AC12" s="65"/>
      <c r="AD12" s="15"/>
      <c r="AE12" s="65"/>
      <c r="AF12" s="14"/>
      <c r="AG12" s="65"/>
      <c r="AH12" s="14"/>
      <c r="AI12" s="65"/>
      <c r="AJ12" s="14"/>
      <c r="AK12" s="65"/>
      <c r="AL12" s="14"/>
      <c r="AM12" s="65"/>
      <c r="AN12" s="14"/>
      <c r="AO12" s="65"/>
      <c r="AP12" s="523"/>
      <c r="AQ12" s="524"/>
      <c r="AR12" s="33"/>
      <c r="AS12" s="34"/>
      <c r="AT12" s="142">
        <v>8</v>
      </c>
      <c r="AU12" s="142" t="s">
        <v>128</v>
      </c>
      <c r="AV12" s="507"/>
      <c r="AW12" s="14"/>
      <c r="AX12" s="67"/>
      <c r="AY12" s="69"/>
      <c r="AZ12" s="67"/>
      <c r="BA12" s="69"/>
      <c r="BB12" s="72"/>
      <c r="BC12" s="97"/>
      <c r="BD12" s="67"/>
      <c r="BE12" s="14"/>
      <c r="BF12" s="74" t="s">
        <v>34</v>
      </c>
      <c r="BG12" s="72"/>
      <c r="BH12" s="74" t="s">
        <v>34</v>
      </c>
      <c r="BI12" s="72"/>
      <c r="BJ12" s="74" t="s">
        <v>34</v>
      </c>
      <c r="BK12" s="58"/>
      <c r="BL12" s="74" t="s">
        <v>34</v>
      </c>
      <c r="BM12" s="37"/>
      <c r="BN12" s="67" t="s">
        <v>33</v>
      </c>
      <c r="BO12" s="69"/>
      <c r="BP12" s="67" t="s">
        <v>33</v>
      </c>
      <c r="BQ12" s="69"/>
      <c r="BR12" s="72" t="s">
        <v>33</v>
      </c>
      <c r="BS12" s="87"/>
      <c r="BT12" s="67" t="s">
        <v>33</v>
      </c>
      <c r="BU12" s="96"/>
      <c r="BV12" s="67"/>
      <c r="BW12" s="69"/>
      <c r="BX12" s="67"/>
      <c r="BY12" s="69"/>
      <c r="BZ12" s="72"/>
      <c r="CA12" s="97"/>
      <c r="CB12" s="67"/>
      <c r="CC12" s="142">
        <v>8</v>
      </c>
      <c r="CD12" s="142" t="s">
        <v>128</v>
      </c>
      <c r="CE12" s="507"/>
      <c r="CF12" s="311">
        <f t="shared" si="0"/>
        <v>4</v>
      </c>
      <c r="CG12" s="76">
        <f t="shared" si="1"/>
        <v>4</v>
      </c>
      <c r="CH12" s="27"/>
      <c r="CI12" s="28"/>
      <c r="CJ12" s="449"/>
      <c r="CK12" s="450"/>
    </row>
    <row r="13" spans="1:89" ht="15" customHeight="1">
      <c r="A13" s="142">
        <v>9</v>
      </c>
      <c r="B13" s="142" t="s">
        <v>129</v>
      </c>
      <c r="C13" s="507"/>
      <c r="D13" s="14"/>
      <c r="E13" s="65"/>
      <c r="F13" s="14"/>
      <c r="G13" s="65"/>
      <c r="H13" s="14"/>
      <c r="I13" s="65"/>
      <c r="J13" s="14"/>
      <c r="K13" s="65"/>
      <c r="L13" s="14"/>
      <c r="M13" s="65"/>
      <c r="N13" s="14" t="s">
        <v>41</v>
      </c>
      <c r="O13" s="58"/>
      <c r="P13" s="14"/>
      <c r="Q13" s="65"/>
      <c r="R13" s="15"/>
      <c r="S13" s="65"/>
      <c r="T13" s="15"/>
      <c r="U13" s="65"/>
      <c r="V13" s="15"/>
      <c r="W13" s="65"/>
      <c r="X13" s="15"/>
      <c r="Y13" s="65"/>
      <c r="Z13" s="14"/>
      <c r="AA13" s="65"/>
      <c r="AB13" s="14"/>
      <c r="AC13" s="65"/>
      <c r="AD13" s="15"/>
      <c r="AE13" s="65"/>
      <c r="AF13" s="14"/>
      <c r="AG13" s="65"/>
      <c r="AH13" s="14"/>
      <c r="AI13" s="65"/>
      <c r="AJ13" s="14"/>
      <c r="AK13" s="65"/>
      <c r="AL13" s="14"/>
      <c r="AM13" s="65"/>
      <c r="AN13" s="14"/>
      <c r="AO13" s="65"/>
      <c r="AP13" s="523"/>
      <c r="AQ13" s="524"/>
      <c r="AR13" s="33"/>
      <c r="AS13" s="34"/>
      <c r="AT13" s="142">
        <v>9</v>
      </c>
      <c r="AU13" s="142" t="s">
        <v>129</v>
      </c>
      <c r="AV13" s="507"/>
      <c r="AW13" s="14"/>
      <c r="AX13" s="67"/>
      <c r="AY13" s="69"/>
      <c r="AZ13" s="67"/>
      <c r="BA13" s="69"/>
      <c r="BB13" s="72"/>
      <c r="BC13" s="97"/>
      <c r="BD13" s="67"/>
      <c r="BE13" s="14"/>
      <c r="BF13" s="67"/>
      <c r="BG13" s="69"/>
      <c r="BH13" s="67"/>
      <c r="BI13" s="69"/>
      <c r="BJ13" s="72"/>
      <c r="BK13" s="97"/>
      <c r="BL13" s="67"/>
      <c r="BM13" s="37"/>
      <c r="BN13" s="74" t="s">
        <v>34</v>
      </c>
      <c r="BO13" s="72"/>
      <c r="BP13" s="74" t="s">
        <v>34</v>
      </c>
      <c r="BQ13" s="72"/>
      <c r="BR13" s="74" t="s">
        <v>34</v>
      </c>
      <c r="BS13" s="58"/>
      <c r="BT13" s="74" t="s">
        <v>34</v>
      </c>
      <c r="BU13" s="96"/>
      <c r="BV13" s="67"/>
      <c r="BW13" s="69"/>
      <c r="BX13" s="67" t="s">
        <v>33</v>
      </c>
      <c r="BY13" s="69"/>
      <c r="BZ13" s="72" t="s">
        <v>33</v>
      </c>
      <c r="CA13" s="87"/>
      <c r="CB13" s="67" t="s">
        <v>33</v>
      </c>
      <c r="CC13" s="142">
        <v>9</v>
      </c>
      <c r="CD13" s="142" t="s">
        <v>129</v>
      </c>
      <c r="CE13" s="507"/>
      <c r="CF13" s="311">
        <f t="shared" si="0"/>
        <v>3</v>
      </c>
      <c r="CG13" s="76">
        <f t="shared" si="1"/>
        <v>4</v>
      </c>
      <c r="CH13" s="27"/>
      <c r="CI13" s="28"/>
      <c r="CJ13" s="449"/>
      <c r="CK13" s="450"/>
    </row>
    <row r="14" spans="1:89" ht="15" customHeight="1">
      <c r="A14" s="22">
        <v>10</v>
      </c>
      <c r="B14" s="22" t="s">
        <v>130</v>
      </c>
      <c r="C14" s="507"/>
      <c r="D14" s="16"/>
      <c r="E14" s="17"/>
      <c r="F14" s="16"/>
      <c r="G14" s="17"/>
      <c r="H14" s="109"/>
      <c r="I14" s="17"/>
      <c r="J14" s="16"/>
      <c r="K14" s="17"/>
      <c r="L14" s="109"/>
      <c r="M14" s="17"/>
      <c r="N14" s="14" t="s">
        <v>41</v>
      </c>
      <c r="O14" s="59"/>
      <c r="P14" s="16"/>
      <c r="Q14" s="17"/>
      <c r="R14" s="109"/>
      <c r="S14" s="17"/>
      <c r="T14" s="109"/>
      <c r="U14" s="17"/>
      <c r="V14" s="109"/>
      <c r="W14" s="17"/>
      <c r="X14" s="18"/>
      <c r="Y14" s="17"/>
      <c r="Z14" s="16"/>
      <c r="AA14" s="17"/>
      <c r="AB14" s="16"/>
      <c r="AC14" s="17"/>
      <c r="AD14" s="18"/>
      <c r="AE14" s="17"/>
      <c r="AF14" s="16"/>
      <c r="AG14" s="17"/>
      <c r="AH14" s="16"/>
      <c r="AI14" s="17"/>
      <c r="AJ14" s="16"/>
      <c r="AK14" s="17"/>
      <c r="AL14" s="16"/>
      <c r="AM14" s="17"/>
      <c r="AN14" s="16"/>
      <c r="AO14" s="17"/>
      <c r="AP14" s="529"/>
      <c r="AQ14" s="530"/>
      <c r="AR14" s="104"/>
      <c r="AS14" s="105"/>
      <c r="AT14" s="22">
        <v>10</v>
      </c>
      <c r="AU14" s="22" t="s">
        <v>130</v>
      </c>
      <c r="AV14" s="507"/>
      <c r="AW14" s="16"/>
      <c r="AX14" s="66" t="s">
        <v>33</v>
      </c>
      <c r="AY14" s="68"/>
      <c r="AZ14" s="66" t="s">
        <v>33</v>
      </c>
      <c r="BA14" s="68"/>
      <c r="BB14" s="73" t="s">
        <v>33</v>
      </c>
      <c r="BC14" s="110"/>
      <c r="BD14" s="66" t="s">
        <v>33</v>
      </c>
      <c r="BE14" s="16"/>
      <c r="BF14" s="66"/>
      <c r="BG14" s="68"/>
      <c r="BH14" s="66"/>
      <c r="BI14" s="68"/>
      <c r="BJ14" s="73"/>
      <c r="BK14" s="83"/>
      <c r="BL14" s="66"/>
      <c r="BM14" s="38"/>
      <c r="BN14" s="66"/>
      <c r="BO14" s="68"/>
      <c r="BP14" s="66"/>
      <c r="BQ14" s="68"/>
      <c r="BR14" s="73"/>
      <c r="BS14" s="83"/>
      <c r="BT14" s="66"/>
      <c r="BU14" s="108"/>
      <c r="BV14" s="75"/>
      <c r="BW14" s="73"/>
      <c r="BX14" s="75" t="s">
        <v>34</v>
      </c>
      <c r="BY14" s="73"/>
      <c r="BZ14" s="75" t="s">
        <v>34</v>
      </c>
      <c r="CA14" s="59"/>
      <c r="CB14" s="75" t="s">
        <v>34</v>
      </c>
      <c r="CC14" s="22">
        <v>10</v>
      </c>
      <c r="CD14" s="22" t="s">
        <v>130</v>
      </c>
      <c r="CE14" s="507"/>
      <c r="CF14" s="311">
        <f t="shared" si="0"/>
        <v>4</v>
      </c>
      <c r="CG14" s="76">
        <f t="shared" si="1"/>
        <v>3</v>
      </c>
      <c r="CH14" s="27"/>
      <c r="CI14" s="28"/>
      <c r="CJ14" s="449"/>
      <c r="CK14" s="450"/>
    </row>
    <row r="15" spans="1:89" ht="15" customHeight="1">
      <c r="A15" s="22">
        <v>11</v>
      </c>
      <c r="B15" s="22" t="s">
        <v>131</v>
      </c>
      <c r="C15" s="508"/>
      <c r="D15" s="16"/>
      <c r="E15" s="17"/>
      <c r="F15" s="16"/>
      <c r="G15" s="17"/>
      <c r="H15" s="16"/>
      <c r="I15" s="17"/>
      <c r="J15" s="16"/>
      <c r="K15" s="17"/>
      <c r="L15" s="16"/>
      <c r="M15" s="17"/>
      <c r="N15" s="14" t="s">
        <v>41</v>
      </c>
      <c r="O15" s="59"/>
      <c r="P15" s="16"/>
      <c r="Q15" s="17"/>
      <c r="R15" s="18"/>
      <c r="S15" s="17"/>
      <c r="T15" s="18"/>
      <c r="U15" s="17"/>
      <c r="V15" s="18"/>
      <c r="W15" s="17"/>
      <c r="X15" s="18"/>
      <c r="Y15" s="17"/>
      <c r="Z15" s="16"/>
      <c r="AA15" s="17"/>
      <c r="AB15" s="16"/>
      <c r="AC15" s="17"/>
      <c r="AD15" s="18"/>
      <c r="AE15" s="17"/>
      <c r="AF15" s="16"/>
      <c r="AG15" s="17"/>
      <c r="AH15" s="16"/>
      <c r="AI15" s="17"/>
      <c r="AJ15" s="16"/>
      <c r="AK15" s="17"/>
      <c r="AL15" s="16"/>
      <c r="AM15" s="17"/>
      <c r="AN15" s="16"/>
      <c r="AO15" s="17"/>
      <c r="AP15" s="529"/>
      <c r="AQ15" s="530"/>
      <c r="AR15" s="104"/>
      <c r="AS15" s="105"/>
      <c r="AT15" s="22">
        <v>11</v>
      </c>
      <c r="AU15" s="22" t="s">
        <v>131</v>
      </c>
      <c r="AV15" s="508"/>
      <c r="AW15" s="16"/>
      <c r="AX15" s="75" t="s">
        <v>34</v>
      </c>
      <c r="AY15" s="73"/>
      <c r="AZ15" s="75" t="s">
        <v>34</v>
      </c>
      <c r="BA15" s="73"/>
      <c r="BB15" s="75" t="s">
        <v>34</v>
      </c>
      <c r="BC15" s="59"/>
      <c r="BD15" s="75" t="s">
        <v>34</v>
      </c>
      <c r="BE15" s="16"/>
      <c r="BF15" s="66" t="s">
        <v>33</v>
      </c>
      <c r="BG15" s="68"/>
      <c r="BH15" s="66" t="s">
        <v>33</v>
      </c>
      <c r="BI15" s="68"/>
      <c r="BJ15" s="73" t="s">
        <v>33</v>
      </c>
      <c r="BK15" s="110"/>
      <c r="BL15" s="66" t="s">
        <v>33</v>
      </c>
      <c r="BM15" s="38"/>
      <c r="BN15" s="66"/>
      <c r="BO15" s="68"/>
      <c r="BP15" s="66"/>
      <c r="BQ15" s="68"/>
      <c r="BR15" s="73"/>
      <c r="BS15" s="83"/>
      <c r="BT15" s="66"/>
      <c r="BU15" s="108"/>
      <c r="BV15" s="66"/>
      <c r="BW15" s="68"/>
      <c r="BX15" s="66"/>
      <c r="BY15" s="68"/>
      <c r="BZ15" s="73"/>
      <c r="CA15" s="83"/>
      <c r="CB15" s="66"/>
      <c r="CC15" s="22">
        <v>11</v>
      </c>
      <c r="CD15" s="22" t="s">
        <v>131</v>
      </c>
      <c r="CE15" s="508"/>
      <c r="CF15" s="311">
        <f t="shared" si="0"/>
        <v>4</v>
      </c>
      <c r="CG15" s="76">
        <f t="shared" si="1"/>
        <v>4</v>
      </c>
      <c r="CH15" s="27"/>
      <c r="CI15" s="28"/>
      <c r="CJ15" s="449"/>
      <c r="CK15" s="450"/>
    </row>
    <row r="16" spans="1:89" ht="15" customHeight="1">
      <c r="A16" s="142">
        <v>12</v>
      </c>
      <c r="B16" s="142" t="s">
        <v>132</v>
      </c>
      <c r="C16" s="506">
        <v>29</v>
      </c>
      <c r="D16" s="14"/>
      <c r="E16" s="65"/>
      <c r="F16" s="14"/>
      <c r="G16" s="65"/>
      <c r="H16" s="14"/>
      <c r="I16" s="65"/>
      <c r="J16" s="14"/>
      <c r="K16" s="65"/>
      <c r="L16" s="14"/>
      <c r="M16" s="65"/>
      <c r="N16" s="14" t="s">
        <v>41</v>
      </c>
      <c r="O16" s="65"/>
      <c r="P16" s="14"/>
      <c r="Q16" s="65"/>
      <c r="R16" s="15"/>
      <c r="S16" s="65"/>
      <c r="T16" s="15"/>
      <c r="U16" s="65"/>
      <c r="V16" s="15"/>
      <c r="W16" s="65"/>
      <c r="X16" s="15"/>
      <c r="Y16" s="65"/>
      <c r="Z16" s="14"/>
      <c r="AA16" s="65"/>
      <c r="AB16" s="14"/>
      <c r="AC16" s="65"/>
      <c r="AD16" s="15"/>
      <c r="AE16" s="65"/>
      <c r="AF16" s="14"/>
      <c r="AG16" s="65"/>
      <c r="AH16" s="14"/>
      <c r="AI16" s="65"/>
      <c r="AJ16" s="14"/>
      <c r="AK16" s="65"/>
      <c r="AL16" s="14"/>
      <c r="AM16" s="65"/>
      <c r="AN16" s="14"/>
      <c r="AO16" s="65"/>
      <c r="AP16" s="523"/>
      <c r="AQ16" s="524"/>
      <c r="AR16" s="33"/>
      <c r="AS16" s="34"/>
      <c r="AT16" s="142">
        <v>12</v>
      </c>
      <c r="AU16" s="142" t="s">
        <v>132</v>
      </c>
      <c r="AV16" s="506">
        <v>29</v>
      </c>
      <c r="AW16" s="14"/>
      <c r="AX16" s="70"/>
      <c r="AY16" s="72"/>
      <c r="AZ16" s="70"/>
      <c r="BA16" s="72"/>
      <c r="BB16" s="72"/>
      <c r="BC16" s="58"/>
      <c r="BD16" s="70"/>
      <c r="BE16" s="14"/>
      <c r="BF16" s="74" t="s">
        <v>34</v>
      </c>
      <c r="BG16" s="72"/>
      <c r="BH16" s="74" t="s">
        <v>34</v>
      </c>
      <c r="BI16" s="72"/>
      <c r="BJ16" s="74" t="s">
        <v>34</v>
      </c>
      <c r="BK16" s="58"/>
      <c r="BL16" s="74" t="s">
        <v>34</v>
      </c>
      <c r="BM16" s="37"/>
      <c r="BN16" s="67" t="s">
        <v>33</v>
      </c>
      <c r="BO16" s="69"/>
      <c r="BP16" s="67" t="s">
        <v>33</v>
      </c>
      <c r="BQ16" s="69"/>
      <c r="BR16" s="72" t="s">
        <v>33</v>
      </c>
      <c r="BS16" s="87"/>
      <c r="BT16" s="67" t="s">
        <v>33</v>
      </c>
      <c r="BU16" s="96"/>
      <c r="BV16" s="67"/>
      <c r="BW16" s="69"/>
      <c r="BX16" s="67"/>
      <c r="BY16" s="69"/>
      <c r="BZ16" s="72"/>
      <c r="CA16" s="97"/>
      <c r="CB16" s="67"/>
      <c r="CC16" s="142">
        <v>12</v>
      </c>
      <c r="CD16" s="142" t="s">
        <v>132</v>
      </c>
      <c r="CE16" s="506">
        <v>28</v>
      </c>
      <c r="CF16" s="311">
        <f t="shared" si="0"/>
        <v>4</v>
      </c>
      <c r="CG16" s="76">
        <f t="shared" si="1"/>
        <v>4</v>
      </c>
      <c r="CH16" s="27"/>
      <c r="CI16" s="28"/>
      <c r="CJ16" s="449"/>
      <c r="CK16" s="450"/>
    </row>
    <row r="17" spans="1:89" ht="15" customHeight="1">
      <c r="A17" s="142">
        <v>13</v>
      </c>
      <c r="B17" s="142" t="s">
        <v>133</v>
      </c>
      <c r="C17" s="507"/>
      <c r="D17" s="14"/>
      <c r="E17" s="65"/>
      <c r="F17" s="14"/>
      <c r="G17" s="65"/>
      <c r="H17" s="14"/>
      <c r="I17" s="65"/>
      <c r="J17" s="14"/>
      <c r="K17" s="65"/>
      <c r="L17" s="14"/>
      <c r="M17" s="65"/>
      <c r="N17" s="14" t="s">
        <v>41</v>
      </c>
      <c r="O17" s="65"/>
      <c r="P17" s="14"/>
      <c r="Q17" s="65"/>
      <c r="R17" s="15"/>
      <c r="S17" s="65"/>
      <c r="T17" s="15"/>
      <c r="U17" s="65"/>
      <c r="V17" s="15"/>
      <c r="W17" s="65"/>
      <c r="X17" s="15"/>
      <c r="Y17" s="65"/>
      <c r="Z17" s="14"/>
      <c r="AA17" s="65"/>
      <c r="AB17" s="14"/>
      <c r="AC17" s="65"/>
      <c r="AD17" s="15"/>
      <c r="AE17" s="65"/>
      <c r="AF17" s="14"/>
      <c r="AG17" s="65"/>
      <c r="AH17" s="14"/>
      <c r="AI17" s="65"/>
      <c r="AJ17" s="14"/>
      <c r="AK17" s="65"/>
      <c r="AL17" s="14"/>
      <c r="AM17" s="65"/>
      <c r="AN17" s="14"/>
      <c r="AO17" s="65"/>
      <c r="AP17" s="509"/>
      <c r="AQ17" s="510"/>
      <c r="AR17" s="33"/>
      <c r="AS17" s="34"/>
      <c r="AT17" s="142">
        <v>13</v>
      </c>
      <c r="AU17" s="142" t="s">
        <v>133</v>
      </c>
      <c r="AV17" s="507"/>
      <c r="AW17" s="14"/>
      <c r="AX17" s="70"/>
      <c r="AY17" s="72"/>
      <c r="AZ17" s="70"/>
      <c r="BA17" s="72"/>
      <c r="BB17" s="72"/>
      <c r="BC17" s="58"/>
      <c r="BD17" s="70"/>
      <c r="BE17" s="14"/>
      <c r="BF17" s="70"/>
      <c r="BG17" s="72"/>
      <c r="BH17" s="70"/>
      <c r="BI17" s="72"/>
      <c r="BJ17" s="72"/>
      <c r="BK17" s="58"/>
      <c r="BL17" s="70"/>
      <c r="BM17" s="37"/>
      <c r="BN17" s="74" t="s">
        <v>34</v>
      </c>
      <c r="BO17" s="72"/>
      <c r="BP17" s="74" t="s">
        <v>34</v>
      </c>
      <c r="BQ17" s="72"/>
      <c r="BR17" s="74" t="s">
        <v>34</v>
      </c>
      <c r="BS17" s="58"/>
      <c r="BT17" s="74" t="s">
        <v>34</v>
      </c>
      <c r="BU17" s="96"/>
      <c r="BV17" s="67"/>
      <c r="BW17" s="69"/>
      <c r="BX17" s="67" t="s">
        <v>33</v>
      </c>
      <c r="BY17" s="69"/>
      <c r="BZ17" s="72" t="s">
        <v>33</v>
      </c>
      <c r="CA17" s="87"/>
      <c r="CB17" s="67" t="s">
        <v>33</v>
      </c>
      <c r="CC17" s="142">
        <v>13</v>
      </c>
      <c r="CD17" s="142" t="s">
        <v>133</v>
      </c>
      <c r="CE17" s="507"/>
      <c r="CF17" s="311">
        <f t="shared" si="0"/>
        <v>3</v>
      </c>
      <c r="CG17" s="76">
        <f t="shared" si="1"/>
        <v>4</v>
      </c>
      <c r="CH17" s="27"/>
      <c r="CI17" s="28"/>
      <c r="CJ17" s="449"/>
      <c r="CK17" s="450"/>
    </row>
    <row r="18" spans="1:89" ht="15" customHeight="1">
      <c r="A18" s="142">
        <v>14</v>
      </c>
      <c r="B18" s="142" t="s">
        <v>127</v>
      </c>
      <c r="C18" s="507"/>
      <c r="D18" s="14"/>
      <c r="E18" s="65"/>
      <c r="F18" s="14"/>
      <c r="G18" s="65"/>
      <c r="H18" s="14"/>
      <c r="I18" s="65"/>
      <c r="J18" s="14"/>
      <c r="K18" s="65"/>
      <c r="L18" s="14"/>
      <c r="M18" s="65"/>
      <c r="N18" s="14" t="s">
        <v>41</v>
      </c>
      <c r="O18" s="58"/>
      <c r="P18" s="14"/>
      <c r="Q18" s="65"/>
      <c r="R18" s="15"/>
      <c r="S18" s="65"/>
      <c r="T18" s="15"/>
      <c r="U18" s="65"/>
      <c r="V18" s="15"/>
      <c r="W18" s="65"/>
      <c r="X18" s="15"/>
      <c r="Y18" s="65"/>
      <c r="Z18" s="14"/>
      <c r="AA18" s="65"/>
      <c r="AB18" s="14"/>
      <c r="AC18" s="65"/>
      <c r="AD18" s="15"/>
      <c r="AE18" s="65"/>
      <c r="AF18" s="14"/>
      <c r="AG18" s="65"/>
      <c r="AH18" s="14"/>
      <c r="AI18" s="65"/>
      <c r="AJ18" s="14" t="s">
        <v>42</v>
      </c>
      <c r="AK18" s="65"/>
      <c r="AL18" s="14"/>
      <c r="AM18" s="65"/>
      <c r="AN18" s="14"/>
      <c r="AO18" s="65"/>
      <c r="AP18" s="509"/>
      <c r="AQ18" s="510"/>
      <c r="AR18" s="33"/>
      <c r="AS18" s="34"/>
      <c r="AT18" s="142">
        <v>14</v>
      </c>
      <c r="AU18" s="142" t="s">
        <v>127</v>
      </c>
      <c r="AV18" s="507"/>
      <c r="AW18" s="14"/>
      <c r="AX18" s="67" t="s">
        <v>33</v>
      </c>
      <c r="AY18" s="69"/>
      <c r="AZ18" s="67" t="s">
        <v>33</v>
      </c>
      <c r="BA18" s="69"/>
      <c r="BB18" s="72" t="s">
        <v>33</v>
      </c>
      <c r="BC18" s="87"/>
      <c r="BD18" s="67" t="s">
        <v>33</v>
      </c>
      <c r="BE18" s="14"/>
      <c r="BF18" s="70"/>
      <c r="BG18" s="72"/>
      <c r="BH18" s="70"/>
      <c r="BI18" s="72"/>
      <c r="BJ18" s="72"/>
      <c r="BK18" s="58"/>
      <c r="BL18" s="70"/>
      <c r="BM18" s="37"/>
      <c r="BN18" s="70"/>
      <c r="BO18" s="72"/>
      <c r="BP18" s="70"/>
      <c r="BQ18" s="72"/>
      <c r="BR18" s="72"/>
      <c r="BS18" s="15"/>
      <c r="BT18" s="70"/>
      <c r="BU18" s="96"/>
      <c r="BV18" s="74"/>
      <c r="BW18" s="72"/>
      <c r="BX18" s="74" t="s">
        <v>34</v>
      </c>
      <c r="BY18" s="72"/>
      <c r="BZ18" s="74" t="s">
        <v>34</v>
      </c>
      <c r="CA18" s="58"/>
      <c r="CB18" s="74" t="s">
        <v>34</v>
      </c>
      <c r="CC18" s="142">
        <v>14</v>
      </c>
      <c r="CD18" s="142" t="s">
        <v>127</v>
      </c>
      <c r="CE18" s="507"/>
      <c r="CF18" s="311">
        <f t="shared" si="0"/>
        <v>4</v>
      </c>
      <c r="CG18" s="76">
        <f t="shared" si="1"/>
        <v>3</v>
      </c>
      <c r="CH18" s="27"/>
      <c r="CI18" s="28"/>
      <c r="CJ18" s="449"/>
      <c r="CK18" s="450"/>
    </row>
    <row r="19" spans="1:89" ht="15" customHeight="1">
      <c r="A19" s="142">
        <v>15</v>
      </c>
      <c r="B19" s="142" t="s">
        <v>128</v>
      </c>
      <c r="C19" s="507"/>
      <c r="D19" s="14"/>
      <c r="E19" s="65"/>
      <c r="F19" s="14"/>
      <c r="G19" s="65"/>
      <c r="H19" s="14"/>
      <c r="I19" s="65"/>
      <c r="J19" s="14"/>
      <c r="K19" s="65"/>
      <c r="L19" s="14"/>
      <c r="M19" s="65"/>
      <c r="N19" s="14" t="s">
        <v>41</v>
      </c>
      <c r="O19" s="58"/>
      <c r="P19" s="14"/>
      <c r="Q19" s="65"/>
      <c r="R19" s="15"/>
      <c r="S19" s="65"/>
      <c r="T19" s="15"/>
      <c r="U19" s="65"/>
      <c r="V19" s="15"/>
      <c r="W19" s="65"/>
      <c r="X19" s="15"/>
      <c r="Y19" s="65"/>
      <c r="Z19" s="14"/>
      <c r="AA19" s="65"/>
      <c r="AB19" s="14"/>
      <c r="AC19" s="65"/>
      <c r="AD19" s="15"/>
      <c r="AE19" s="65"/>
      <c r="AF19" s="14"/>
      <c r="AG19" s="65"/>
      <c r="AH19" s="14"/>
      <c r="AI19" s="65"/>
      <c r="AJ19" s="14"/>
      <c r="AK19" s="65"/>
      <c r="AL19" s="14"/>
      <c r="AM19" s="65"/>
      <c r="AN19" s="14"/>
      <c r="AO19" s="65"/>
      <c r="AP19" s="509"/>
      <c r="AQ19" s="510"/>
      <c r="AR19" s="33"/>
      <c r="AS19" s="34"/>
      <c r="AT19" s="142">
        <v>15</v>
      </c>
      <c r="AU19" s="142" t="s">
        <v>128</v>
      </c>
      <c r="AV19" s="507"/>
      <c r="AW19" s="14"/>
      <c r="AX19" s="74" t="s">
        <v>34</v>
      </c>
      <c r="AY19" s="72"/>
      <c r="AZ19" s="74" t="s">
        <v>34</v>
      </c>
      <c r="BA19" s="72"/>
      <c r="BB19" s="74" t="s">
        <v>34</v>
      </c>
      <c r="BC19" s="58"/>
      <c r="BD19" s="74" t="s">
        <v>34</v>
      </c>
      <c r="BE19" s="14"/>
      <c r="BF19" s="67" t="s">
        <v>33</v>
      </c>
      <c r="BG19" s="69"/>
      <c r="BH19" s="67" t="s">
        <v>33</v>
      </c>
      <c r="BI19" s="69"/>
      <c r="BJ19" s="72" t="s">
        <v>33</v>
      </c>
      <c r="BK19" s="87"/>
      <c r="BL19" s="67" t="s">
        <v>33</v>
      </c>
      <c r="BM19" s="37"/>
      <c r="BN19" s="70"/>
      <c r="BO19" s="72"/>
      <c r="BP19" s="70"/>
      <c r="BQ19" s="72"/>
      <c r="BR19" s="72"/>
      <c r="BS19" s="15"/>
      <c r="BT19" s="70"/>
      <c r="BU19" s="96"/>
      <c r="BV19" s="67"/>
      <c r="BW19" s="69"/>
      <c r="BX19" s="67"/>
      <c r="BY19" s="69"/>
      <c r="BZ19" s="72"/>
      <c r="CA19" s="97"/>
      <c r="CB19" s="67"/>
      <c r="CC19" s="142">
        <v>15</v>
      </c>
      <c r="CD19" s="142" t="s">
        <v>128</v>
      </c>
      <c r="CE19" s="507"/>
      <c r="CF19" s="311">
        <f t="shared" si="0"/>
        <v>4</v>
      </c>
      <c r="CG19" s="76">
        <f t="shared" si="1"/>
        <v>4</v>
      </c>
      <c r="CH19" s="27"/>
      <c r="CI19" s="28"/>
      <c r="CJ19" s="449"/>
      <c r="CK19" s="450"/>
    </row>
    <row r="20" spans="1:89" ht="15" customHeight="1">
      <c r="A20" s="142">
        <v>16</v>
      </c>
      <c r="B20" s="142" t="s">
        <v>129</v>
      </c>
      <c r="C20" s="507"/>
      <c r="D20" s="14"/>
      <c r="E20" s="65"/>
      <c r="F20" s="14"/>
      <c r="G20" s="65"/>
      <c r="H20" s="14"/>
      <c r="I20" s="65"/>
      <c r="J20" s="14"/>
      <c r="K20" s="65"/>
      <c r="L20" s="14"/>
      <c r="M20" s="65"/>
      <c r="N20" s="14" t="s">
        <v>41</v>
      </c>
      <c r="O20" s="58"/>
      <c r="P20" s="14"/>
      <c r="Q20" s="65"/>
      <c r="R20" s="15"/>
      <c r="S20" s="65"/>
      <c r="T20" s="15"/>
      <c r="U20" s="65"/>
      <c r="V20" s="15"/>
      <c r="W20" s="65"/>
      <c r="X20" s="15"/>
      <c r="Y20" s="65"/>
      <c r="Z20" s="14"/>
      <c r="AA20" s="65"/>
      <c r="AB20" s="14"/>
      <c r="AC20" s="65"/>
      <c r="AD20" s="15"/>
      <c r="AE20" s="65"/>
      <c r="AF20" s="14"/>
      <c r="AG20" s="65"/>
      <c r="AH20" s="14"/>
      <c r="AI20" s="65"/>
      <c r="AJ20" s="14"/>
      <c r="AK20" s="65"/>
      <c r="AL20" s="14"/>
      <c r="AM20" s="65"/>
      <c r="AN20" s="14"/>
      <c r="AO20" s="65"/>
      <c r="AP20" s="509"/>
      <c r="AQ20" s="510"/>
      <c r="AR20" s="33"/>
      <c r="AS20" s="34"/>
      <c r="AT20" s="142">
        <v>16</v>
      </c>
      <c r="AU20" s="142" t="s">
        <v>129</v>
      </c>
      <c r="AV20" s="507"/>
      <c r="AW20" s="14"/>
      <c r="AX20" s="67"/>
      <c r="AY20" s="69"/>
      <c r="AZ20" s="67"/>
      <c r="BA20" s="69"/>
      <c r="BB20" s="72"/>
      <c r="BC20" s="97"/>
      <c r="BD20" s="67"/>
      <c r="BE20" s="14"/>
      <c r="BF20" s="74" t="s">
        <v>34</v>
      </c>
      <c r="BG20" s="72"/>
      <c r="BH20" s="74" t="s">
        <v>34</v>
      </c>
      <c r="BI20" s="72"/>
      <c r="BJ20" s="74" t="s">
        <v>34</v>
      </c>
      <c r="BK20" s="58"/>
      <c r="BL20" s="74" t="s">
        <v>34</v>
      </c>
      <c r="BM20" s="37"/>
      <c r="BN20" s="67" t="s">
        <v>33</v>
      </c>
      <c r="BO20" s="69"/>
      <c r="BP20" s="67" t="s">
        <v>33</v>
      </c>
      <c r="BQ20" s="69"/>
      <c r="BR20" s="72" t="s">
        <v>33</v>
      </c>
      <c r="BS20" s="87"/>
      <c r="BT20" s="67" t="s">
        <v>33</v>
      </c>
      <c r="BU20" s="96"/>
      <c r="BV20" s="67"/>
      <c r="BW20" s="69"/>
      <c r="BX20" s="67"/>
      <c r="BY20" s="69"/>
      <c r="BZ20" s="72"/>
      <c r="CA20" s="97"/>
      <c r="CB20" s="67"/>
      <c r="CC20" s="142">
        <v>16</v>
      </c>
      <c r="CD20" s="142" t="s">
        <v>129</v>
      </c>
      <c r="CE20" s="507"/>
      <c r="CF20" s="311">
        <f t="shared" si="0"/>
        <v>4</v>
      </c>
      <c r="CG20" s="76">
        <f t="shared" si="1"/>
        <v>4</v>
      </c>
      <c r="CH20" s="27"/>
      <c r="CI20" s="28"/>
      <c r="CJ20" s="449"/>
      <c r="CK20" s="450"/>
    </row>
    <row r="21" spans="1:89" ht="15" customHeight="1">
      <c r="A21" s="22">
        <v>17</v>
      </c>
      <c r="B21" s="22" t="s">
        <v>130</v>
      </c>
      <c r="C21" s="507"/>
      <c r="D21" s="16"/>
      <c r="E21" s="17"/>
      <c r="F21" s="16"/>
      <c r="G21" s="17"/>
      <c r="H21" s="16"/>
      <c r="I21" s="17"/>
      <c r="J21" s="16"/>
      <c r="K21" s="17"/>
      <c r="L21" s="16"/>
      <c r="M21" s="17"/>
      <c r="N21" s="14" t="s">
        <v>41</v>
      </c>
      <c r="O21" s="59"/>
      <c r="P21" s="16"/>
      <c r="Q21" s="17"/>
      <c r="R21" s="18"/>
      <c r="S21" s="17"/>
      <c r="T21" s="16"/>
      <c r="U21" s="17"/>
      <c r="V21" s="18"/>
      <c r="W21" s="17"/>
      <c r="X21" s="16"/>
      <c r="Y21" s="17"/>
      <c r="Z21" s="16"/>
      <c r="AA21" s="17"/>
      <c r="AB21" s="16"/>
      <c r="AC21" s="17"/>
      <c r="AD21" s="18"/>
      <c r="AE21" s="17"/>
      <c r="AF21" s="16"/>
      <c r="AG21" s="17"/>
      <c r="AH21" s="16"/>
      <c r="AI21" s="17"/>
      <c r="AJ21" s="16"/>
      <c r="AK21" s="17"/>
      <c r="AL21" s="16"/>
      <c r="AM21" s="17"/>
      <c r="AN21" s="16"/>
      <c r="AO21" s="17"/>
      <c r="AP21" s="529"/>
      <c r="AQ21" s="530"/>
      <c r="AR21" s="104"/>
      <c r="AS21" s="105"/>
      <c r="AT21" s="22">
        <v>17</v>
      </c>
      <c r="AU21" s="22" t="s">
        <v>130</v>
      </c>
      <c r="AV21" s="507"/>
      <c r="AW21" s="16"/>
      <c r="AX21" s="66"/>
      <c r="AY21" s="68"/>
      <c r="AZ21" s="66"/>
      <c r="BA21" s="68"/>
      <c r="BB21" s="73"/>
      <c r="BC21" s="83"/>
      <c r="BD21" s="66"/>
      <c r="BE21" s="16"/>
      <c r="BF21" s="66"/>
      <c r="BG21" s="68"/>
      <c r="BH21" s="66"/>
      <c r="BI21" s="68"/>
      <c r="BJ21" s="73"/>
      <c r="BK21" s="83"/>
      <c r="BL21" s="66"/>
      <c r="BM21" s="38"/>
      <c r="BN21" s="75" t="s">
        <v>34</v>
      </c>
      <c r="BO21" s="73"/>
      <c r="BP21" s="75" t="s">
        <v>34</v>
      </c>
      <c r="BQ21" s="73"/>
      <c r="BR21" s="75" t="s">
        <v>34</v>
      </c>
      <c r="BS21" s="59"/>
      <c r="BT21" s="70" t="s">
        <v>61</v>
      </c>
      <c r="BU21" s="108"/>
      <c r="BV21" s="66"/>
      <c r="BW21" s="68"/>
      <c r="BX21" s="66" t="s">
        <v>33</v>
      </c>
      <c r="BY21" s="68"/>
      <c r="BZ21" s="73" t="s">
        <v>33</v>
      </c>
      <c r="CA21" s="110"/>
      <c r="CB21" s="66" t="s">
        <v>33</v>
      </c>
      <c r="CC21" s="22">
        <v>17</v>
      </c>
      <c r="CD21" s="22" t="s">
        <v>130</v>
      </c>
      <c r="CE21" s="507"/>
      <c r="CF21" s="311">
        <f t="shared" si="0"/>
        <v>3</v>
      </c>
      <c r="CG21" s="76">
        <f t="shared" si="1"/>
        <v>3</v>
      </c>
      <c r="CH21" s="27"/>
      <c r="CI21" s="28"/>
      <c r="CJ21" s="449"/>
      <c r="CK21" s="450"/>
    </row>
    <row r="22" spans="1:89" ht="15" customHeight="1">
      <c r="A22" s="22">
        <v>18</v>
      </c>
      <c r="B22" s="22" t="s">
        <v>131</v>
      </c>
      <c r="C22" s="508"/>
      <c r="D22" s="16"/>
      <c r="E22" s="17"/>
      <c r="F22" s="16"/>
      <c r="G22" s="17"/>
      <c r="H22" s="16"/>
      <c r="I22" s="17"/>
      <c r="J22" s="16"/>
      <c r="K22" s="17"/>
      <c r="L22" s="16"/>
      <c r="M22" s="17"/>
      <c r="N22" s="14" t="s">
        <v>41</v>
      </c>
      <c r="O22" s="59"/>
      <c r="P22" s="16"/>
      <c r="Q22" s="17"/>
      <c r="R22" s="18"/>
      <c r="S22" s="17"/>
      <c r="T22" s="18"/>
      <c r="U22" s="17"/>
      <c r="V22" s="18"/>
      <c r="W22" s="17"/>
      <c r="X22" s="18"/>
      <c r="Y22" s="17"/>
      <c r="Z22" s="16"/>
      <c r="AA22" s="17"/>
      <c r="AB22" s="16"/>
      <c r="AC22" s="17"/>
      <c r="AD22" s="18"/>
      <c r="AE22" s="17"/>
      <c r="AF22" s="16"/>
      <c r="AG22" s="17"/>
      <c r="AH22" s="16"/>
      <c r="AI22" s="17"/>
      <c r="AJ22" s="16"/>
      <c r="AK22" s="17"/>
      <c r="AL22" s="16"/>
      <c r="AM22" s="17"/>
      <c r="AN22" s="16"/>
      <c r="AO22" s="17"/>
      <c r="AP22" s="529"/>
      <c r="AQ22" s="530"/>
      <c r="AR22" s="104"/>
      <c r="AS22" s="105"/>
      <c r="AT22" s="22">
        <v>18</v>
      </c>
      <c r="AU22" s="22" t="s">
        <v>131</v>
      </c>
      <c r="AV22" s="508"/>
      <c r="AW22" s="16"/>
      <c r="AX22" s="66" t="s">
        <v>33</v>
      </c>
      <c r="AY22" s="68"/>
      <c r="AZ22" s="66" t="s">
        <v>33</v>
      </c>
      <c r="BA22" s="68"/>
      <c r="BB22" s="73" t="s">
        <v>33</v>
      </c>
      <c r="BC22" s="110"/>
      <c r="BD22" s="66" t="s">
        <v>33</v>
      </c>
      <c r="BE22" s="16"/>
      <c r="BF22" s="66"/>
      <c r="BG22" s="68"/>
      <c r="BH22" s="66"/>
      <c r="BI22" s="68"/>
      <c r="BJ22" s="73"/>
      <c r="BK22" s="83"/>
      <c r="BL22" s="66"/>
      <c r="BM22" s="38"/>
      <c r="BN22" s="66"/>
      <c r="BO22" s="68"/>
      <c r="BP22" s="66"/>
      <c r="BQ22" s="68"/>
      <c r="BR22" s="73"/>
      <c r="BS22" s="83"/>
      <c r="BT22" s="66"/>
      <c r="BU22" s="108"/>
      <c r="BV22" s="75"/>
      <c r="BW22" s="73"/>
      <c r="BX22" s="75" t="s">
        <v>34</v>
      </c>
      <c r="BY22" s="73"/>
      <c r="BZ22" s="75" t="s">
        <v>34</v>
      </c>
      <c r="CA22" s="59"/>
      <c r="CB22" s="75" t="s">
        <v>34</v>
      </c>
      <c r="CC22" s="22">
        <v>18</v>
      </c>
      <c r="CD22" s="22" t="s">
        <v>131</v>
      </c>
      <c r="CE22" s="508"/>
      <c r="CF22" s="311">
        <f t="shared" si="0"/>
        <v>4</v>
      </c>
      <c r="CG22" s="76">
        <f t="shared" si="1"/>
        <v>3</v>
      </c>
      <c r="CH22" s="27"/>
      <c r="CI22" s="28"/>
      <c r="CJ22" s="449"/>
      <c r="CK22" s="450"/>
    </row>
    <row r="23" spans="1:89" ht="15" customHeight="1">
      <c r="A23" s="142">
        <v>19</v>
      </c>
      <c r="B23" s="142" t="s">
        <v>132</v>
      </c>
      <c r="C23" s="506">
        <v>30</v>
      </c>
      <c r="D23" s="14"/>
      <c r="E23" s="65"/>
      <c r="F23" s="14"/>
      <c r="G23" s="65"/>
      <c r="H23" s="14"/>
      <c r="I23" s="65"/>
      <c r="J23" s="14"/>
      <c r="K23" s="65"/>
      <c r="L23" s="14" t="s">
        <v>41</v>
      </c>
      <c r="M23" s="65"/>
      <c r="N23" s="14" t="s">
        <v>41</v>
      </c>
      <c r="O23" s="58"/>
      <c r="P23" s="14"/>
      <c r="Q23" s="65"/>
      <c r="R23" s="15"/>
      <c r="S23" s="65"/>
      <c r="T23" s="15"/>
      <c r="U23" s="65"/>
      <c r="V23" s="15"/>
      <c r="W23" s="65"/>
      <c r="X23" s="15"/>
      <c r="Y23" s="65"/>
      <c r="Z23" s="14"/>
      <c r="AA23" s="65"/>
      <c r="AB23" s="14"/>
      <c r="AC23" s="65"/>
      <c r="AD23" s="15"/>
      <c r="AE23" s="65"/>
      <c r="AF23" s="14"/>
      <c r="AG23" s="65"/>
      <c r="AH23" s="14"/>
      <c r="AI23" s="65"/>
      <c r="AJ23" s="14"/>
      <c r="AK23" s="65"/>
      <c r="AL23" s="14"/>
      <c r="AM23" s="65"/>
      <c r="AN23" s="14"/>
      <c r="AO23" s="65"/>
      <c r="AP23" s="523"/>
      <c r="AQ23" s="524"/>
      <c r="AR23" s="33"/>
      <c r="AS23" s="34"/>
      <c r="AT23" s="142">
        <v>19</v>
      </c>
      <c r="AU23" s="142" t="s">
        <v>132</v>
      </c>
      <c r="AV23" s="506">
        <v>30</v>
      </c>
      <c r="AW23" s="14"/>
      <c r="AX23" s="74" t="s">
        <v>34</v>
      </c>
      <c r="AY23" s="72"/>
      <c r="AZ23" s="74" t="s">
        <v>34</v>
      </c>
      <c r="BA23" s="72"/>
      <c r="BB23" s="74" t="s">
        <v>34</v>
      </c>
      <c r="BC23" s="58"/>
      <c r="BD23" s="74" t="s">
        <v>34</v>
      </c>
      <c r="BE23" s="14"/>
      <c r="BF23" s="67" t="s">
        <v>33</v>
      </c>
      <c r="BG23" s="69"/>
      <c r="BH23" s="67" t="s">
        <v>33</v>
      </c>
      <c r="BI23" s="69"/>
      <c r="BJ23" s="72" t="s">
        <v>33</v>
      </c>
      <c r="BK23" s="87"/>
      <c r="BL23" s="67" t="s">
        <v>33</v>
      </c>
      <c r="BM23" s="37"/>
      <c r="BN23" s="67"/>
      <c r="BO23" s="69"/>
      <c r="BP23" s="67"/>
      <c r="BQ23" s="69"/>
      <c r="BR23" s="72"/>
      <c r="BS23" s="97"/>
      <c r="BT23" s="67"/>
      <c r="BU23" s="96"/>
      <c r="BV23" s="67"/>
      <c r="BW23" s="69"/>
      <c r="BX23" s="67"/>
      <c r="BY23" s="69"/>
      <c r="BZ23" s="72"/>
      <c r="CA23" s="97"/>
      <c r="CB23" s="67"/>
      <c r="CC23" s="142">
        <v>19</v>
      </c>
      <c r="CD23" s="142" t="s">
        <v>132</v>
      </c>
      <c r="CE23" s="506">
        <v>29</v>
      </c>
      <c r="CF23" s="311">
        <f t="shared" si="0"/>
        <v>4</v>
      </c>
      <c r="CG23" s="76">
        <f t="shared" si="1"/>
        <v>4</v>
      </c>
      <c r="CH23" s="27"/>
      <c r="CI23" s="28"/>
      <c r="CJ23" s="545"/>
      <c r="CK23" s="546"/>
    </row>
    <row r="24" spans="1:89" ht="15" customHeight="1">
      <c r="A24" s="142">
        <v>20</v>
      </c>
      <c r="B24" s="142" t="s">
        <v>133</v>
      </c>
      <c r="C24" s="507"/>
      <c r="D24" s="14"/>
      <c r="E24" s="65"/>
      <c r="F24" s="14"/>
      <c r="G24" s="65"/>
      <c r="H24" s="14"/>
      <c r="I24" s="65"/>
      <c r="J24" s="14"/>
      <c r="K24" s="65"/>
      <c r="L24" s="14" t="s">
        <v>41</v>
      </c>
      <c r="M24" s="65"/>
      <c r="N24" s="14" t="s">
        <v>41</v>
      </c>
      <c r="O24" s="58"/>
      <c r="P24" s="14"/>
      <c r="Q24" s="65"/>
      <c r="R24" s="15"/>
      <c r="S24" s="65"/>
      <c r="T24" s="15"/>
      <c r="U24" s="65"/>
      <c r="V24" s="15"/>
      <c r="W24" s="65"/>
      <c r="X24" s="15"/>
      <c r="Y24" s="65"/>
      <c r="Z24" s="14"/>
      <c r="AA24" s="65"/>
      <c r="AB24" s="14"/>
      <c r="AC24" s="65"/>
      <c r="AD24" s="15"/>
      <c r="AE24" s="65"/>
      <c r="AF24" s="14"/>
      <c r="AG24" s="65"/>
      <c r="AH24" s="14"/>
      <c r="AI24" s="65"/>
      <c r="AJ24" s="14"/>
      <c r="AK24" s="65"/>
      <c r="AL24" s="14"/>
      <c r="AM24" s="65"/>
      <c r="AN24" s="14"/>
      <c r="AO24" s="65"/>
      <c r="AP24" s="523"/>
      <c r="AQ24" s="524"/>
      <c r="AR24" s="33"/>
      <c r="AS24" s="34"/>
      <c r="AT24" s="142">
        <v>20</v>
      </c>
      <c r="AU24" s="142" t="s">
        <v>133</v>
      </c>
      <c r="AV24" s="507"/>
      <c r="AW24" s="14"/>
      <c r="AX24" s="67"/>
      <c r="AY24" s="69"/>
      <c r="AZ24" s="67"/>
      <c r="BA24" s="69"/>
      <c r="BB24" s="72"/>
      <c r="BC24" s="97"/>
      <c r="BD24" s="67"/>
      <c r="BE24" s="14"/>
      <c r="BF24" s="74" t="s">
        <v>34</v>
      </c>
      <c r="BG24" s="72"/>
      <c r="BH24" s="74" t="s">
        <v>34</v>
      </c>
      <c r="BI24" s="72"/>
      <c r="BJ24" s="74" t="s">
        <v>34</v>
      </c>
      <c r="BK24" s="58"/>
      <c r="BL24" s="74" t="s">
        <v>34</v>
      </c>
      <c r="BM24" s="37"/>
      <c r="BN24" s="67" t="s">
        <v>33</v>
      </c>
      <c r="BO24" s="69"/>
      <c r="BP24" s="67" t="s">
        <v>33</v>
      </c>
      <c r="BQ24" s="69"/>
      <c r="BR24" s="72" t="s">
        <v>33</v>
      </c>
      <c r="BS24" s="87"/>
      <c r="BT24" s="67" t="s">
        <v>33</v>
      </c>
      <c r="BU24" s="96"/>
      <c r="BV24" s="67"/>
      <c r="BW24" s="69"/>
      <c r="BX24" s="67"/>
      <c r="BY24" s="69"/>
      <c r="BZ24" s="72"/>
      <c r="CA24" s="97"/>
      <c r="CB24" s="67"/>
      <c r="CC24" s="142">
        <v>20</v>
      </c>
      <c r="CD24" s="142" t="s">
        <v>133</v>
      </c>
      <c r="CE24" s="507"/>
      <c r="CF24" s="311">
        <f t="shared" si="0"/>
        <v>4</v>
      </c>
      <c r="CG24" s="76">
        <f t="shared" si="1"/>
        <v>4</v>
      </c>
      <c r="CH24" s="27"/>
      <c r="CI24" s="28"/>
      <c r="CJ24" s="449"/>
      <c r="CK24" s="450"/>
    </row>
    <row r="25" spans="1:89" ht="15" customHeight="1">
      <c r="A25" s="142">
        <v>21</v>
      </c>
      <c r="B25" s="142" t="s">
        <v>127</v>
      </c>
      <c r="C25" s="507"/>
      <c r="D25" s="14"/>
      <c r="E25" s="65"/>
      <c r="F25" s="14"/>
      <c r="G25" s="65"/>
      <c r="H25" s="14"/>
      <c r="I25" s="65"/>
      <c r="J25" s="14"/>
      <c r="K25" s="65"/>
      <c r="L25" s="14" t="s">
        <v>41</v>
      </c>
      <c r="M25" s="65"/>
      <c r="N25" s="14" t="s">
        <v>41</v>
      </c>
      <c r="O25" s="58"/>
      <c r="P25" s="14"/>
      <c r="Q25" s="65"/>
      <c r="R25" s="15"/>
      <c r="S25" s="65"/>
      <c r="T25" s="15"/>
      <c r="U25" s="65"/>
      <c r="V25" s="15"/>
      <c r="W25" s="65"/>
      <c r="X25" s="15"/>
      <c r="Y25" s="65"/>
      <c r="Z25" s="14"/>
      <c r="AA25" s="65"/>
      <c r="AB25" s="14"/>
      <c r="AC25" s="65"/>
      <c r="AD25" s="15"/>
      <c r="AE25" s="65"/>
      <c r="AF25" s="14"/>
      <c r="AG25" s="65"/>
      <c r="AH25" s="14"/>
      <c r="AI25" s="65"/>
      <c r="AJ25" s="14" t="s">
        <v>42</v>
      </c>
      <c r="AK25" s="65"/>
      <c r="AL25" s="14"/>
      <c r="AM25" s="65"/>
      <c r="AN25" s="14"/>
      <c r="AO25" s="65"/>
      <c r="AP25" s="523"/>
      <c r="AQ25" s="524"/>
      <c r="AR25" s="33"/>
      <c r="AS25" s="34"/>
      <c r="AT25" s="142">
        <v>21</v>
      </c>
      <c r="AU25" s="142" t="s">
        <v>127</v>
      </c>
      <c r="AV25" s="507"/>
      <c r="AW25" s="14"/>
      <c r="AX25" s="67"/>
      <c r="AY25" s="69"/>
      <c r="AZ25" s="67"/>
      <c r="BA25" s="69"/>
      <c r="BB25" s="72"/>
      <c r="BC25" s="97"/>
      <c r="BD25" s="67"/>
      <c r="BE25" s="14"/>
      <c r="BF25" s="67"/>
      <c r="BG25" s="69"/>
      <c r="BH25" s="67"/>
      <c r="BI25" s="69"/>
      <c r="BJ25" s="72"/>
      <c r="BK25" s="97"/>
      <c r="BL25" s="67"/>
      <c r="BM25" s="37"/>
      <c r="BN25" s="74" t="s">
        <v>34</v>
      </c>
      <c r="BO25" s="72"/>
      <c r="BP25" s="74" t="s">
        <v>34</v>
      </c>
      <c r="BQ25" s="72"/>
      <c r="BR25" s="74" t="s">
        <v>34</v>
      </c>
      <c r="BS25" s="58"/>
      <c r="BT25" s="74" t="s">
        <v>34</v>
      </c>
      <c r="BU25" s="96"/>
      <c r="BV25" s="67"/>
      <c r="BW25" s="69"/>
      <c r="BX25" s="67" t="s">
        <v>33</v>
      </c>
      <c r="BY25" s="69"/>
      <c r="BZ25" s="72" t="s">
        <v>33</v>
      </c>
      <c r="CA25" s="87"/>
      <c r="CB25" s="67" t="s">
        <v>33</v>
      </c>
      <c r="CC25" s="142">
        <v>21</v>
      </c>
      <c r="CD25" s="142" t="s">
        <v>127</v>
      </c>
      <c r="CE25" s="507"/>
      <c r="CF25" s="311">
        <f t="shared" si="0"/>
        <v>3</v>
      </c>
      <c r="CG25" s="76">
        <f t="shared" si="1"/>
        <v>4</v>
      </c>
      <c r="CH25" s="27"/>
      <c r="CI25" s="28"/>
      <c r="CJ25" s="449"/>
      <c r="CK25" s="450"/>
    </row>
    <row r="26" spans="1:89" ht="15" customHeight="1">
      <c r="A26" s="142">
        <v>22</v>
      </c>
      <c r="B26" s="142" t="s">
        <v>128</v>
      </c>
      <c r="C26" s="507"/>
      <c r="D26" s="14"/>
      <c r="E26" s="65"/>
      <c r="F26" s="14"/>
      <c r="G26" s="65"/>
      <c r="H26" s="112"/>
      <c r="I26" s="65"/>
      <c r="J26" s="14"/>
      <c r="K26" s="65"/>
      <c r="L26" s="219" t="s">
        <v>41</v>
      </c>
      <c r="M26" s="65"/>
      <c r="N26" s="14" t="s">
        <v>41</v>
      </c>
      <c r="O26" s="58"/>
      <c r="P26" s="14"/>
      <c r="Q26" s="65"/>
      <c r="R26" s="112"/>
      <c r="S26" s="65"/>
      <c r="T26" s="15"/>
      <c r="U26" s="65"/>
      <c r="V26" s="112"/>
      <c r="W26" s="65"/>
      <c r="X26" s="15"/>
      <c r="Y26" s="65"/>
      <c r="Z26" s="14"/>
      <c r="AA26" s="65"/>
      <c r="AB26" s="14"/>
      <c r="AC26" s="65"/>
      <c r="AD26" s="15"/>
      <c r="AE26" s="65"/>
      <c r="AF26" s="14"/>
      <c r="AG26" s="65"/>
      <c r="AH26" s="14"/>
      <c r="AI26" s="65"/>
      <c r="AJ26" s="14"/>
      <c r="AK26" s="65"/>
      <c r="AL26" s="14"/>
      <c r="AM26" s="65"/>
      <c r="AN26" s="14"/>
      <c r="AO26" s="65"/>
      <c r="AP26" s="523" t="s">
        <v>259</v>
      </c>
      <c r="AQ26" s="524"/>
      <c r="AR26" s="33"/>
      <c r="AS26" s="34"/>
      <c r="AT26" s="142">
        <v>22</v>
      </c>
      <c r="AU26" s="142" t="s">
        <v>128</v>
      </c>
      <c r="AV26" s="507"/>
      <c r="AW26" s="14"/>
      <c r="AX26" s="67" t="s">
        <v>33</v>
      </c>
      <c r="AY26" s="69"/>
      <c r="AZ26" s="67" t="s">
        <v>33</v>
      </c>
      <c r="BA26" s="69"/>
      <c r="BB26" s="72" t="s">
        <v>33</v>
      </c>
      <c r="BC26" s="87"/>
      <c r="BD26" s="67" t="s">
        <v>33</v>
      </c>
      <c r="BE26" s="14"/>
      <c r="BF26" s="67"/>
      <c r="BG26" s="69"/>
      <c r="BH26" s="67"/>
      <c r="BI26" s="69"/>
      <c r="BJ26" s="72"/>
      <c r="BK26" s="97"/>
      <c r="BL26" s="67"/>
      <c r="BM26" s="37"/>
      <c r="BN26" s="67"/>
      <c r="BO26" s="69"/>
      <c r="BP26" s="67"/>
      <c r="BQ26" s="69"/>
      <c r="BR26" s="72"/>
      <c r="BS26" s="97"/>
      <c r="BT26" s="67"/>
      <c r="BU26" s="96"/>
      <c r="BV26" s="74"/>
      <c r="BW26" s="72"/>
      <c r="BX26" s="74" t="s">
        <v>34</v>
      </c>
      <c r="BY26" s="72"/>
      <c r="BZ26" s="74" t="s">
        <v>34</v>
      </c>
      <c r="CA26" s="58"/>
      <c r="CB26" s="74" t="s">
        <v>34</v>
      </c>
      <c r="CC26" s="142">
        <v>22</v>
      </c>
      <c r="CD26" s="142" t="s">
        <v>128</v>
      </c>
      <c r="CE26" s="507"/>
      <c r="CF26" s="311">
        <f t="shared" si="0"/>
        <v>4</v>
      </c>
      <c r="CG26" s="76">
        <f t="shared" si="1"/>
        <v>3</v>
      </c>
      <c r="CH26" s="27"/>
      <c r="CI26" s="28"/>
      <c r="CJ26" s="449"/>
      <c r="CK26" s="450"/>
    </row>
    <row r="27" spans="1:89" ht="15" customHeight="1">
      <c r="A27" s="142">
        <v>23</v>
      </c>
      <c r="B27" s="142" t="s">
        <v>129</v>
      </c>
      <c r="C27" s="507"/>
      <c r="D27" s="14"/>
      <c r="E27" s="65"/>
      <c r="F27" s="14"/>
      <c r="G27" s="65"/>
      <c r="H27" s="14"/>
      <c r="I27" s="65"/>
      <c r="J27" s="14"/>
      <c r="K27" s="65"/>
      <c r="L27" s="14" t="s">
        <v>41</v>
      </c>
      <c r="M27" s="65"/>
      <c r="N27" s="14" t="s">
        <v>41</v>
      </c>
      <c r="O27" s="58"/>
      <c r="P27" s="14"/>
      <c r="Q27" s="65"/>
      <c r="R27" s="15"/>
      <c r="S27" s="65"/>
      <c r="T27" s="15"/>
      <c r="U27" s="65"/>
      <c r="V27" s="15"/>
      <c r="W27" s="65"/>
      <c r="X27" s="15" t="s">
        <v>41</v>
      </c>
      <c r="Y27" s="65"/>
      <c r="Z27" s="14"/>
      <c r="AA27" s="65"/>
      <c r="AB27" s="14"/>
      <c r="AC27" s="65"/>
      <c r="AD27" s="15"/>
      <c r="AE27" s="65"/>
      <c r="AF27" s="14"/>
      <c r="AG27" s="65"/>
      <c r="AH27" s="14"/>
      <c r="AI27" s="65"/>
      <c r="AJ27" s="14"/>
      <c r="AK27" s="65"/>
      <c r="AL27" s="14"/>
      <c r="AM27" s="65"/>
      <c r="AN27" s="14"/>
      <c r="AO27" s="65"/>
      <c r="AP27" s="523" t="s">
        <v>291</v>
      </c>
      <c r="AQ27" s="524"/>
      <c r="AR27" s="33"/>
      <c r="AS27" s="34"/>
      <c r="AT27" s="142">
        <v>23</v>
      </c>
      <c r="AU27" s="142" t="s">
        <v>129</v>
      </c>
      <c r="AV27" s="507"/>
      <c r="AW27" s="14"/>
      <c r="AX27" s="74" t="s">
        <v>34</v>
      </c>
      <c r="AY27" s="72"/>
      <c r="AZ27" s="74" t="s">
        <v>34</v>
      </c>
      <c r="BA27" s="72"/>
      <c r="BB27" s="74" t="s">
        <v>34</v>
      </c>
      <c r="BC27" s="58"/>
      <c r="BD27" s="74" t="s">
        <v>34</v>
      </c>
      <c r="BE27" s="14"/>
      <c r="BF27" s="67" t="s">
        <v>33</v>
      </c>
      <c r="BG27" s="69"/>
      <c r="BH27" s="67" t="s">
        <v>33</v>
      </c>
      <c r="BI27" s="69"/>
      <c r="BJ27" s="72" t="s">
        <v>33</v>
      </c>
      <c r="BK27" s="87"/>
      <c r="BL27" s="67" t="s">
        <v>33</v>
      </c>
      <c r="BM27" s="37"/>
      <c r="BN27" s="67"/>
      <c r="BO27" s="69"/>
      <c r="BP27" s="67"/>
      <c r="BQ27" s="69"/>
      <c r="BR27" s="72"/>
      <c r="BS27" s="97"/>
      <c r="BT27" s="67"/>
      <c r="BU27" s="96"/>
      <c r="BV27" s="67"/>
      <c r="BW27" s="69"/>
      <c r="BX27" s="67"/>
      <c r="BY27" s="69"/>
      <c r="BZ27" s="72"/>
      <c r="CA27" s="97"/>
      <c r="CB27" s="67"/>
      <c r="CC27" s="142">
        <v>23</v>
      </c>
      <c r="CD27" s="142" t="s">
        <v>129</v>
      </c>
      <c r="CE27" s="507"/>
      <c r="CF27" s="311">
        <f t="shared" si="0"/>
        <v>4</v>
      </c>
      <c r="CG27" s="76">
        <f t="shared" si="1"/>
        <v>4</v>
      </c>
      <c r="CH27" s="27"/>
      <c r="CI27" s="28"/>
      <c r="CJ27" s="449"/>
      <c r="CK27" s="450"/>
    </row>
    <row r="28" spans="1:89" ht="15" customHeight="1">
      <c r="A28" s="22">
        <v>24</v>
      </c>
      <c r="B28" s="22" t="s">
        <v>130</v>
      </c>
      <c r="C28" s="507"/>
      <c r="D28" s="16"/>
      <c r="E28" s="17"/>
      <c r="F28" s="16"/>
      <c r="G28" s="17"/>
      <c r="H28" s="16"/>
      <c r="I28" s="17"/>
      <c r="J28" s="16"/>
      <c r="K28" s="17"/>
      <c r="L28" s="14" t="s">
        <v>41</v>
      </c>
      <c r="M28" s="17"/>
      <c r="N28" s="14" t="s">
        <v>41</v>
      </c>
      <c r="O28" s="59"/>
      <c r="P28" s="16"/>
      <c r="Q28" s="17"/>
      <c r="R28" s="18"/>
      <c r="S28" s="17"/>
      <c r="T28" s="18"/>
      <c r="U28" s="17"/>
      <c r="V28" s="18"/>
      <c r="W28" s="17"/>
      <c r="X28" s="15" t="s">
        <v>41</v>
      </c>
      <c r="Y28" s="17"/>
      <c r="Z28" s="16"/>
      <c r="AA28" s="17"/>
      <c r="AB28" s="16"/>
      <c r="AC28" s="17"/>
      <c r="AD28" s="18"/>
      <c r="AE28" s="17"/>
      <c r="AF28" s="16"/>
      <c r="AG28" s="17"/>
      <c r="AH28" s="16"/>
      <c r="AI28" s="17"/>
      <c r="AJ28" s="16"/>
      <c r="AK28" s="17"/>
      <c r="AL28" s="16"/>
      <c r="AM28" s="17"/>
      <c r="AN28" s="16"/>
      <c r="AO28" s="17"/>
      <c r="AP28" s="511" t="s">
        <v>304</v>
      </c>
      <c r="AQ28" s="512"/>
      <c r="AR28" s="104"/>
      <c r="AS28" s="105"/>
      <c r="AT28" s="22">
        <v>24</v>
      </c>
      <c r="AU28" s="22" t="s">
        <v>130</v>
      </c>
      <c r="AV28" s="507"/>
      <c r="AW28" s="16"/>
      <c r="AX28" s="71"/>
      <c r="AY28" s="73"/>
      <c r="AZ28" s="71"/>
      <c r="BA28" s="73"/>
      <c r="BB28" s="73"/>
      <c r="BC28" s="59"/>
      <c r="BD28" s="71"/>
      <c r="BE28" s="16"/>
      <c r="BF28" s="74" t="s">
        <v>61</v>
      </c>
      <c r="BG28" s="73"/>
      <c r="BH28" s="75" t="s">
        <v>34</v>
      </c>
      <c r="BI28" s="73"/>
      <c r="BJ28" s="75" t="s">
        <v>34</v>
      </c>
      <c r="BK28" s="59"/>
      <c r="BL28" s="75" t="s">
        <v>34</v>
      </c>
      <c r="BM28" s="38"/>
      <c r="BN28" s="66" t="s">
        <v>33</v>
      </c>
      <c r="BO28" s="68"/>
      <c r="BP28" s="66" t="s">
        <v>33</v>
      </c>
      <c r="BQ28" s="68"/>
      <c r="BR28" s="73" t="s">
        <v>33</v>
      </c>
      <c r="BS28" s="110"/>
      <c r="BT28" s="71" t="s">
        <v>33</v>
      </c>
      <c r="BU28" s="108"/>
      <c r="BV28" s="66"/>
      <c r="BW28" s="68"/>
      <c r="BX28" s="66"/>
      <c r="BY28" s="68"/>
      <c r="BZ28" s="73"/>
      <c r="CA28" s="83"/>
      <c r="CB28" s="66"/>
      <c r="CC28" s="22">
        <v>24</v>
      </c>
      <c r="CD28" s="22" t="s">
        <v>130</v>
      </c>
      <c r="CE28" s="507"/>
      <c r="CF28" s="311">
        <f t="shared" si="0"/>
        <v>4</v>
      </c>
      <c r="CG28" s="76">
        <f t="shared" si="1"/>
        <v>3</v>
      </c>
      <c r="CH28" s="27"/>
      <c r="CI28" s="28"/>
      <c r="CJ28" s="449"/>
      <c r="CK28" s="450"/>
    </row>
    <row r="29" spans="1:89" ht="15" customHeight="1">
      <c r="A29" s="22">
        <v>25</v>
      </c>
      <c r="B29" s="22" t="s">
        <v>131</v>
      </c>
      <c r="C29" s="508"/>
      <c r="D29" s="16"/>
      <c r="E29" s="17"/>
      <c r="F29" s="16"/>
      <c r="G29" s="17"/>
      <c r="H29" s="16"/>
      <c r="I29" s="17"/>
      <c r="J29" s="16"/>
      <c r="K29" s="17"/>
      <c r="L29" s="14" t="s">
        <v>41</v>
      </c>
      <c r="M29" s="17"/>
      <c r="N29" s="14" t="s">
        <v>41</v>
      </c>
      <c r="O29" s="59"/>
      <c r="P29" s="16"/>
      <c r="Q29" s="17"/>
      <c r="R29" s="18"/>
      <c r="S29" s="17"/>
      <c r="T29" s="18"/>
      <c r="U29" s="17"/>
      <c r="V29" s="18"/>
      <c r="W29" s="17"/>
      <c r="X29" s="15" t="s">
        <v>41</v>
      </c>
      <c r="Y29" s="17"/>
      <c r="Z29" s="16"/>
      <c r="AA29" s="17"/>
      <c r="AB29" s="16"/>
      <c r="AC29" s="17"/>
      <c r="AD29" s="18"/>
      <c r="AE29" s="17"/>
      <c r="AF29" s="16"/>
      <c r="AG29" s="17"/>
      <c r="AH29" s="16"/>
      <c r="AI29" s="17"/>
      <c r="AJ29" s="16"/>
      <c r="AK29" s="17"/>
      <c r="AL29" s="16"/>
      <c r="AM29" s="17"/>
      <c r="AN29" s="16"/>
      <c r="AO29" s="17"/>
      <c r="AP29" s="529"/>
      <c r="AQ29" s="530"/>
      <c r="AR29" s="104"/>
      <c r="AS29" s="105"/>
      <c r="AT29" s="22">
        <v>25</v>
      </c>
      <c r="AU29" s="22" t="s">
        <v>131</v>
      </c>
      <c r="AV29" s="508"/>
      <c r="AW29" s="16"/>
      <c r="AX29" s="71"/>
      <c r="AY29" s="73"/>
      <c r="AZ29" s="71"/>
      <c r="BA29" s="73"/>
      <c r="BB29" s="73"/>
      <c r="BC29" s="59"/>
      <c r="BD29" s="71"/>
      <c r="BE29" s="16"/>
      <c r="BF29" s="71"/>
      <c r="BG29" s="73"/>
      <c r="BH29" s="71"/>
      <c r="BI29" s="73"/>
      <c r="BJ29" s="73"/>
      <c r="BK29" s="59"/>
      <c r="BL29" s="71"/>
      <c r="BM29" s="38"/>
      <c r="BN29" s="75" t="s">
        <v>34</v>
      </c>
      <c r="BO29" s="73"/>
      <c r="BP29" s="75" t="s">
        <v>34</v>
      </c>
      <c r="BQ29" s="73"/>
      <c r="BR29" s="75" t="s">
        <v>34</v>
      </c>
      <c r="BS29" s="59"/>
      <c r="BT29" s="75" t="s">
        <v>34</v>
      </c>
      <c r="BU29" s="108"/>
      <c r="BV29" s="66"/>
      <c r="BW29" s="68"/>
      <c r="BX29" s="66" t="s">
        <v>33</v>
      </c>
      <c r="BY29" s="68"/>
      <c r="BZ29" s="73" t="s">
        <v>33</v>
      </c>
      <c r="CA29" s="110"/>
      <c r="CB29" s="66" t="s">
        <v>33</v>
      </c>
      <c r="CC29" s="22">
        <v>25</v>
      </c>
      <c r="CD29" s="22" t="s">
        <v>131</v>
      </c>
      <c r="CE29" s="508"/>
      <c r="CF29" s="311">
        <f t="shared" si="0"/>
        <v>3</v>
      </c>
      <c r="CG29" s="76">
        <f t="shared" si="1"/>
        <v>4</v>
      </c>
      <c r="CH29" s="27"/>
      <c r="CI29" s="28"/>
      <c r="CJ29" s="449"/>
      <c r="CK29" s="450"/>
    </row>
    <row r="30" spans="1:89" ht="15" customHeight="1">
      <c r="A30" s="142">
        <v>26</v>
      </c>
      <c r="B30" s="142" t="s">
        <v>132</v>
      </c>
      <c r="C30" s="506">
        <v>31</v>
      </c>
      <c r="D30" s="113"/>
      <c r="E30" s="65"/>
      <c r="F30" s="113"/>
      <c r="G30" s="65"/>
      <c r="H30" s="113"/>
      <c r="I30" s="65"/>
      <c r="J30" s="113"/>
      <c r="K30" s="65"/>
      <c r="L30" s="219" t="s">
        <v>41</v>
      </c>
      <c r="M30" s="65"/>
      <c r="N30" s="14" t="s">
        <v>41</v>
      </c>
      <c r="O30" s="58"/>
      <c r="P30" s="14"/>
      <c r="Q30" s="65"/>
      <c r="R30" s="113"/>
      <c r="S30" s="65"/>
      <c r="T30" s="113"/>
      <c r="U30" s="65"/>
      <c r="V30" s="15"/>
      <c r="W30" s="65"/>
      <c r="X30" s="209" t="s">
        <v>41</v>
      </c>
      <c r="Y30" s="65"/>
      <c r="Z30" s="113"/>
      <c r="AA30" s="65"/>
      <c r="AB30" s="113"/>
      <c r="AC30" s="65"/>
      <c r="AD30" s="113"/>
      <c r="AE30" s="65"/>
      <c r="AF30" s="113"/>
      <c r="AG30" s="65"/>
      <c r="AH30" s="113"/>
      <c r="AI30" s="65"/>
      <c r="AJ30" s="14"/>
      <c r="AK30" s="65"/>
      <c r="AL30" s="113"/>
      <c r="AM30" s="65"/>
      <c r="AN30" s="113"/>
      <c r="AO30" s="65"/>
      <c r="AP30" s="523"/>
      <c r="AQ30" s="524"/>
      <c r="AR30" s="33"/>
      <c r="AS30" s="34"/>
      <c r="AT30" s="142">
        <v>26</v>
      </c>
      <c r="AU30" s="142" t="s">
        <v>132</v>
      </c>
      <c r="AV30" s="506">
        <v>31</v>
      </c>
      <c r="AW30" s="14"/>
      <c r="AX30" s="67" t="s">
        <v>33</v>
      </c>
      <c r="AY30" s="69"/>
      <c r="AZ30" s="67" t="s">
        <v>33</v>
      </c>
      <c r="BA30" s="69"/>
      <c r="BB30" s="72" t="s">
        <v>33</v>
      </c>
      <c r="BC30" s="87"/>
      <c r="BD30" s="67" t="s">
        <v>33</v>
      </c>
      <c r="BE30" s="14"/>
      <c r="BF30" s="70"/>
      <c r="BG30" s="72"/>
      <c r="BH30" s="70"/>
      <c r="BI30" s="72"/>
      <c r="BJ30" s="72"/>
      <c r="BK30" s="58"/>
      <c r="BL30" s="70"/>
      <c r="BM30" s="37"/>
      <c r="BN30" s="70"/>
      <c r="BO30" s="72"/>
      <c r="BP30" s="70"/>
      <c r="BQ30" s="72"/>
      <c r="BR30" s="72"/>
      <c r="BS30" s="15"/>
      <c r="BT30" s="70"/>
      <c r="BU30" s="96"/>
      <c r="BV30" s="74"/>
      <c r="BW30" s="72"/>
      <c r="BX30" s="74" t="s">
        <v>34</v>
      </c>
      <c r="BY30" s="72"/>
      <c r="BZ30" s="74" t="s">
        <v>34</v>
      </c>
      <c r="CA30" s="58"/>
      <c r="CB30" s="74" t="s">
        <v>34</v>
      </c>
      <c r="CC30" s="142">
        <v>26</v>
      </c>
      <c r="CD30" s="142" t="s">
        <v>132</v>
      </c>
      <c r="CE30" s="506">
        <v>30</v>
      </c>
      <c r="CF30" s="311">
        <f t="shared" si="0"/>
        <v>4</v>
      </c>
      <c r="CG30" s="76">
        <f t="shared" si="1"/>
        <v>3</v>
      </c>
      <c r="CH30" s="27"/>
      <c r="CI30" s="28"/>
      <c r="CJ30" s="449"/>
      <c r="CK30" s="450"/>
    </row>
    <row r="31" spans="1:89" ht="15" customHeight="1">
      <c r="A31" s="142">
        <v>27</v>
      </c>
      <c r="B31" s="142" t="s">
        <v>133</v>
      </c>
      <c r="C31" s="507"/>
      <c r="D31" s="14"/>
      <c r="E31" s="65"/>
      <c r="F31" s="14"/>
      <c r="G31" s="65"/>
      <c r="H31" s="14"/>
      <c r="I31" s="65"/>
      <c r="J31" s="14"/>
      <c r="K31" s="65"/>
      <c r="L31" s="14" t="s">
        <v>41</v>
      </c>
      <c r="M31" s="65"/>
      <c r="N31" s="14" t="s">
        <v>41</v>
      </c>
      <c r="O31" s="58"/>
      <c r="P31" s="14"/>
      <c r="Q31" s="65"/>
      <c r="R31" s="15"/>
      <c r="S31" s="65"/>
      <c r="T31" s="15"/>
      <c r="U31" s="65"/>
      <c r="V31" s="15"/>
      <c r="W31" s="65"/>
      <c r="X31" s="14"/>
      <c r="Y31" s="65"/>
      <c r="Z31" s="14"/>
      <c r="AA31" s="65"/>
      <c r="AB31" s="14"/>
      <c r="AC31" s="65"/>
      <c r="AD31" s="15"/>
      <c r="AE31" s="65"/>
      <c r="AF31" s="14"/>
      <c r="AG31" s="65"/>
      <c r="AH31" s="14"/>
      <c r="AI31" s="65"/>
      <c r="AJ31" s="14"/>
      <c r="AK31" s="65"/>
      <c r="AL31" s="14"/>
      <c r="AM31" s="65"/>
      <c r="AN31" s="14"/>
      <c r="AO31" s="65"/>
      <c r="AP31" s="523"/>
      <c r="AQ31" s="524"/>
      <c r="AR31" s="33"/>
      <c r="AS31" s="34"/>
      <c r="AT31" s="142">
        <v>27</v>
      </c>
      <c r="AU31" s="142" t="s">
        <v>133</v>
      </c>
      <c r="AV31" s="507"/>
      <c r="AW31" s="14"/>
      <c r="AX31" s="74" t="s">
        <v>34</v>
      </c>
      <c r="AY31" s="72"/>
      <c r="AZ31" s="74" t="s">
        <v>34</v>
      </c>
      <c r="BA31" s="72"/>
      <c r="BB31" s="74" t="s">
        <v>34</v>
      </c>
      <c r="BC31" s="58"/>
      <c r="BD31" s="74" t="s">
        <v>34</v>
      </c>
      <c r="BE31" s="14"/>
      <c r="BF31" s="67" t="s">
        <v>33</v>
      </c>
      <c r="BG31" s="69"/>
      <c r="BH31" s="67" t="s">
        <v>33</v>
      </c>
      <c r="BI31" s="69"/>
      <c r="BJ31" s="72" t="s">
        <v>33</v>
      </c>
      <c r="BK31" s="87"/>
      <c r="BL31" s="67" t="s">
        <v>33</v>
      </c>
      <c r="BM31" s="37"/>
      <c r="BN31" s="70"/>
      <c r="BO31" s="72"/>
      <c r="BP31" s="70"/>
      <c r="BQ31" s="72"/>
      <c r="BR31" s="72"/>
      <c r="BS31" s="15"/>
      <c r="BT31" s="70"/>
      <c r="BU31" s="96"/>
      <c r="BV31" s="67"/>
      <c r="BW31" s="69"/>
      <c r="BX31" s="67"/>
      <c r="BY31" s="69"/>
      <c r="BZ31" s="72"/>
      <c r="CA31" s="97"/>
      <c r="CB31" s="67"/>
      <c r="CC31" s="142">
        <v>27</v>
      </c>
      <c r="CD31" s="142" t="s">
        <v>133</v>
      </c>
      <c r="CE31" s="507"/>
      <c r="CF31" s="311">
        <f t="shared" si="0"/>
        <v>4</v>
      </c>
      <c r="CG31" s="76">
        <f t="shared" si="1"/>
        <v>4</v>
      </c>
      <c r="CH31" s="27"/>
      <c r="CI31" s="28"/>
      <c r="CJ31" s="449"/>
      <c r="CK31" s="450"/>
    </row>
    <row r="32" spans="1:89" ht="15" customHeight="1">
      <c r="A32" s="142">
        <v>28</v>
      </c>
      <c r="B32" s="142" t="s">
        <v>127</v>
      </c>
      <c r="C32" s="507"/>
      <c r="D32" s="14"/>
      <c r="E32" s="65"/>
      <c r="F32" s="14"/>
      <c r="G32" s="65"/>
      <c r="H32" s="14"/>
      <c r="I32" s="65"/>
      <c r="J32" s="14"/>
      <c r="K32" s="65"/>
      <c r="L32" s="14" t="s">
        <v>41</v>
      </c>
      <c r="M32" s="65"/>
      <c r="N32" s="14" t="s">
        <v>41</v>
      </c>
      <c r="O32" s="58"/>
      <c r="P32" s="14"/>
      <c r="Q32" s="65"/>
      <c r="R32" s="15"/>
      <c r="S32" s="65"/>
      <c r="T32" s="15"/>
      <c r="U32" s="65"/>
      <c r="V32" s="15"/>
      <c r="W32" s="65"/>
      <c r="X32" s="14"/>
      <c r="Y32" s="65"/>
      <c r="Z32" s="14"/>
      <c r="AA32" s="65"/>
      <c r="AB32" s="14"/>
      <c r="AC32" s="65" t="s">
        <v>41</v>
      </c>
      <c r="AD32" s="15"/>
      <c r="AE32" s="65"/>
      <c r="AF32" s="14"/>
      <c r="AG32" s="65"/>
      <c r="AH32" s="14"/>
      <c r="AI32" s="65"/>
      <c r="AJ32" s="14" t="s">
        <v>42</v>
      </c>
      <c r="AK32" s="65"/>
      <c r="AL32" s="14"/>
      <c r="AM32" s="65"/>
      <c r="AN32" s="14"/>
      <c r="AO32" s="65"/>
      <c r="AP32" s="509"/>
      <c r="AQ32" s="510"/>
      <c r="AR32" s="33"/>
      <c r="AS32" s="34"/>
      <c r="AT32" s="142">
        <v>28</v>
      </c>
      <c r="AU32" s="142" t="s">
        <v>127</v>
      </c>
      <c r="AV32" s="507"/>
      <c r="AW32" s="14"/>
      <c r="AX32" s="70"/>
      <c r="AY32" s="72"/>
      <c r="AZ32" s="70"/>
      <c r="BA32" s="72"/>
      <c r="BB32" s="72"/>
      <c r="BC32" s="58"/>
      <c r="BD32" s="70"/>
      <c r="BE32" s="14"/>
      <c r="BF32" s="74" t="s">
        <v>34</v>
      </c>
      <c r="BG32" s="72"/>
      <c r="BH32" s="74" t="s">
        <v>34</v>
      </c>
      <c r="BI32" s="72"/>
      <c r="BJ32" s="74" t="s">
        <v>34</v>
      </c>
      <c r="BK32" s="58"/>
      <c r="BL32" s="74" t="s">
        <v>34</v>
      </c>
      <c r="BM32" s="37"/>
      <c r="BN32" s="67" t="s">
        <v>33</v>
      </c>
      <c r="BO32" s="69"/>
      <c r="BP32" s="67" t="s">
        <v>33</v>
      </c>
      <c r="BQ32" s="69"/>
      <c r="BR32" s="72" t="s">
        <v>33</v>
      </c>
      <c r="BS32" s="87"/>
      <c r="BT32" s="67" t="s">
        <v>33</v>
      </c>
      <c r="BU32" s="96"/>
      <c r="BV32" s="67"/>
      <c r="BW32" s="69"/>
      <c r="BX32" s="67"/>
      <c r="BY32" s="69"/>
      <c r="BZ32" s="72"/>
      <c r="CA32" s="97"/>
      <c r="CB32" s="67"/>
      <c r="CC32" s="142">
        <v>28</v>
      </c>
      <c r="CD32" s="142" t="s">
        <v>127</v>
      </c>
      <c r="CE32" s="507"/>
      <c r="CF32" s="311">
        <f t="shared" si="0"/>
        <v>4</v>
      </c>
      <c r="CG32" s="76">
        <f t="shared" si="1"/>
        <v>4</v>
      </c>
      <c r="CH32" s="27"/>
      <c r="CI32" s="28"/>
      <c r="CJ32" s="449"/>
      <c r="CK32" s="450"/>
    </row>
    <row r="33" spans="1:89" ht="15" customHeight="1">
      <c r="A33" s="142">
        <v>29</v>
      </c>
      <c r="B33" s="142" t="s">
        <v>128</v>
      </c>
      <c r="C33" s="507"/>
      <c r="D33" s="14"/>
      <c r="E33" s="65"/>
      <c r="F33" s="14"/>
      <c r="G33" s="65"/>
      <c r="H33" s="14"/>
      <c r="I33" s="65"/>
      <c r="J33" s="14"/>
      <c r="K33" s="65"/>
      <c r="L33" s="14" t="s">
        <v>41</v>
      </c>
      <c r="M33" s="65"/>
      <c r="N33" s="14" t="s">
        <v>41</v>
      </c>
      <c r="O33" s="58"/>
      <c r="P33" s="14"/>
      <c r="Q33" s="65"/>
      <c r="R33" s="15"/>
      <c r="S33" s="65"/>
      <c r="T33" s="15"/>
      <c r="U33" s="65"/>
      <c r="V33" s="15"/>
      <c r="W33" s="65"/>
      <c r="X33" s="14"/>
      <c r="Y33" s="65"/>
      <c r="Z33" s="14"/>
      <c r="AA33" s="65"/>
      <c r="AB33" s="14"/>
      <c r="AC33" s="296"/>
      <c r="AD33" s="15"/>
      <c r="AE33" s="65"/>
      <c r="AF33" s="14"/>
      <c r="AG33" s="65"/>
      <c r="AH33" s="14"/>
      <c r="AI33" s="65"/>
      <c r="AJ33" s="14"/>
      <c r="AK33" s="65"/>
      <c r="AL33" s="14"/>
      <c r="AM33" s="65"/>
      <c r="AN33" s="14"/>
      <c r="AO33" s="65"/>
      <c r="AP33" s="509" t="s">
        <v>292</v>
      </c>
      <c r="AQ33" s="510"/>
      <c r="AR33" s="33"/>
      <c r="AS33" s="34"/>
      <c r="AT33" s="142">
        <v>29</v>
      </c>
      <c r="AU33" s="142" t="s">
        <v>128</v>
      </c>
      <c r="AV33" s="507"/>
      <c r="AW33" s="14"/>
      <c r="AX33" s="70"/>
      <c r="AY33" s="72"/>
      <c r="AZ33" s="70"/>
      <c r="BA33" s="72"/>
      <c r="BB33" s="72"/>
      <c r="BC33" s="58"/>
      <c r="BD33" s="70"/>
      <c r="BE33" s="14"/>
      <c r="BF33" s="70"/>
      <c r="BG33" s="72"/>
      <c r="BH33" s="70"/>
      <c r="BI33" s="72"/>
      <c r="BJ33" s="72"/>
      <c r="BK33" s="58"/>
      <c r="BL33" s="70"/>
      <c r="BM33" s="37"/>
      <c r="BN33" s="74" t="s">
        <v>34</v>
      </c>
      <c r="BO33" s="72"/>
      <c r="BP33" s="74" t="s">
        <v>34</v>
      </c>
      <c r="BQ33" s="72"/>
      <c r="BR33" s="74" t="s">
        <v>34</v>
      </c>
      <c r="BS33" s="58"/>
      <c r="BT33" s="74" t="s">
        <v>34</v>
      </c>
      <c r="BU33" s="96"/>
      <c r="BV33" s="67"/>
      <c r="BW33" s="69"/>
      <c r="BX33" s="67" t="s">
        <v>33</v>
      </c>
      <c r="BY33" s="69"/>
      <c r="BZ33" s="72" t="s">
        <v>33</v>
      </c>
      <c r="CA33" s="87"/>
      <c r="CB33" s="67" t="s">
        <v>33</v>
      </c>
      <c r="CC33" s="142">
        <v>29</v>
      </c>
      <c r="CD33" s="142" t="s">
        <v>128</v>
      </c>
      <c r="CE33" s="507"/>
      <c r="CF33" s="311">
        <f t="shared" si="0"/>
        <v>3</v>
      </c>
      <c r="CG33" s="76">
        <f t="shared" si="1"/>
        <v>4</v>
      </c>
      <c r="CH33" s="27"/>
      <c r="CI33" s="28"/>
      <c r="CJ33" s="449"/>
      <c r="CK33" s="450"/>
    </row>
    <row r="34" spans="1:89" ht="15" customHeight="1">
      <c r="A34" s="142">
        <v>30</v>
      </c>
      <c r="B34" s="142" t="s">
        <v>129</v>
      </c>
      <c r="C34" s="507"/>
      <c r="D34" s="215"/>
      <c r="E34" s="214"/>
      <c r="F34" s="215"/>
      <c r="G34" s="214"/>
      <c r="H34" s="215"/>
      <c r="I34" s="214"/>
      <c r="J34" s="215"/>
      <c r="K34" s="214"/>
      <c r="L34" s="14" t="s">
        <v>41</v>
      </c>
      <c r="M34" s="214"/>
      <c r="N34" s="215"/>
      <c r="O34" s="216"/>
      <c r="P34" s="215"/>
      <c r="Q34" s="214"/>
      <c r="R34" s="213"/>
      <c r="S34" s="214"/>
      <c r="T34" s="213"/>
      <c r="U34" s="214"/>
      <c r="V34" s="213"/>
      <c r="W34" s="214"/>
      <c r="X34" s="215"/>
      <c r="Y34" s="214"/>
      <c r="Z34" s="215"/>
      <c r="AA34" s="214"/>
      <c r="AB34" s="215"/>
      <c r="AC34" s="214"/>
      <c r="AD34" s="213"/>
      <c r="AE34" s="214"/>
      <c r="AF34" s="215"/>
      <c r="AG34" s="214"/>
      <c r="AH34" s="215"/>
      <c r="AI34" s="214"/>
      <c r="AJ34" s="215"/>
      <c r="AK34" s="214"/>
      <c r="AL34" s="215"/>
      <c r="AM34" s="214"/>
      <c r="AN34" s="215"/>
      <c r="AO34" s="214"/>
      <c r="AP34" s="587" t="s">
        <v>316</v>
      </c>
      <c r="AQ34" s="588"/>
      <c r="AR34" s="100"/>
      <c r="AS34" s="101"/>
      <c r="AT34" s="142">
        <v>30</v>
      </c>
      <c r="AU34" s="142" t="s">
        <v>129</v>
      </c>
      <c r="AV34" s="507"/>
      <c r="AW34" s="14"/>
      <c r="AX34" s="67" t="s">
        <v>33</v>
      </c>
      <c r="AY34" s="69"/>
      <c r="AZ34" s="67" t="s">
        <v>33</v>
      </c>
      <c r="BA34" s="69"/>
      <c r="BB34" s="72" t="s">
        <v>33</v>
      </c>
      <c r="BC34" s="87"/>
      <c r="BD34" s="67" t="s">
        <v>33</v>
      </c>
      <c r="BE34" s="14"/>
      <c r="BF34" s="70"/>
      <c r="BG34" s="72"/>
      <c r="BH34" s="70"/>
      <c r="BI34" s="72"/>
      <c r="BJ34" s="72"/>
      <c r="BK34" s="58"/>
      <c r="BL34" s="70"/>
      <c r="BM34" s="37"/>
      <c r="BN34" s="70"/>
      <c r="BO34" s="72"/>
      <c r="BP34" s="70"/>
      <c r="BQ34" s="72"/>
      <c r="BR34" s="72"/>
      <c r="BS34" s="15"/>
      <c r="BT34" s="70"/>
      <c r="BU34" s="96"/>
      <c r="BV34" s="74"/>
      <c r="BW34" s="72"/>
      <c r="BX34" s="74" t="s">
        <v>34</v>
      </c>
      <c r="BY34" s="72"/>
      <c r="BZ34" s="74" t="s">
        <v>34</v>
      </c>
      <c r="CA34" s="58"/>
      <c r="CB34" s="74" t="s">
        <v>34</v>
      </c>
      <c r="CC34" s="142">
        <v>30</v>
      </c>
      <c r="CD34" s="142" t="s">
        <v>129</v>
      </c>
      <c r="CE34" s="507"/>
      <c r="CF34" s="311">
        <f t="shared" ref="CF34" si="2">COUNTIF(AX34:CB34,"י")+COUNTIF(AX34:CB34,"Y")+COUNTIF(AX34:CB34,"2")</f>
        <v>4</v>
      </c>
      <c r="CG34" s="76">
        <f t="shared" ref="CG34" si="3">COUNTIF(AW34:CB34,"ל")+COUNTIF(AW34:CB34,"L")+COUNTIF(AW34:CB34,"ל2")</f>
        <v>3</v>
      </c>
      <c r="CH34" s="102"/>
      <c r="CI34" s="103"/>
      <c r="CJ34" s="551"/>
      <c r="CK34" s="552"/>
    </row>
    <row r="35" spans="1:89" ht="15" customHeight="1" thickBot="1">
      <c r="A35" s="22">
        <v>31</v>
      </c>
      <c r="B35" s="22" t="s">
        <v>130</v>
      </c>
      <c r="C35" s="508"/>
      <c r="D35" s="16"/>
      <c r="E35" s="17"/>
      <c r="F35" s="16"/>
      <c r="G35" s="17"/>
      <c r="H35" s="16"/>
      <c r="I35" s="17"/>
      <c r="J35" s="16"/>
      <c r="K35" s="17"/>
      <c r="L35" s="14" t="s">
        <v>41</v>
      </c>
      <c r="M35" s="17"/>
      <c r="N35" s="16"/>
      <c r="O35" s="59"/>
      <c r="P35" s="16"/>
      <c r="Q35" s="17"/>
      <c r="R35" s="18"/>
      <c r="S35" s="17"/>
      <c r="T35" s="18"/>
      <c r="U35" s="17"/>
      <c r="V35" s="18"/>
      <c r="W35" s="17"/>
      <c r="X35" s="16"/>
      <c r="Y35" s="17"/>
      <c r="Z35" s="16"/>
      <c r="AA35" s="17"/>
      <c r="AB35" s="16"/>
      <c r="AC35" s="17"/>
      <c r="AD35" s="18"/>
      <c r="AE35" s="17"/>
      <c r="AF35" s="16"/>
      <c r="AG35" s="17"/>
      <c r="AH35" s="16"/>
      <c r="AI35" s="17"/>
      <c r="AJ35" s="16"/>
      <c r="AK35" s="17"/>
      <c r="AL35" s="16"/>
      <c r="AM35" s="17"/>
      <c r="AN35" s="16"/>
      <c r="AO35" s="17"/>
      <c r="AP35" s="585"/>
      <c r="AQ35" s="586"/>
      <c r="AR35" s="107"/>
      <c r="AS35" s="127"/>
      <c r="AT35" s="22">
        <v>31</v>
      </c>
      <c r="AU35" s="22" t="s">
        <v>130</v>
      </c>
      <c r="AV35" s="508"/>
      <c r="AW35" s="16"/>
      <c r="AX35" s="75" t="s">
        <v>34</v>
      </c>
      <c r="AY35" s="73"/>
      <c r="AZ35" s="75" t="s">
        <v>34</v>
      </c>
      <c r="BA35" s="73"/>
      <c r="BB35" s="75" t="s">
        <v>34</v>
      </c>
      <c r="BC35" s="59"/>
      <c r="BD35" s="75" t="s">
        <v>34</v>
      </c>
      <c r="BE35" s="16"/>
      <c r="BF35" s="67" t="s">
        <v>61</v>
      </c>
      <c r="BG35" s="68"/>
      <c r="BH35" s="66" t="s">
        <v>33</v>
      </c>
      <c r="BI35" s="68"/>
      <c r="BJ35" s="73" t="s">
        <v>33</v>
      </c>
      <c r="BK35" s="110"/>
      <c r="BL35" s="66" t="s">
        <v>33</v>
      </c>
      <c r="BM35" s="38"/>
      <c r="BN35" s="71"/>
      <c r="BO35" s="73"/>
      <c r="BP35" s="71"/>
      <c r="BQ35" s="73"/>
      <c r="BR35" s="73"/>
      <c r="BS35" s="18"/>
      <c r="BT35" s="71"/>
      <c r="BU35" s="108"/>
      <c r="BV35" s="66"/>
      <c r="BW35" s="68"/>
      <c r="BX35" s="66"/>
      <c r="BY35" s="68"/>
      <c r="BZ35" s="68"/>
      <c r="CA35" s="83"/>
      <c r="CB35" s="66"/>
      <c r="CC35" s="22">
        <v>31</v>
      </c>
      <c r="CD35" s="22" t="s">
        <v>130</v>
      </c>
      <c r="CE35" s="508"/>
      <c r="CF35" s="312">
        <f t="shared" si="0"/>
        <v>3</v>
      </c>
      <c r="CG35" s="77">
        <f t="shared" si="1"/>
        <v>4</v>
      </c>
      <c r="CH35" s="26"/>
      <c r="CI35" s="21"/>
      <c r="CJ35" s="549"/>
      <c r="CK35" s="550"/>
    </row>
    <row r="36" spans="1:89" ht="15" customHeight="1" thickBot="1">
      <c r="D36" s="8">
        <f>(COUNTIF(D1:D35,"הרצליה")+COUNTIF(D1:D35,"חיפה")+COUNTIF(D1:D35,"רמון")+COUNTIF(D1:D35,"ראש פינה")+COUNTIF(D1:D35,"ה.ב"))</f>
        <v>0</v>
      </c>
      <c r="E36" s="9">
        <f>(COUNTIF(E1:E35,"כ")+COUNTIF(E1:E35,"כמ"))*6+(COUNTIF(E1:E35,"כש")+COUNTIF(E1:E35,"כמש"))*10</f>
        <v>0</v>
      </c>
      <c r="F36" s="8">
        <f t="shared" ref="F36" si="4">(COUNTIF(F1:F35,"הרצליה")+COUNTIF(F1:F35,"חיפה")+COUNTIF(F1:F35,"רמון")+COUNTIF(F1:F35,"ראש פינה")+COUNTIF(F1:F35,"ה.ב"))</f>
        <v>0</v>
      </c>
      <c r="G36" s="9">
        <f t="shared" ref="G36" si="5">(COUNTIF(G1:G35,"כ")+COUNTIF(G1:G35,"כמ"))*6+(COUNTIF(G1:G35,"כש")+COUNTIF(G1:G35,"כמש"))*10</f>
        <v>0</v>
      </c>
      <c r="H36" s="8">
        <f t="shared" ref="H36" si="6">(COUNTIF(H1:H35,"הרצליה")+COUNTIF(H1:H35,"חיפה")+COUNTIF(H1:H35,"רמון")+COUNTIF(H1:H35,"ראש פינה")+COUNTIF(H1:H35,"ה.ב"))</f>
        <v>0</v>
      </c>
      <c r="I36" s="9">
        <f t="shared" ref="I36" si="7">(COUNTIF(I1:I35,"כ")+COUNTIF(I1:I35,"כמ"))*6+(COUNTIF(I1:I35,"כש")+COUNTIF(I1:I35,"כמש"))*10</f>
        <v>0</v>
      </c>
      <c r="J36" s="8">
        <f t="shared" ref="J36" si="8">(COUNTIF(J1:J35,"הרצליה")+COUNTIF(J1:J35,"חיפה")+COUNTIF(J1:J35,"רמון")+COUNTIF(J1:J35,"ראש פינה")+COUNTIF(J1:J35,"ה.ב"))</f>
        <v>0</v>
      </c>
      <c r="K36" s="9">
        <f t="shared" ref="K36" si="9">(COUNTIF(K1:K35,"כ")+COUNTIF(K1:K35,"כמ"))*6+(COUNTIF(K1:K35,"כש")+COUNTIF(K1:K35,"כמש"))*10</f>
        <v>0</v>
      </c>
      <c r="L36" s="8">
        <f t="shared" ref="L36" si="10">(COUNTIF(L1:L35,"הרצליה")+COUNTIF(L1:L35,"חיפה")+COUNTIF(L1:L35,"רמון")+COUNTIF(L1:L35,"ראש פינה")+COUNTIF(L1:L35,"ה.ב"))</f>
        <v>0</v>
      </c>
      <c r="M36" s="9">
        <f t="shared" ref="M36" si="11">(COUNTIF(M1:M35,"כ")+COUNTIF(M1:M35,"כמ"))*6+(COUNTIF(M1:M35,"כש")+COUNTIF(M1:M35,"כמש"))*10</f>
        <v>0</v>
      </c>
      <c r="N36" s="8">
        <f t="shared" ref="N36" si="12">(COUNTIF(N1:N35,"הרצליה")+COUNTIF(N1:N35,"חיפה")+COUNTIF(N1:N35,"רמון")+COUNTIF(N1:N35,"ראש פינה")+COUNTIF(N1:N35,"ה.ב"))</f>
        <v>0</v>
      </c>
      <c r="O36" s="9">
        <f t="shared" ref="O36" si="13">(COUNTIF(O1:O35,"כ")+COUNTIF(O1:O35,"כמ"))*6+(COUNTIF(O1:O35,"כש")+COUNTIF(O1:O35,"כמש"))*10</f>
        <v>0</v>
      </c>
      <c r="P36" s="8">
        <f t="shared" ref="P36" si="14">(COUNTIF(P1:P35,"הרצליה")+COUNTIF(P1:P35,"חיפה")+COUNTIF(P1:P35,"רמון")+COUNTIF(P1:P35,"ראש פינה")+COUNTIF(P1:P35,"ה.ב"))</f>
        <v>0</v>
      </c>
      <c r="Q36" s="9">
        <f t="shared" ref="Q36" si="15">(COUNTIF(Q1:Q35,"כ")+COUNTIF(Q1:Q35,"כמ"))*6+(COUNTIF(Q1:Q35,"כש")+COUNTIF(Q1:Q35,"כמש"))*10</f>
        <v>0</v>
      </c>
      <c r="R36" s="8">
        <f t="shared" ref="R36" si="16">(COUNTIF(R1:R35,"הרצליה")+COUNTIF(R1:R35,"חיפה")+COUNTIF(R1:R35,"רמון")+COUNTIF(R1:R35,"ראש פינה")+COUNTIF(R1:R35,"ה.ב"))</f>
        <v>0</v>
      </c>
      <c r="S36" s="9">
        <f t="shared" ref="S36" si="17">(COUNTIF(S1:S35,"כ")+COUNTIF(S1:S35,"כמ"))*6+(COUNTIF(S1:S35,"כש")+COUNTIF(S1:S35,"כמש"))*10</f>
        <v>0</v>
      </c>
      <c r="T36" s="8">
        <f t="shared" ref="T36" si="18">(COUNTIF(T1:T35,"הרצליה")+COUNTIF(T1:T35,"חיפה")+COUNTIF(T1:T35,"רמון")+COUNTIF(T1:T35,"ראש פינה")+COUNTIF(T1:T35,"ה.ב"))</f>
        <v>0</v>
      </c>
      <c r="U36" s="9">
        <f t="shared" ref="U36" si="19">(COUNTIF(U1:U35,"כ")+COUNTIF(U1:U35,"כמ"))*6+(COUNTIF(U1:U35,"כש")+COUNTIF(U1:U35,"כמש"))*10</f>
        <v>0</v>
      </c>
      <c r="V36" s="8">
        <f t="shared" ref="V36" si="20">(COUNTIF(V1:V35,"הרצליה")+COUNTIF(V1:V35,"חיפה")+COUNTIF(V1:V35,"רמון")+COUNTIF(V1:V35,"ראש פינה")+COUNTIF(V1:V35,"ה.ב"))</f>
        <v>0</v>
      </c>
      <c r="W36" s="9">
        <f t="shared" ref="W36" si="21">(COUNTIF(W1:W35,"כ")+COUNTIF(W1:W35,"כמ"))*6+(COUNTIF(W1:W35,"כש")+COUNTIF(W1:W35,"כמש"))*10</f>
        <v>0</v>
      </c>
      <c r="X36" s="8">
        <f t="shared" ref="X36" si="22">(COUNTIF(X1:X35,"הרצליה")+COUNTIF(X1:X35,"חיפה")+COUNTIF(X1:X35,"רמון")+COUNTIF(X1:X35,"ראש פינה")+COUNTIF(X1:X35,"ה.ב"))</f>
        <v>1</v>
      </c>
      <c r="Y36" s="9">
        <f t="shared" ref="Y36" si="23">(COUNTIF(Y1:Y35,"כ")+COUNTIF(Y1:Y35,"כמ"))*6+(COUNTIF(Y1:Y35,"כש")+COUNTIF(Y1:Y35,"כמש"))*10</f>
        <v>0</v>
      </c>
      <c r="Z36" s="8">
        <f t="shared" ref="Z36" si="24">(COUNTIF(Z1:Z35,"הרצליה")+COUNTIF(Z1:Z35,"חיפה")+COUNTIF(Z1:Z35,"רמון")+COUNTIF(Z1:Z35,"ראש פינה")+COUNTIF(Z1:Z35,"ה.ב"))</f>
        <v>0</v>
      </c>
      <c r="AA36" s="9">
        <f t="shared" ref="AA36" si="25">(COUNTIF(AA1:AA35,"כ")+COUNTIF(AA1:AA35,"כמ"))*6+(COUNTIF(AA1:AA35,"כש")+COUNTIF(AA1:AA35,"כמש"))*10</f>
        <v>0</v>
      </c>
      <c r="AB36" s="8">
        <f t="shared" ref="AB36" si="26">(COUNTIF(AB1:AB35,"הרצליה")+COUNTIF(AB1:AB35,"חיפה")+COUNTIF(AB1:AB35,"רמון")+COUNTIF(AB1:AB35,"ראש פינה")+COUNTIF(AB1:AB35,"ה.ב"))</f>
        <v>0</v>
      </c>
      <c r="AC36" s="9">
        <f t="shared" ref="AC36" si="27">(COUNTIF(AC1:AC35,"כ")+COUNTIF(AC1:AC35,"כמ"))*6+(COUNTIF(AC1:AC35,"כש")+COUNTIF(AC1:AC35,"כמש"))*10</f>
        <v>0</v>
      </c>
      <c r="AD36" s="8">
        <f t="shared" ref="AD36" si="28">(COUNTIF(AD1:AD35,"הרצליה")+COUNTIF(AD1:AD35,"חיפה")+COUNTIF(AD1:AD35,"רמון")+COUNTIF(AD1:AD35,"ראש פינה")+COUNTIF(AD1:AD35,"ה.ב"))</f>
        <v>0</v>
      </c>
      <c r="AE36" s="9">
        <f t="shared" ref="AE36" si="29">(COUNTIF(AE1:AE35,"כ")+COUNTIF(AE1:AE35,"כמ"))*6+(COUNTIF(AE1:AE35,"כש")+COUNTIF(AE1:AE35,"כמש"))*10</f>
        <v>0</v>
      </c>
      <c r="AF36" s="8">
        <f t="shared" ref="AF36" si="30">(COUNTIF(AF1:AF35,"הרצליה")+COUNTIF(AF1:AF35,"חיפה")+COUNTIF(AF1:AF35,"רמון")+COUNTIF(AF1:AF35,"ראש פינה")+COUNTIF(AF1:AF35,"ה.ב"))</f>
        <v>0</v>
      </c>
      <c r="AG36" s="9">
        <f t="shared" ref="AG36" si="31">(COUNTIF(AG1:AG35,"כ")+COUNTIF(AG1:AG35,"כמ"))*6+(COUNTIF(AG1:AG35,"כש")+COUNTIF(AG1:AG35,"כמש"))*10</f>
        <v>0</v>
      </c>
      <c r="AH36" s="8">
        <f t="shared" ref="AH36" si="32">(COUNTIF(AH1:AH35,"הרצליה")+COUNTIF(AH1:AH35,"חיפה")+COUNTIF(AH1:AH35,"רמון")+COUNTIF(AH1:AH35,"ראש פינה")+COUNTIF(AH1:AH35,"ה.ב"))</f>
        <v>0</v>
      </c>
      <c r="AI36" s="9">
        <f t="shared" ref="AI36" si="33">(COUNTIF(AI1:AI35,"כ")+COUNTIF(AI1:AI35,"כמ"))*6+(COUNTIF(AI1:AI35,"כש")+COUNTIF(AI1:AI35,"כמש"))*10</f>
        <v>0</v>
      </c>
      <c r="AJ36" s="8">
        <f t="shared" ref="AJ36" si="34">(COUNTIF(AJ1:AJ35,"הרצליה")+COUNTIF(AJ1:AJ35,"חיפה")+COUNTIF(AJ1:AJ35,"רמון")+COUNTIF(AJ1:AJ35,"ראש פינה")+COUNTIF(AJ1:AJ35,"ה.ב"))</f>
        <v>0</v>
      </c>
      <c r="AK36" s="9">
        <f t="shared" ref="AK36" si="35">(COUNTIF(AK1:AK35,"כ")+COUNTIF(AK1:AK35,"כמ"))*6+(COUNTIF(AK1:AK35,"כש")+COUNTIF(AK1:AK35,"כמש"))*10</f>
        <v>0</v>
      </c>
      <c r="AL36" s="8">
        <f t="shared" ref="AL36" si="36">(COUNTIF(AL1:AL35,"הרצליה")+COUNTIF(AL1:AL35,"חיפה")+COUNTIF(AL1:AL35,"רמון")+COUNTIF(AL1:AL35,"ראש פינה")+COUNTIF(AL1:AL35,"ה.ב"))</f>
        <v>0</v>
      </c>
      <c r="AM36" s="9">
        <f t="shared" ref="AM36" si="37">(COUNTIF(AM1:AM35,"כ")+COUNTIF(AM1:AM35,"כמ"))*6+(COUNTIF(AM1:AM35,"כש")+COUNTIF(AM1:AM35,"כמש"))*10</f>
        <v>0</v>
      </c>
      <c r="AN36" s="8">
        <f t="shared" ref="AN36" si="38">(COUNTIF(AN1:AN35,"הרצליה")+COUNTIF(AN1:AN35,"חיפה")+COUNTIF(AN1:AN35,"רמון")+COUNTIF(AN1:AN35,"ראש פינה")+COUNTIF(AN1:AN35,"ה.ב"))</f>
        <v>0</v>
      </c>
      <c r="AO36" s="9">
        <f t="shared" ref="AO36" si="39">(COUNTIF(AO1:AO35,"כ")+COUNTIF(AO1:AO35,"כמ"))*6+(COUNTIF(AO1:AO35,"כש")+COUNTIF(AO1:AO35,"כמש"))*10</f>
        <v>0</v>
      </c>
      <c r="AT36" s="482" t="s">
        <v>38</v>
      </c>
      <c r="AU36" s="483"/>
      <c r="AV36" s="484"/>
      <c r="AW36" s="485">
        <f>COUNTIF(AX4:AX35,"י")+COUNTIF(AX4:AX35,"Y")+COUNTIF(AX4:AX35,"2")</f>
        <v>8</v>
      </c>
      <c r="AX36" s="465"/>
      <c r="AY36" s="464">
        <f>COUNTIF(AZ4:AZ35,"י")+COUNTIF(AZ4:AZ35,"Y")+COUNTIF(AZ4:AZ35,"2")</f>
        <v>8</v>
      </c>
      <c r="AZ36" s="465"/>
      <c r="BA36" s="464">
        <f>COUNTIF(BB4:BB35,"י")+COUNTIF(BB4:BB35,"Y")+COUNTIF(BB4:BB35,"2")</f>
        <v>8</v>
      </c>
      <c r="BB36" s="465"/>
      <c r="BC36" s="464">
        <f>COUNTIF(BD4:BD35,"י")+COUNTIF(BD4:BD35,"Y")+COUNTIF(BD4:BD35,"2")</f>
        <v>8</v>
      </c>
      <c r="BD36" s="465"/>
      <c r="BE36" s="464">
        <f>COUNTIF(BF4:BF35,"י")+COUNTIF(BF4:BF35,"Y")+COUNTIF(BF4:BF35,"2")</f>
        <v>7</v>
      </c>
      <c r="BF36" s="465"/>
      <c r="BG36" s="464">
        <f>COUNTIF(BH4:BH35,"י")+COUNTIF(BH4:BH35,"Y")+COUNTIF(BH4:BH35,"2")</f>
        <v>8</v>
      </c>
      <c r="BH36" s="465"/>
      <c r="BI36" s="464">
        <f>COUNTIF(BJ4:BJ35,"י")+COUNTIF(BJ4:BJ35,"Y")+COUNTIF(BJ4:BJ35,"2")</f>
        <v>8</v>
      </c>
      <c r="BJ36" s="465"/>
      <c r="BK36" s="464">
        <f>COUNTIF(BL4:BL35,"י")+COUNTIF(BL4:BL35,"Y")+COUNTIF(BL4:BL35,"2")</f>
        <v>8</v>
      </c>
      <c r="BL36" s="465"/>
      <c r="BM36" s="464">
        <f>COUNTIF(BN4:BN35,"י")+COUNTIF(BN4:BN35,"Y")+COUNTIF(BN4:BN35,"2")</f>
        <v>7</v>
      </c>
      <c r="BN36" s="465"/>
      <c r="BO36" s="464">
        <f>COUNTIF(BP4:BP35,"י")+COUNTIF(BP4:BP35,"Y")+COUNTIF(BP4:BP35,"2")</f>
        <v>7</v>
      </c>
      <c r="BP36" s="465"/>
      <c r="BQ36" s="464">
        <f>COUNTIF(BR4:BR35,"י")+COUNTIF(BR4:BR35,"Y")+COUNTIF(BR4:BR35,"2")</f>
        <v>7</v>
      </c>
      <c r="BR36" s="465"/>
      <c r="BS36" s="464">
        <f>COUNTIF(BT4:BT35,"י")+COUNTIF(BT4:BT35,"Y")+COUNTIF(BT4:BT35,"2")</f>
        <v>6</v>
      </c>
      <c r="BT36" s="465"/>
      <c r="BU36" s="464">
        <f>COUNTIF(BV4:BV35,"י")+COUNTIF(BV4:BV35,"Y")+COUNTIF(BV4:BV35,"2")</f>
        <v>0</v>
      </c>
      <c r="BV36" s="465"/>
      <c r="BW36" s="464">
        <f>COUNTIF(BX4:BX35,"י")+COUNTIF(BX4:BX35,"Y")+COUNTIF(BX4:BX35,"2")</f>
        <v>8</v>
      </c>
      <c r="BX36" s="465"/>
      <c r="BY36" s="464">
        <f>COUNTIF(BZ4:BZ35,"י")+COUNTIF(BZ4:BZ35,"Y")+COUNTIF(BZ4:BZ35,"2")</f>
        <v>8</v>
      </c>
      <c r="BZ36" s="465"/>
      <c r="CA36" s="466">
        <f>COUNTIF(CB4:CB35,"י")+COUNTIF(CB4:CB35,"Y")+COUNTIF(CB4:CB35,"2")</f>
        <v>8</v>
      </c>
      <c r="CB36" s="467"/>
      <c r="CC36" s="468" t="s">
        <v>140</v>
      </c>
      <c r="CD36" s="469"/>
      <c r="CE36" s="470"/>
    </row>
    <row r="37" spans="1:89" ht="15" customHeight="1" thickBot="1">
      <c r="C37" t="s">
        <v>322</v>
      </c>
      <c r="D37" s="234">
        <f>D36+יוני!D36</f>
        <v>8</v>
      </c>
      <c r="E37" s="234">
        <f>E36+יוני!E36</f>
        <v>94</v>
      </c>
      <c r="F37" s="234">
        <f>F36+יוני!F36</f>
        <v>9</v>
      </c>
      <c r="G37" s="234">
        <f>G36+יוני!G36</f>
        <v>108</v>
      </c>
      <c r="H37" s="234">
        <f>H36+יוני!H36</f>
        <v>7</v>
      </c>
      <c r="I37" s="234">
        <f>I36+יוני!I36</f>
        <v>98</v>
      </c>
      <c r="J37" s="234">
        <f>J36+יוני!J36</f>
        <v>6</v>
      </c>
      <c r="K37" s="234">
        <f>K36+יוני!K36</f>
        <v>54</v>
      </c>
      <c r="L37" s="234">
        <f>L36+יוני!L36</f>
        <v>5</v>
      </c>
      <c r="M37" s="234">
        <f>M36+יוני!M36</f>
        <v>110</v>
      </c>
      <c r="N37" s="234">
        <f>N36+יוני!N36</f>
        <v>12</v>
      </c>
      <c r="O37" s="234">
        <f>O36+יוני!O36</f>
        <v>178</v>
      </c>
      <c r="P37" s="234">
        <f>P36+יוני!P36</f>
        <v>9</v>
      </c>
      <c r="Q37" s="234">
        <f>Q36+יוני!Q36</f>
        <v>104</v>
      </c>
      <c r="R37" s="234">
        <f>R36+יוני!R36</f>
        <v>4</v>
      </c>
      <c r="S37" s="234">
        <f>S36+יוני!S36</f>
        <v>90</v>
      </c>
      <c r="T37" s="234">
        <f>T36+יוני!T36</f>
        <v>9</v>
      </c>
      <c r="U37" s="234">
        <f>U36+יוני!U36</f>
        <v>94</v>
      </c>
      <c r="V37" s="234">
        <f>V36+יוני!V36</f>
        <v>2</v>
      </c>
      <c r="W37" s="234">
        <f>W36+יוני!W36</f>
        <v>90</v>
      </c>
      <c r="X37" s="234">
        <f>X36+יוני!X36</f>
        <v>16</v>
      </c>
      <c r="Y37" s="234">
        <f>Y36+יוני!Y36</f>
        <v>246</v>
      </c>
      <c r="Z37" s="234">
        <f>Z36+יוני!Z36</f>
        <v>2</v>
      </c>
      <c r="AA37" s="234">
        <f>AA36+יוני!AA36</f>
        <v>0</v>
      </c>
      <c r="AB37" s="234">
        <f>AB36+יוני!AB36</f>
        <v>4</v>
      </c>
      <c r="AC37" s="234">
        <f>AC36+יוני!AC36</f>
        <v>164</v>
      </c>
      <c r="AD37" s="234">
        <f>AD36+יוני!AD36</f>
        <v>1</v>
      </c>
      <c r="AE37" s="234">
        <f>AE36+יוני!AE36</f>
        <v>180</v>
      </c>
      <c r="AF37" s="234">
        <f>AF36+יוני!AF36</f>
        <v>10</v>
      </c>
      <c r="AG37" s="234">
        <f>AG36+יוני!AG36</f>
        <v>200</v>
      </c>
      <c r="AH37" s="234">
        <f>AH36+יוני!AH36</f>
        <v>2</v>
      </c>
      <c r="AI37" s="234">
        <f>AI36+יוני!AI36</f>
        <v>168</v>
      </c>
      <c r="AJ37" s="234">
        <f>AJ36+יוני!AJ36</f>
        <v>6</v>
      </c>
      <c r="AK37" s="234">
        <f>AK36+יוני!AK36</f>
        <v>102</v>
      </c>
      <c r="AL37" s="234">
        <f>AL36+יוני!AL36</f>
        <v>9</v>
      </c>
      <c r="AM37" s="234">
        <f>AM36+יוני!AM36</f>
        <v>90</v>
      </c>
      <c r="AN37" s="234">
        <f>AN36+יוני!AN36</f>
        <v>1</v>
      </c>
      <c r="AO37" s="234">
        <f>AO36+יוני!AO36</f>
        <v>42</v>
      </c>
      <c r="AT37" s="478" t="s">
        <v>39</v>
      </c>
      <c r="AU37" s="479"/>
      <c r="AV37" s="480"/>
      <c r="AW37" s="481">
        <f>COUNTIF(AX4:AX35,"ל")+COUNTIF(AX4:AX35,"L")+COUNTIF(AX4:AX35,"ל2")</f>
        <v>8</v>
      </c>
      <c r="AX37" s="475"/>
      <c r="AY37" s="474">
        <f>COUNTIF(AZ4:AZ35,"ל")+COUNTIF(AZ4:AZ35,"L")+COUNTIF(AZ4:AZ35,"ל2")</f>
        <v>8</v>
      </c>
      <c r="AZ37" s="475"/>
      <c r="BA37" s="474">
        <f>COUNTIF(BB4:BB35,"ל")+COUNTIF(BB4:BB35,"L")+COUNTIF(BB4:BB35,"ל2")</f>
        <v>8</v>
      </c>
      <c r="BB37" s="475"/>
      <c r="BC37" s="474">
        <f>COUNTIF(BD4:BD35,"ל")+COUNTIF(BD4:BD35,"L")+COUNTIF(BD4:BD35,"ל2")</f>
        <v>8</v>
      </c>
      <c r="BD37" s="475"/>
      <c r="BE37" s="474">
        <f>COUNTIF(BF4:BF35,"ל")+COUNTIF(BF4:BF35,"L")+COUNTIF(BF4:BF35,"ל2")</f>
        <v>6</v>
      </c>
      <c r="BF37" s="475"/>
      <c r="BG37" s="474">
        <f>COUNTIF(BH4:BH35,"ל")+COUNTIF(BH4:BH35,"L")+COUNTIF(BH4:BH35,"ל2")</f>
        <v>7</v>
      </c>
      <c r="BH37" s="475"/>
      <c r="BI37" s="474">
        <f>COUNTIF(BJ4:BJ35,"ל")+COUNTIF(BJ4:BJ35,"L")+COUNTIF(BJ4:BJ35,"ל2")</f>
        <v>7</v>
      </c>
      <c r="BJ37" s="475"/>
      <c r="BK37" s="474">
        <f>COUNTIF(BL4:BL35,"ל")+COUNTIF(BL4:BL35,"L")+COUNTIF(BL4:BL35,"ל2")</f>
        <v>7</v>
      </c>
      <c r="BL37" s="475"/>
      <c r="BM37" s="474">
        <f>COUNTIF(BN4:BN35,"ל")+COUNTIF(BN4:BN35,"L")+COUNTIF(BN4:BN35,"ל2")</f>
        <v>8</v>
      </c>
      <c r="BN37" s="475"/>
      <c r="BO37" s="474">
        <f>COUNTIF(BP4:BP35,"ל")+COUNTIF(BP4:BP35,"L")+COUNTIF(BP4:BP35,"ל2")</f>
        <v>8</v>
      </c>
      <c r="BP37" s="475"/>
      <c r="BQ37" s="474">
        <f>COUNTIF(BR4:BR35,"ל")+COUNTIF(BR4:BR35,"L")+COUNTIF(BR4:BR35,"ל2")</f>
        <v>8</v>
      </c>
      <c r="BR37" s="475"/>
      <c r="BS37" s="474">
        <f>COUNTIF(BT4:BT35,"ל")+COUNTIF(BT4:BT35,"L")+COUNTIF(BT4:BT35,"ל2")</f>
        <v>7</v>
      </c>
      <c r="BT37" s="475"/>
      <c r="BU37" s="474">
        <f>COUNTIF(BV4:BV35,"ל")+COUNTIF(BV4:BV35,"L")+COUNTIF(BV4:BV35,"ל2")</f>
        <v>0</v>
      </c>
      <c r="BV37" s="475"/>
      <c r="BW37" s="474">
        <f>COUNTIF(BX4:BX35,"ל")+COUNTIF(BX4:BX35,"L")+COUNTIF(BX4:BX35,"ל2")</f>
        <v>8</v>
      </c>
      <c r="BX37" s="475"/>
      <c r="BY37" s="474">
        <f>COUNTIF(BZ4:BZ35,"ל")+COUNTIF(BZ4:BZ35,"L")+COUNTIF(BZ4:BZ35,"ל2")</f>
        <v>8</v>
      </c>
      <c r="BZ37" s="475"/>
      <c r="CA37" s="476">
        <f>COUNTIF(CB4:CB35,"ל")+COUNTIF(CB4:CB35,"L")+COUNTIF(CB4:CB35,"ל2")</f>
        <v>8</v>
      </c>
      <c r="CB37" s="477"/>
      <c r="CC37" s="471"/>
      <c r="CD37" s="472"/>
      <c r="CE37" s="473"/>
    </row>
    <row r="38" spans="1:89" s="63" customFormat="1" ht="15" customHeight="1" thickBot="1">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W38" s="488">
        <f>(AW36*12)+(AW37*12)+(COUNTIF(AX4:AX35,"ק")*8)+(COUNTIF(AX4:AX35,"ח")*8)+(COUNTIF(AX4:AX35,"מ")*8)+(COUNTIF(AX4:AX35,"מיל")*8)</f>
        <v>192</v>
      </c>
      <c r="AX38" s="487"/>
      <c r="AY38" s="486">
        <f>(AY36*12)+(AY37*12)+(COUNTIF(AZ4:AZ35,"ק")*8)+(COUNTIF(AZ4:AZ35,"ח")*8)+(COUNTIF(AZ4:AZ35,"מ")*8)+(COUNTIF(AZ4:AZ35,"מיל")*8)</f>
        <v>192</v>
      </c>
      <c r="AZ38" s="487"/>
      <c r="BA38" s="486">
        <f>(BA36*12)+(BA37*12)+(COUNTIF(BB4:BB35,"ק")*8)+(COUNTIF(BB4:BB35,"ח")*8)+(COUNTIF(BB4:BB35,"מ")*8)+(COUNTIF(BB4:BB35,"מיל")*8)</f>
        <v>192</v>
      </c>
      <c r="BB38" s="487"/>
      <c r="BC38" s="486">
        <f>(BC36*12)+(BC37*12)+(COUNTIF(BD4:BD35,"ק")*8)+(COUNTIF(BD4:BD35,"ח")*8)+(COUNTIF(BD4:BD35,"מ")*8)+(COUNTIF(BD4:BD35,"מיל")*8)</f>
        <v>192</v>
      </c>
      <c r="BD38" s="487"/>
      <c r="BE38" s="486">
        <f>(BE36*12)+(BE37*12)+(COUNTIF(BF4:BF35,"ק")*8)+(COUNTIF(BF4:BF35,"ח")*8)+(COUNTIF(BF4:BF35,"מ")*8)+(COUNTIF(BF4:BF35,"מיל")*8)</f>
        <v>164</v>
      </c>
      <c r="BF38" s="487"/>
      <c r="BG38" s="486">
        <f>(BG36*12)+(BG37*12)+(COUNTIF(BH4:BH35,"ק")*8)+(COUNTIF(BH4:BH35,"ח")*8)+(COUNTIF(BH4:BH35,"מ")*8)+(COUNTIF(BH4:BH35,"מיל")*8)</f>
        <v>180</v>
      </c>
      <c r="BH38" s="487"/>
      <c r="BI38" s="486">
        <f>(BI36*12)+(BI37*12)+(COUNTIF(BJ4:BJ35,"ק")*8)+(COUNTIF(BJ4:BJ35,"ח")*8)+(COUNTIF(BJ4:BJ35,"מ")*8)+(COUNTIF(BJ4:BJ35,"מיל")*8)</f>
        <v>180</v>
      </c>
      <c r="BJ38" s="487"/>
      <c r="BK38" s="486">
        <f>(BK36*12)+(BK37*12)+(COUNTIF(BL4:BL35,"ק")*8)+(COUNTIF(BL4:BL35,"ח")*8)+(COUNTIF(BL4:BL35,"מ")*8)+(COUNTIF(BL4:BL35,"מיל")*8)</f>
        <v>180</v>
      </c>
      <c r="BL38" s="487"/>
      <c r="BM38" s="486">
        <f>(BM36*12)+(BM37*12)+(COUNTIF(BN4:BN35,"ק")*8)+(COUNTIF(BN4:BN35,"ח")*8)+(COUNTIF(BN4:BN35,"מ")*8)+(COUNTIF(BN4:BN35,"מיל")*8)</f>
        <v>180</v>
      </c>
      <c r="BN38" s="487"/>
      <c r="BO38" s="486">
        <f>(BO36*12)+(BO37*12)+(COUNTIF(BP4:BP35,"ק")*8)+(COUNTIF(BP4:BP35,"ח")*8)+(COUNTIF(BP4:BP35,"מ")*8)+(COUNTIF(BP4:BP35,"מיל")*8)</f>
        <v>180</v>
      </c>
      <c r="BP38" s="487"/>
      <c r="BQ38" s="486">
        <f>(BQ36*12)+(BQ37*12)+(COUNTIF(BR4:BR35,"ק")*8)+(COUNTIF(BR4:BR35,"ח")*8)+(COUNTIF(BR4:BR35,"מ")*8)+(COUNTIF(BR4:BR35,"מיל")*8)</f>
        <v>180</v>
      </c>
      <c r="BR38" s="487"/>
      <c r="BS38" s="486">
        <f>(BS36*12)+(BS37*12)+(COUNTIF(BT4:BT35,"ק")*8)+(COUNTIF(BT4:BT35,"ח")*8)+(COUNTIF(BT4:BT35,"מ")*8)+(COUNTIF(BT4:BT35,"מיל")*8)</f>
        <v>156</v>
      </c>
      <c r="BT38" s="487"/>
      <c r="BU38" s="486">
        <f>(BU36*12)+(BU37*12)+(COUNTIF(BV4:BV35,"ק")*8)+(COUNTIF(BV4:BV35,"ח")*8)+(COUNTIF(BV4:BV35,"מ")*8)+(COUNTIF(BV4:BV35,"מיל")*8)</f>
        <v>0</v>
      </c>
      <c r="BV38" s="487"/>
      <c r="BW38" s="486">
        <f>(BW36*12)+(BW37*12)+(COUNTIF(BX4:BX35,"ק")*8)+(COUNTIF(BX4:BX35,"ח")*8)+(COUNTIF(BX4:BX35,"מ")*8)+(COUNTIF(BX4:BX35,"מיל")*8)</f>
        <v>192</v>
      </c>
      <c r="BX38" s="487"/>
      <c r="BY38" s="486">
        <f>(BY36*12)+(BY37*12)+(COUNTIF(BZ4:BZ35,"ק")*8)+(COUNTIF(BZ4:BZ35,"ח")*8)+(COUNTIF(BZ4:BZ35,"מ")*8)+(COUNTIF(BZ4:BZ35,"מיל")*8)</f>
        <v>192</v>
      </c>
      <c r="BZ38" s="487"/>
      <c r="CA38" s="486">
        <f>(CA36*12)+(CA37*12)+(COUNTIF(CB4:CB35,"ק")*8)+(COUNTIF(CB4:CB35,"ח")*8)+(COUNTIF(CB4:CB35,"מ")*8)+(COUNTIF(CB4:CB35,"מיל")*8)</f>
        <v>192</v>
      </c>
      <c r="CB38" s="496"/>
      <c r="CC38" s="497">
        <v>176</v>
      </c>
      <c r="CD38" s="498"/>
      <c r="CE38" s="499"/>
    </row>
    <row r="39" spans="1:89" ht="15" customHeight="1" thickBot="1">
      <c r="AW39" s="500">
        <f>AW38-CC38</f>
        <v>16</v>
      </c>
      <c r="AX39" s="491"/>
      <c r="AY39" s="490">
        <f>AY38-CC38</f>
        <v>16</v>
      </c>
      <c r="AZ39" s="491"/>
      <c r="BA39" s="490">
        <f>BA38-CC38</f>
        <v>16</v>
      </c>
      <c r="BB39" s="491"/>
      <c r="BC39" s="490">
        <f>BC38-CC38</f>
        <v>16</v>
      </c>
      <c r="BD39" s="491"/>
      <c r="BE39" s="490">
        <f>BE38-CC38</f>
        <v>-12</v>
      </c>
      <c r="BF39" s="491"/>
      <c r="BG39" s="490">
        <f>BG38-CC38</f>
        <v>4</v>
      </c>
      <c r="BH39" s="491"/>
      <c r="BI39" s="490">
        <f>BI38-CC38</f>
        <v>4</v>
      </c>
      <c r="BJ39" s="491"/>
      <c r="BK39" s="490">
        <f>BK38-CC38</f>
        <v>4</v>
      </c>
      <c r="BL39" s="491"/>
      <c r="BM39" s="490">
        <f>BM38-CC38</f>
        <v>4</v>
      </c>
      <c r="BN39" s="491"/>
      <c r="BO39" s="490">
        <f>BO38-CC38</f>
        <v>4</v>
      </c>
      <c r="BP39" s="491"/>
      <c r="BQ39" s="490">
        <f>BQ38-CC38</f>
        <v>4</v>
      </c>
      <c r="BR39" s="491"/>
      <c r="BS39" s="490">
        <f>BS38-CC38</f>
        <v>-20</v>
      </c>
      <c r="BT39" s="491"/>
      <c r="BU39" s="490">
        <f>BU38-CC38</f>
        <v>-176</v>
      </c>
      <c r="BV39" s="491"/>
      <c r="BW39" s="490">
        <f>BW38-CC38</f>
        <v>16</v>
      </c>
      <c r="BX39" s="491"/>
      <c r="BY39" s="490">
        <f>BY38-CC38</f>
        <v>16</v>
      </c>
      <c r="BZ39" s="491"/>
      <c r="CA39" s="492">
        <f>CA38-CC38</f>
        <v>16</v>
      </c>
      <c r="CB39" s="493"/>
      <c r="CC39" s="494" t="s">
        <v>222</v>
      </c>
      <c r="CD39" s="494"/>
      <c r="CE39" s="495"/>
    </row>
  </sheetData>
  <customSheetViews>
    <customSheetView guid="{C6961C98-214A-4770-9A2D-B399A95C6C8B}" scale="80">
      <pane ySplit="4" topLeftCell="A5" activePane="bottomLeft" state="frozen"/>
      <selection pane="bottomLeft" activeCell="D5" sqref="D5"/>
      <pageMargins left="0.7" right="0.7" top="0.75" bottom="0.75" header="0.3" footer="0.3"/>
      <pageSetup paperSize="9" orientation="portrait" r:id="rId1"/>
    </customSheetView>
    <customSheetView guid="{A704065A-5B6F-476C-AE5F-F67C013164B0}" scale="80">
      <pane ySplit="4" topLeftCell="A5" activePane="bottomLeft" state="frozen"/>
      <selection pane="bottomLeft" activeCell="Q19" sqref="Q19"/>
      <pageMargins left="0.7" right="0.7" top="0.75" bottom="0.75" header="0.3" footer="0.3"/>
      <pageSetup paperSize="9" orientation="portrait" r:id="rId2"/>
    </customSheetView>
    <customSheetView guid="{319CE2B6-D20C-48B8-B7D9-15D19162A7CD}" scale="80">
      <pane ySplit="4" topLeftCell="A5" activePane="bottomLeft" state="frozen"/>
      <selection pane="bottomLeft" activeCell="D5" sqref="D5"/>
      <pageMargins left="0.7" right="0.7" top="0.75" bottom="0.75" header="0.3" footer="0.3"/>
      <pageSetup paperSize="9" orientation="portrait" r:id="rId3"/>
    </customSheetView>
    <customSheetView guid="{C5360886-767B-4F33-B24F-A6512AA390CC}" scale="80" topLeftCell="AI1">
      <pane ySplit="4" topLeftCell="A5" activePane="bottomLeft" state="frozen"/>
      <selection pane="bottomLeft" activeCell="BC43" sqref="BC43"/>
      <pageMargins left="0.7" right="0.7" top="0.75" bottom="0.75" header="0.3" footer="0.3"/>
      <pageSetup paperSize="9" orientation="portrait" r:id="rId4"/>
    </customSheetView>
    <customSheetView guid="{9C777CA9-4E1C-4A90-9032-5D0586052FC8}" scale="80">
      <pane ySplit="4" topLeftCell="A5" activePane="bottomLeft" state="frozen"/>
      <selection pane="bottomLeft" activeCell="D5" sqref="D5"/>
      <pageMargins left="0.7" right="0.7" top="0.75" bottom="0.75" header="0.3" footer="0.3"/>
      <pageSetup paperSize="9" orientation="portrait" r:id="rId5"/>
    </customSheetView>
    <customSheetView guid="{FEBD343F-EB1E-4B3A-B093-25A74DB60DAB}" scale="80" topLeftCell="I1">
      <selection activeCell="AJ32" sqref="AJ32"/>
      <pageMargins left="0.7" right="0.7" top="0.75" bottom="0.75" header="0.3" footer="0.3"/>
      <pageSetup paperSize="9" orientation="portrait" r:id="rId6"/>
    </customSheetView>
    <customSheetView guid="{1D39CB39-D8E6-4DA4-ABBA-40E2E6F11928}" scale="80">
      <pane ySplit="4" topLeftCell="A5" activePane="bottomLeft" state="frozen"/>
      <selection pane="bottomLeft" activeCell="P35" sqref="P35"/>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D5" sqref="D5"/>
      <pageMargins left="0.7" right="0.7" top="0.75" bottom="0.75" header="0.3" footer="0.3"/>
      <pageSetup paperSize="9" orientation="portrait" r:id="rId8"/>
    </customSheetView>
    <customSheetView guid="{03543009-41DE-4C7D-B8BE-69526021AF29}" scale="80">
      <pane ySplit="4" topLeftCell="A5" activePane="bottomLeft" state="frozen"/>
      <selection pane="bottomLeft" activeCell="D5" sqref="D5"/>
      <pageMargins left="0.7" right="0.7" top="0.75" bottom="0.75" header="0.3" footer="0.3"/>
      <pageSetup paperSize="9" orientation="portrait" r:id="rId9"/>
    </customSheetView>
    <customSheetView guid="{03CD1AFD-FDA7-4904-966E-FB90CD2C490F}" scale="80">
      <pane ySplit="3" topLeftCell="A5" activePane="bottomLeft" state="frozen"/>
      <selection pane="bottomLeft" activeCell="AB4" sqref="AB4:AC4"/>
      <pageMargins left="0.7" right="0.7" top="0.75" bottom="0.75" header="0.3" footer="0.3"/>
      <pageSetup paperSize="9" orientation="portrait" r:id="rId10"/>
    </customSheetView>
  </customSheetViews>
  <mergeCells count="235">
    <mergeCell ref="BU39:BV39"/>
    <mergeCell ref="BW39:BX39"/>
    <mergeCell ref="C5:C8"/>
    <mergeCell ref="C9:C15"/>
    <mergeCell ref="C16:C22"/>
    <mergeCell ref="C23:C29"/>
    <mergeCell ref="C30:C35"/>
    <mergeCell ref="AV5:AV8"/>
    <mergeCell ref="AV9:AV15"/>
    <mergeCell ref="AV16:AV22"/>
    <mergeCell ref="AV23:AV29"/>
    <mergeCell ref="AV30:AV35"/>
    <mergeCell ref="AP15:AQ15"/>
    <mergeCell ref="AP16:AQ16"/>
    <mergeCell ref="AW38:AX38"/>
    <mergeCell ref="AY38:AZ38"/>
    <mergeCell ref="BA38:BB38"/>
    <mergeCell ref="BC38:BD38"/>
    <mergeCell ref="BE38:BF38"/>
    <mergeCell ref="BG38:BH38"/>
    <mergeCell ref="BI38:BJ38"/>
    <mergeCell ref="BK38:BL38"/>
    <mergeCell ref="BM38:BN38"/>
    <mergeCell ref="AT37:AV37"/>
    <mergeCell ref="CA38:CB38"/>
    <mergeCell ref="BY36:BZ36"/>
    <mergeCell ref="CC38:CE38"/>
    <mergeCell ref="AW39:AX39"/>
    <mergeCell ref="AY39:AZ39"/>
    <mergeCell ref="BA39:BB39"/>
    <mergeCell ref="BC39:BD39"/>
    <mergeCell ref="BE39:BF39"/>
    <mergeCell ref="BG39:BH39"/>
    <mergeCell ref="BI39:BJ39"/>
    <mergeCell ref="BK39:BL39"/>
    <mergeCell ref="BO38:BP38"/>
    <mergeCell ref="BQ38:BR38"/>
    <mergeCell ref="BS38:BT38"/>
    <mergeCell ref="BU38:BV38"/>
    <mergeCell ref="BW38:BX38"/>
    <mergeCell ref="BY38:BZ38"/>
    <mergeCell ref="BY39:BZ39"/>
    <mergeCell ref="CA39:CB39"/>
    <mergeCell ref="CC39:CE39"/>
    <mergeCell ref="BM39:BN39"/>
    <mergeCell ref="BO39:BP39"/>
    <mergeCell ref="BQ39:BR39"/>
    <mergeCell ref="BS39:BT39"/>
    <mergeCell ref="CA36:CB36"/>
    <mergeCell ref="CC36:CE37"/>
    <mergeCell ref="BS37:BT37"/>
    <mergeCell ref="BU37:BV37"/>
    <mergeCell ref="BW37:BX37"/>
    <mergeCell ref="BY37:BZ37"/>
    <mergeCell ref="BG36:BH36"/>
    <mergeCell ref="BI36:BJ36"/>
    <mergeCell ref="BK36:BL36"/>
    <mergeCell ref="BM36:BN36"/>
    <mergeCell ref="BO36:BP36"/>
    <mergeCell ref="BQ36:BR36"/>
    <mergeCell ref="CA37:CB37"/>
    <mergeCell ref="BG37:BH37"/>
    <mergeCell ref="BI37:BJ37"/>
    <mergeCell ref="BK37:BL37"/>
    <mergeCell ref="BM37:BN37"/>
    <mergeCell ref="BO37:BP37"/>
    <mergeCell ref="BQ37:BR37"/>
    <mergeCell ref="AW37:AX37"/>
    <mergeCell ref="AY37:AZ37"/>
    <mergeCell ref="BA37:BB37"/>
    <mergeCell ref="BC37:BD37"/>
    <mergeCell ref="BE37:BF37"/>
    <mergeCell ref="BS36:BT36"/>
    <mergeCell ref="BU36:BV36"/>
    <mergeCell ref="BW36:BX36"/>
    <mergeCell ref="AT36:AV36"/>
    <mergeCell ref="AW36:AX36"/>
    <mergeCell ref="AY36:AZ36"/>
    <mergeCell ref="BA36:BB36"/>
    <mergeCell ref="BC36:BD36"/>
    <mergeCell ref="BE36:BF36"/>
    <mergeCell ref="CJ31:CK31"/>
    <mergeCell ref="AP32:AQ32"/>
    <mergeCell ref="CJ32:CK32"/>
    <mergeCell ref="AP33:AQ33"/>
    <mergeCell ref="CJ33:CK33"/>
    <mergeCell ref="AP35:AQ35"/>
    <mergeCell ref="CJ35:CK35"/>
    <mergeCell ref="AP26:AQ26"/>
    <mergeCell ref="CJ26:CK26"/>
    <mergeCell ref="CJ27:CK27"/>
    <mergeCell ref="CJ28:CK28"/>
    <mergeCell ref="CJ29:CK29"/>
    <mergeCell ref="CJ30:CK30"/>
    <mergeCell ref="AP31:AQ31"/>
    <mergeCell ref="AP27:AQ27"/>
    <mergeCell ref="AP28:AQ28"/>
    <mergeCell ref="AP29:AQ29"/>
    <mergeCell ref="AP30:AQ30"/>
    <mergeCell ref="AP34:AQ34"/>
    <mergeCell ref="CJ34:CK34"/>
    <mergeCell ref="CE23:CE29"/>
    <mergeCell ref="CE30:CE35"/>
    <mergeCell ref="AP23:AQ23"/>
    <mergeCell ref="CJ23:CK23"/>
    <mergeCell ref="CJ24:CK24"/>
    <mergeCell ref="AP25:AQ25"/>
    <mergeCell ref="CJ25:CK25"/>
    <mergeCell ref="AP18:AQ18"/>
    <mergeCell ref="CJ18:CK18"/>
    <mergeCell ref="AP22:AQ22"/>
    <mergeCell ref="AP24:AQ24"/>
    <mergeCell ref="CE16:CE22"/>
    <mergeCell ref="AP19:AQ19"/>
    <mergeCell ref="CJ19:CK19"/>
    <mergeCell ref="AP20:AQ20"/>
    <mergeCell ref="CJ20:CK20"/>
    <mergeCell ref="AP21:AQ21"/>
    <mergeCell ref="AP14:AQ14"/>
    <mergeCell ref="CJ14:CK14"/>
    <mergeCell ref="CJ15:CK15"/>
    <mergeCell ref="CJ16:CK16"/>
    <mergeCell ref="AP17:AQ17"/>
    <mergeCell ref="CJ17:CK17"/>
    <mergeCell ref="CJ21:CK21"/>
    <mergeCell ref="CJ22:CK22"/>
    <mergeCell ref="CJ5:CK5"/>
    <mergeCell ref="AP6:AQ6"/>
    <mergeCell ref="CJ6:CK6"/>
    <mergeCell ref="AP7:AQ7"/>
    <mergeCell ref="CJ7:CK7"/>
    <mergeCell ref="AP8:AQ8"/>
    <mergeCell ref="CJ8:CK8"/>
    <mergeCell ref="AP9:AQ9"/>
    <mergeCell ref="CJ9:CK9"/>
    <mergeCell ref="AP5:AQ5"/>
    <mergeCell ref="CE5:CE8"/>
    <mergeCell ref="CE9:CE15"/>
    <mergeCell ref="CJ10:CK10"/>
    <mergeCell ref="AP11:AQ11"/>
    <mergeCell ref="CJ11:CK11"/>
    <mergeCell ref="AP12:AQ12"/>
    <mergeCell ref="CJ12:CK12"/>
    <mergeCell ref="AP13:AQ13"/>
    <mergeCell ref="CJ13:CK13"/>
    <mergeCell ref="AP10:AQ10"/>
    <mergeCell ref="R4:S4"/>
    <mergeCell ref="T4:U4"/>
    <mergeCell ref="V4:W4"/>
    <mergeCell ref="X4:Y4"/>
    <mergeCell ref="BS4:BT4"/>
    <mergeCell ref="BU4:BV4"/>
    <mergeCell ref="BW4:BX4"/>
    <mergeCell ref="BY4:BZ4"/>
    <mergeCell ref="CA4:CB4"/>
    <mergeCell ref="Z4:AA4"/>
    <mergeCell ref="AB4:AC4"/>
    <mergeCell ref="AF4:AG4"/>
    <mergeCell ref="BG4:BH4"/>
    <mergeCell ref="BI4:BJ4"/>
    <mergeCell ref="BK4:BL4"/>
    <mergeCell ref="BM4:BN4"/>
    <mergeCell ref="BO4:BP4"/>
    <mergeCell ref="BQ4:BR4"/>
    <mergeCell ref="AN4:AO4"/>
    <mergeCell ref="AW4:AX4"/>
    <mergeCell ref="AY4:AZ4"/>
    <mergeCell ref="BA4:BB4"/>
    <mergeCell ref="BC4:BD4"/>
    <mergeCell ref="BE4:BF4"/>
    <mergeCell ref="N4:O4"/>
    <mergeCell ref="P4:Q4"/>
    <mergeCell ref="AD4:AE4"/>
    <mergeCell ref="D4:E4"/>
    <mergeCell ref="F4:G4"/>
    <mergeCell ref="H4:I4"/>
    <mergeCell ref="J4:K4"/>
    <mergeCell ref="L4:M4"/>
    <mergeCell ref="AH4:AI4"/>
    <mergeCell ref="AJ4:AK4"/>
    <mergeCell ref="AL4:AM4"/>
    <mergeCell ref="AB3:AC3"/>
    <mergeCell ref="AF3:AG3"/>
    <mergeCell ref="AH3:AI3"/>
    <mergeCell ref="AJ3:AK3"/>
    <mergeCell ref="AL3:AM3"/>
    <mergeCell ref="AN3:AO3"/>
    <mergeCell ref="P3:Q3"/>
    <mergeCell ref="R3:S3"/>
    <mergeCell ref="T3:U3"/>
    <mergeCell ref="V3:W3"/>
    <mergeCell ref="X3:Y3"/>
    <mergeCell ref="Z3:AA3"/>
    <mergeCell ref="BM2:BT2"/>
    <mergeCell ref="BU2:CB2"/>
    <mergeCell ref="AW3:AX3"/>
    <mergeCell ref="AY3:AZ3"/>
    <mergeCell ref="BA3:BB3"/>
    <mergeCell ref="BC3:BD3"/>
    <mergeCell ref="BW3:BX3"/>
    <mergeCell ref="BY3:BZ3"/>
    <mergeCell ref="CA3:CB3"/>
    <mergeCell ref="BE3:BF3"/>
    <mergeCell ref="BG3:BH3"/>
    <mergeCell ref="BI3:BJ3"/>
    <mergeCell ref="BK3:BL3"/>
    <mergeCell ref="BM3:BN3"/>
    <mergeCell ref="BO3:BP3"/>
    <mergeCell ref="BS3:BT3"/>
    <mergeCell ref="BU3:BV3"/>
    <mergeCell ref="BQ3:BR3"/>
    <mergeCell ref="CF2:CG3"/>
    <mergeCell ref="CH2:CI3"/>
    <mergeCell ref="CJ2:CK4"/>
    <mergeCell ref="AD3:AE3"/>
    <mergeCell ref="D3:E3"/>
    <mergeCell ref="F3:G3"/>
    <mergeCell ref="H3:I3"/>
    <mergeCell ref="A1:C4"/>
    <mergeCell ref="D1:AS1"/>
    <mergeCell ref="AT1:AV4"/>
    <mergeCell ref="AW1:CB1"/>
    <mergeCell ref="CC1:CE4"/>
    <mergeCell ref="D2:W2"/>
    <mergeCell ref="X2:Y2"/>
    <mergeCell ref="Z2:AA2"/>
    <mergeCell ref="AF2:AG2"/>
    <mergeCell ref="AH2:AO2"/>
    <mergeCell ref="J3:K3"/>
    <mergeCell ref="L3:M3"/>
    <mergeCell ref="N3:O3"/>
    <mergeCell ref="AP2:AQ4"/>
    <mergeCell ref="AR2:AS3"/>
    <mergeCell ref="AW2:BD2"/>
    <mergeCell ref="BE2:BL2"/>
  </mergeCells>
  <phoneticPr fontId="27" type="noConversion"/>
  <conditionalFormatting sqref="A1:C4 X2:AH2 AP2 AR2 D3:N3 AD3:AE24 D4:Q4 AR4:AS4 C5 AH5:AS11 D5:X13 A5:B35 Y5:AG35 D14:P15 R14:X15 D16:X35 AH17:AO17 AI18:AO18 AH19:AH20 AJ19:AQ20 AH21:AP22 AH23:AO23 AI24:AP25 AH26:AP31 AH32:AQ32 AH33:AS33 AH34:AP34 AR34:AS34 AH35:AS35">
    <cfRule type="cellIs" dxfId="6230" priority="1196" operator="equal">
      <formula>"כש"</formula>
    </cfRule>
    <cfRule type="cellIs" dxfId="6229" priority="1187" operator="equal">
      <formula>"י"</formula>
    </cfRule>
    <cfRule type="cellIs" dxfId="6228" priority="1189" operator="equal">
      <formula>"כמש"</formula>
    </cfRule>
    <cfRule type="cellIs" dxfId="6227" priority="1186" operator="equal">
      <formula>"ל"</formula>
    </cfRule>
    <cfRule type="cellIs" dxfId="6226" priority="1194" operator="equal">
      <formula>"מיל"</formula>
    </cfRule>
    <cfRule type="cellIs" dxfId="6225" priority="1193" operator="equal">
      <formula>"מנוחה"</formula>
    </cfRule>
    <cfRule type="cellIs" dxfId="6224" priority="1192" operator="equal">
      <formula>"מ"</formula>
    </cfRule>
    <cfRule type="cellIs" dxfId="6223" priority="1197" operator="equal">
      <formula>"כ"</formula>
    </cfRule>
    <cfRule type="cellIs" dxfId="6222" priority="1191" operator="equal">
      <formula>"ק"</formula>
    </cfRule>
    <cfRule type="cellIs" dxfId="6221" priority="1190" operator="equal">
      <formula>"כמ"</formula>
    </cfRule>
  </conditionalFormatting>
  <conditionalFormatting sqref="D3:N3 AD3:AE4 D4:S4">
    <cfRule type="cellIs" dxfId="6220" priority="927" operator="equal">
      <formula>"ח"</formula>
    </cfRule>
  </conditionalFormatting>
  <conditionalFormatting sqref="P3:Q3">
    <cfRule type="cellIs" dxfId="6219" priority="926" operator="equal">
      <formula>"מיל"</formula>
    </cfRule>
    <cfRule type="cellIs" dxfId="6218" priority="925" operator="equal">
      <formula>"מנוחה"</formula>
    </cfRule>
    <cfRule type="cellIs" dxfId="6217" priority="924" operator="equal">
      <formula>"מ"</formula>
    </cfRule>
    <cfRule type="cellIs" dxfId="6216" priority="923" operator="equal">
      <formula>"ק"</formula>
    </cfRule>
    <cfRule type="cellIs" dxfId="6215" priority="922" operator="equal">
      <formula>"כמ"</formula>
    </cfRule>
    <cfRule type="cellIs" dxfId="6214" priority="921" operator="equal">
      <formula>"כמש"</formula>
    </cfRule>
    <cfRule type="cellIs" dxfId="6213" priority="920" operator="equal">
      <formula>"י"</formula>
    </cfRule>
    <cfRule type="cellIs" dxfId="6212" priority="919" operator="equal">
      <formula>"ל"</formula>
    </cfRule>
    <cfRule type="cellIs" dxfId="6211" priority="929" operator="equal">
      <formula>"כ"</formula>
    </cfRule>
    <cfRule type="cellIs" dxfId="6210" priority="928" operator="equal">
      <formula>"כש"</formula>
    </cfRule>
  </conditionalFormatting>
  <conditionalFormatting sqref="P3:W3">
    <cfRule type="cellIs" dxfId="6209" priority="894" operator="equal">
      <formula>"ח"</formula>
    </cfRule>
  </conditionalFormatting>
  <conditionalFormatting sqref="R3:AO4">
    <cfRule type="cellIs" dxfId="6208" priority="804" operator="equal">
      <formula>"מנוחה"</formula>
    </cfRule>
    <cfRule type="cellIs" dxfId="6207" priority="803" operator="equal">
      <formula>"מ"</formula>
    </cfRule>
    <cfRule type="cellIs" dxfId="6206" priority="802" operator="equal">
      <formula>"ק"</formula>
    </cfRule>
    <cfRule type="cellIs" dxfId="6205" priority="801" operator="equal">
      <formula>"כמ"</formula>
    </cfRule>
    <cfRule type="cellIs" dxfId="6204" priority="800" operator="equal">
      <formula>"כמש"</formula>
    </cfRule>
    <cfRule type="cellIs" dxfId="6203" priority="799" operator="equal">
      <formula>"י"</formula>
    </cfRule>
    <cfRule type="cellIs" dxfId="6202" priority="807" operator="equal">
      <formula>"כש"</formula>
    </cfRule>
    <cfRule type="cellIs" dxfId="6201" priority="808" operator="equal">
      <formula>"כ"</formula>
    </cfRule>
    <cfRule type="cellIs" dxfId="6200" priority="798" operator="equal">
      <formula>"ל"</formula>
    </cfRule>
    <cfRule type="cellIs" dxfId="6199" priority="805" operator="equal">
      <formula>"מיל"</formula>
    </cfRule>
  </conditionalFormatting>
  <conditionalFormatting sqref="T4:W4">
    <cfRule type="cellIs" dxfId="6198" priority="828" operator="equal">
      <formula>"ח"</formula>
    </cfRule>
  </conditionalFormatting>
  <conditionalFormatting sqref="X4:Y4">
    <cfRule type="cellIs" dxfId="6197" priority="938" operator="equal">
      <formula>"ח"</formula>
    </cfRule>
  </conditionalFormatting>
  <conditionalFormatting sqref="AH12:AP16 AR12:AS32">
    <cfRule type="cellIs" dxfId="6196" priority="1178" operator="equal">
      <formula>"כמ"</formula>
    </cfRule>
    <cfRule type="cellIs" dxfId="6195" priority="1180" operator="equal">
      <formula>"מ"</formula>
    </cfRule>
    <cfRule type="cellIs" dxfId="6194" priority="1179" operator="equal">
      <formula>"ק"</formula>
    </cfRule>
    <cfRule type="cellIs" dxfId="6193" priority="1184" operator="equal">
      <formula>"כש"</formula>
    </cfRule>
    <cfRule type="cellIs" dxfId="6192" priority="1182" operator="equal">
      <formula>"מיל"</formula>
    </cfRule>
    <cfRule type="cellIs" dxfId="6191" priority="1181" operator="equal">
      <formula>"מנוחה"</formula>
    </cfRule>
    <cfRule type="cellIs" dxfId="6190" priority="1174" operator="equal">
      <formula>"ל"</formula>
    </cfRule>
    <cfRule type="cellIs" dxfId="6189" priority="1185" operator="equal">
      <formula>"כ"</formula>
    </cfRule>
    <cfRule type="cellIs" dxfId="6188" priority="1175" operator="equal">
      <formula>"י"</formula>
    </cfRule>
    <cfRule type="cellIs" dxfId="6187" priority="1177" operator="equal">
      <formula>"כמש"</formula>
    </cfRule>
  </conditionalFormatting>
  <conditionalFormatting sqref="AL4:AO4">
    <cfRule type="cellIs" dxfId="6186" priority="806" operator="equal">
      <formula>"ח"</formula>
    </cfRule>
  </conditionalFormatting>
  <conditionalFormatting sqref="AP14:AP16 AR14:AS17">
    <cfRule type="cellIs" dxfId="6185" priority="1183" operator="equal">
      <formula>"ח"</formula>
    </cfRule>
  </conditionalFormatting>
  <conditionalFormatting sqref="AP17:AQ18">
    <cfRule type="cellIs" dxfId="6184" priority="1168" operator="equal">
      <formula>"מ"</formula>
    </cfRule>
    <cfRule type="cellIs" dxfId="6183" priority="1167" operator="equal">
      <formula>"ק"</formula>
    </cfRule>
    <cfRule type="cellIs" dxfId="6182" priority="1166" operator="equal">
      <formula>"כמ"</formula>
    </cfRule>
    <cfRule type="cellIs" dxfId="6181" priority="1165" operator="equal">
      <formula>"כמש"</formula>
    </cfRule>
    <cfRule type="cellIs" dxfId="6180" priority="1163" operator="equal">
      <formula>"ל"</formula>
    </cfRule>
    <cfRule type="cellIs" dxfId="6179" priority="1169" operator="equal">
      <formula>"מנוחה"</formula>
    </cfRule>
    <cfRule type="cellIs" dxfId="6178" priority="1164" operator="equal">
      <formula>"י"</formula>
    </cfRule>
    <cfRule type="cellIs" dxfId="6177" priority="1170" operator="equal">
      <formula>"מיל"</formula>
    </cfRule>
    <cfRule type="cellIs" dxfId="6176" priority="1171" operator="equal">
      <formula>"ח"</formula>
    </cfRule>
    <cfRule type="cellIs" dxfId="6175" priority="1172" operator="equal">
      <formula>"כש"</formula>
    </cfRule>
    <cfRule type="cellIs" dxfId="6174" priority="1173" operator="equal">
      <formula>"כ"</formula>
    </cfRule>
  </conditionalFormatting>
  <conditionalFormatting sqref="AT1:AV4">
    <cfRule type="cellIs" dxfId="6173" priority="795" operator="equal">
      <formula>"ח"</formula>
    </cfRule>
    <cfRule type="cellIs" dxfId="6172" priority="793" operator="equal">
      <formula>"מנוחה"</formula>
    </cfRule>
    <cfRule type="cellIs" dxfId="6171" priority="792" operator="equal">
      <formula>"מ"</formula>
    </cfRule>
    <cfRule type="cellIs" dxfId="6170" priority="797" operator="equal">
      <formula>"כ"</formula>
    </cfRule>
    <cfRule type="cellIs" dxfId="6169" priority="796" operator="equal">
      <formula>"כש"</formula>
    </cfRule>
    <cfRule type="cellIs" dxfId="6168" priority="794" operator="equal">
      <formula>"מיל"</formula>
    </cfRule>
    <cfRule type="cellIs" dxfId="6167" priority="791" operator="equal">
      <formula>"ק"</formula>
    </cfRule>
    <cfRule type="cellIs" dxfId="6166" priority="790" operator="equal">
      <formula>"כמ"</formula>
    </cfRule>
    <cfRule type="cellIs" dxfId="6165" priority="788" operator="equal">
      <formula>"י"</formula>
    </cfRule>
    <cfRule type="cellIs" dxfId="6164" priority="789" operator="equal">
      <formula>"כמש"</formula>
    </cfRule>
    <cfRule type="cellIs" dxfId="6163" priority="787" operator="equal">
      <formula>"ל"</formula>
    </cfRule>
  </conditionalFormatting>
  <conditionalFormatting sqref="AV5 AT5:AU35">
    <cfRule type="cellIs" dxfId="6162" priority="765" operator="equal">
      <formula>"ל"</formula>
    </cfRule>
    <cfRule type="cellIs" dxfId="6161" priority="766" operator="equal">
      <formula>"י"</formula>
    </cfRule>
    <cfRule type="cellIs" dxfId="6160" priority="767" operator="equal">
      <formula>"כמש"</formula>
    </cfRule>
    <cfRule type="cellIs" dxfId="6159" priority="768" operator="equal">
      <formula>"כמ"</formula>
    </cfRule>
    <cfRule type="cellIs" dxfId="6158" priority="769" operator="equal">
      <formula>"ק"</formula>
    </cfRule>
    <cfRule type="cellIs" dxfId="6157" priority="770" operator="equal">
      <formula>"מ"</formula>
    </cfRule>
    <cfRule type="cellIs" dxfId="6156" priority="771" operator="equal">
      <formula>"מנוחה"</formula>
    </cfRule>
    <cfRule type="cellIs" dxfId="6155" priority="773" operator="equal">
      <formula>"ח"</formula>
    </cfRule>
    <cfRule type="cellIs" dxfId="6154" priority="774" operator="equal">
      <formula>"כש"</formula>
    </cfRule>
    <cfRule type="cellIs" dxfId="6153" priority="775" operator="equal">
      <formula>"כ"</formula>
    </cfRule>
    <cfRule type="cellIs" dxfId="6152" priority="772" operator="equal">
      <formula>"מיל"</formula>
    </cfRule>
  </conditionalFormatting>
  <conditionalFormatting sqref="AW39 AY39 BA39 BC39 BE39 BG39 BI39 BK39 BM39 BO39 BQ39 BS39 BU39 BW39 BY39 CA39:CB39">
    <cfRule type="cellIs" dxfId="6151" priority="941" operator="lessThan">
      <formula>$CE$39</formula>
    </cfRule>
    <cfRule type="cellIs" dxfId="6150" priority="942" operator="greaterThan">
      <formula>$CE$39</formula>
    </cfRule>
  </conditionalFormatting>
  <conditionalFormatting sqref="AW5:BL35">
    <cfRule type="cellIs" dxfId="6149" priority="1052" operator="equal">
      <formula>"כ"</formula>
    </cfRule>
    <cfRule type="cellIs" dxfId="6148" priority="1051" operator="equal">
      <formula>"כש"</formula>
    </cfRule>
  </conditionalFormatting>
  <conditionalFormatting sqref="AW2:CB2 AW3:AZ3 BE3:BO3 AW4:AY4 BE4 BG4 BI4 BK4:BM4 BO4 BS4:BU4 BW4 BY4 CA4">
    <cfRule type="cellIs" dxfId="6147" priority="856" operator="equal">
      <formula>"כמ"</formula>
    </cfRule>
    <cfRule type="cellIs" dxfId="6146" priority="853" operator="equal">
      <formula>"ל"</formula>
    </cfRule>
    <cfRule type="cellIs" dxfId="6145" priority="854" operator="equal">
      <formula>"י"</formula>
    </cfRule>
    <cfRule type="cellIs" dxfId="6144" priority="855" operator="equal">
      <formula>"כמש"</formula>
    </cfRule>
    <cfRule type="cellIs" dxfId="6143" priority="857" operator="equal">
      <formula>"ק"</formula>
    </cfRule>
    <cfRule type="cellIs" dxfId="6142" priority="863" operator="equal">
      <formula>"כ"</formula>
    </cfRule>
    <cfRule type="cellIs" dxfId="6141" priority="858" operator="equal">
      <formula>"מ"</formula>
    </cfRule>
    <cfRule type="cellIs" dxfId="6140" priority="859" operator="equal">
      <formula>"מנוחה"</formula>
    </cfRule>
    <cfRule type="cellIs" dxfId="6139" priority="860" operator="equal">
      <formula>"מיל"</formula>
    </cfRule>
    <cfRule type="cellIs" dxfId="6138" priority="861" operator="equal">
      <formula>"ח"</formula>
    </cfRule>
    <cfRule type="cellIs" dxfId="6137" priority="862" operator="equal">
      <formula>"כש"</formula>
    </cfRule>
  </conditionalFormatting>
  <conditionalFormatting sqref="AW5:CD35 CE5">
    <cfRule type="cellIs" dxfId="6136" priority="755" operator="equal">
      <formula>"י"</formula>
    </cfRule>
    <cfRule type="cellIs" dxfId="6135" priority="754" operator="equal">
      <formula>"ל"</formula>
    </cfRule>
    <cfRule type="cellIs" dxfId="6134" priority="756" operator="equal">
      <formula>"כמש"</formula>
    </cfRule>
    <cfRule type="cellIs" dxfId="6133" priority="757" operator="equal">
      <formula>"כמ"</formula>
    </cfRule>
    <cfRule type="cellIs" dxfId="6132" priority="758" operator="equal">
      <formula>"ק"</formula>
    </cfRule>
    <cfRule type="cellIs" dxfId="6131" priority="759" operator="equal">
      <formula>"מ"</formula>
    </cfRule>
    <cfRule type="cellIs" dxfId="6130" priority="760" operator="equal">
      <formula>"מנוחה"</formula>
    </cfRule>
    <cfRule type="cellIs" dxfId="6129" priority="761" operator="equal">
      <formula>"מיל"</formula>
    </cfRule>
  </conditionalFormatting>
  <conditionalFormatting sqref="AX5:AX35">
    <cfRule type="cellIs" dxfId="6128" priority="275" operator="equal">
      <formula>"ח"</formula>
    </cfRule>
  </conditionalFormatting>
  <conditionalFormatting sqref="AX7">
    <cfRule type="cellIs" dxfId="6127" priority="255" stopIfTrue="1" operator="equal">
      <formula>"ח"</formula>
    </cfRule>
    <cfRule type="cellIs" dxfId="6126" priority="256" operator="equal">
      <formula>"כש"</formula>
    </cfRule>
    <cfRule type="cellIs" dxfId="6125" priority="257" operator="equal">
      <formula>"כ"</formula>
    </cfRule>
  </conditionalFormatting>
  <conditionalFormatting sqref="AX10:AX11">
    <cfRule type="cellIs" dxfId="6124" priority="254" operator="equal">
      <formula>"ח"</formula>
    </cfRule>
  </conditionalFormatting>
  <conditionalFormatting sqref="AX11">
    <cfRule type="cellIs" dxfId="6123" priority="236" operator="equal">
      <formula>"כ"</formula>
    </cfRule>
    <cfRule type="cellIs" dxfId="6122" priority="235" operator="equal">
      <formula>"כש"</formula>
    </cfRule>
    <cfRule type="cellIs" dxfId="6121" priority="234" stopIfTrue="1" operator="equal">
      <formula>"ח"</formula>
    </cfRule>
  </conditionalFormatting>
  <conditionalFormatting sqref="AX14:AX15">
    <cfRule type="cellIs" dxfId="6120" priority="233" operator="equal">
      <formula>"ח"</formula>
    </cfRule>
  </conditionalFormatting>
  <conditionalFormatting sqref="AX15">
    <cfRule type="cellIs" dxfId="6119" priority="214" operator="equal">
      <formula>"כש"</formula>
    </cfRule>
    <cfRule type="cellIs" dxfId="6118" priority="213" stopIfTrue="1" operator="equal">
      <formula>"ח"</formula>
    </cfRule>
    <cfRule type="cellIs" dxfId="6117" priority="215" operator="equal">
      <formula>"כ"</formula>
    </cfRule>
  </conditionalFormatting>
  <conditionalFormatting sqref="AX18:AX19">
    <cfRule type="cellIs" dxfId="6116" priority="205" operator="equal">
      <formula>"ח"</formula>
    </cfRule>
  </conditionalFormatting>
  <conditionalFormatting sqref="AX19">
    <cfRule type="cellIs" dxfId="6115" priority="187" operator="equal">
      <formula>"כ"</formula>
    </cfRule>
    <cfRule type="cellIs" dxfId="6114" priority="186" operator="equal">
      <formula>"כש"</formula>
    </cfRule>
    <cfRule type="cellIs" dxfId="6113" priority="185" stopIfTrue="1" operator="equal">
      <formula>"ח"</formula>
    </cfRule>
  </conditionalFormatting>
  <conditionalFormatting sqref="AX22:AX23">
    <cfRule type="cellIs" dxfId="6112" priority="184" operator="equal">
      <formula>"ח"</formula>
    </cfRule>
  </conditionalFormatting>
  <conditionalFormatting sqref="AX23">
    <cfRule type="cellIs" dxfId="6111" priority="164" stopIfTrue="1" operator="equal">
      <formula>"ח"</formula>
    </cfRule>
    <cfRule type="cellIs" dxfId="6110" priority="165" operator="equal">
      <formula>"כש"</formula>
    </cfRule>
    <cfRule type="cellIs" dxfId="6109" priority="166" operator="equal">
      <formula>"כ"</formula>
    </cfRule>
  </conditionalFormatting>
  <conditionalFormatting sqref="AX26:AX27">
    <cfRule type="cellIs" dxfId="6108" priority="163" operator="equal">
      <formula>"ח"</formula>
    </cfRule>
  </conditionalFormatting>
  <conditionalFormatting sqref="AX27">
    <cfRule type="cellIs" dxfId="6107" priority="143" stopIfTrue="1" operator="equal">
      <formula>"ח"</formula>
    </cfRule>
    <cfRule type="cellIs" dxfId="6106" priority="144" operator="equal">
      <formula>"כש"</formula>
    </cfRule>
    <cfRule type="cellIs" dxfId="6105" priority="145" operator="equal">
      <formula>"כ"</formula>
    </cfRule>
  </conditionalFormatting>
  <conditionalFormatting sqref="AX30:AX31">
    <cfRule type="cellIs" dxfId="6104" priority="135" operator="equal">
      <formula>"ח"</formula>
    </cfRule>
  </conditionalFormatting>
  <conditionalFormatting sqref="AX31">
    <cfRule type="cellIs" dxfId="6103" priority="115" stopIfTrue="1" operator="equal">
      <formula>"ח"</formula>
    </cfRule>
    <cfRule type="cellIs" dxfId="6102" priority="116" operator="equal">
      <formula>"כש"</formula>
    </cfRule>
    <cfRule type="cellIs" dxfId="6101" priority="117" operator="equal">
      <formula>"כ"</formula>
    </cfRule>
  </conditionalFormatting>
  <conditionalFormatting sqref="AX34:AX35">
    <cfRule type="cellIs" dxfId="6100" priority="107" operator="equal">
      <formula>"ח"</formula>
    </cfRule>
  </conditionalFormatting>
  <conditionalFormatting sqref="AX35">
    <cfRule type="cellIs" dxfId="6099" priority="87" stopIfTrue="1" operator="equal">
      <formula>"ח"</formula>
    </cfRule>
    <cfRule type="cellIs" dxfId="6098" priority="88" operator="equal">
      <formula>"כש"</formula>
    </cfRule>
    <cfRule type="cellIs" dxfId="6097" priority="89" operator="equal">
      <formula>"כ"</formula>
    </cfRule>
  </conditionalFormatting>
  <conditionalFormatting sqref="AX6:BD15">
    <cfRule type="cellIs" dxfId="6096" priority="272" operator="equal">
      <formula>"כ"</formula>
    </cfRule>
    <cfRule type="cellIs" dxfId="6095" priority="271" operator="equal">
      <formula>"כש"</formula>
    </cfRule>
  </conditionalFormatting>
  <conditionalFormatting sqref="AX10:BD11">
    <cfRule type="cellIs" dxfId="6094" priority="251" operator="equal">
      <formula>"כ"</formula>
    </cfRule>
    <cfRule type="cellIs" dxfId="6093" priority="250" operator="equal">
      <formula>"כש"</formula>
    </cfRule>
  </conditionalFormatting>
  <conditionalFormatting sqref="AX14:BD15">
    <cfRule type="cellIs" dxfId="6092" priority="229" operator="equal">
      <formula>"כש"</formula>
    </cfRule>
    <cfRule type="cellIs" dxfId="6091" priority="230" operator="equal">
      <formula>"כ"</formula>
    </cfRule>
  </conditionalFormatting>
  <conditionalFormatting sqref="AX18:BD27">
    <cfRule type="cellIs" dxfId="6090" priority="201" operator="equal">
      <formula>"כש"</formula>
    </cfRule>
    <cfRule type="cellIs" dxfId="6089" priority="202" operator="equal">
      <formula>"כ"</formula>
    </cfRule>
  </conditionalFormatting>
  <conditionalFormatting sqref="AX22:BD23">
    <cfRule type="cellIs" dxfId="6088" priority="181" operator="equal">
      <formula>"כ"</formula>
    </cfRule>
    <cfRule type="cellIs" dxfId="6087" priority="180" operator="equal">
      <formula>"כש"</formula>
    </cfRule>
  </conditionalFormatting>
  <conditionalFormatting sqref="AX26:BD27">
    <cfRule type="cellIs" dxfId="6086" priority="160" operator="equal">
      <formula>"כ"</formula>
    </cfRule>
    <cfRule type="cellIs" dxfId="6085" priority="159" operator="equal">
      <formula>"כש"</formula>
    </cfRule>
  </conditionalFormatting>
  <conditionalFormatting sqref="AX30:BD31">
    <cfRule type="cellIs" dxfId="6084" priority="131" operator="equal">
      <formula>"כש"</formula>
    </cfRule>
    <cfRule type="cellIs" dxfId="6083" priority="132" operator="equal">
      <formula>"כ"</formula>
    </cfRule>
  </conditionalFormatting>
  <conditionalFormatting sqref="AX34:BD35">
    <cfRule type="cellIs" dxfId="6082" priority="104" operator="equal">
      <formula>"כ"</formula>
    </cfRule>
    <cfRule type="cellIs" dxfId="6081" priority="103" operator="equal">
      <formula>"כש"</formula>
    </cfRule>
  </conditionalFormatting>
  <conditionalFormatting sqref="AZ5:AZ35">
    <cfRule type="cellIs" dxfId="6080" priority="1105" operator="equal">
      <formula>"ח"</formula>
    </cfRule>
  </conditionalFormatting>
  <conditionalFormatting sqref="AZ6:AZ7">
    <cfRule type="cellIs" dxfId="6079" priority="269" operator="equal">
      <formula>"ח"</formula>
    </cfRule>
  </conditionalFormatting>
  <conditionalFormatting sqref="AZ6:AZ15">
    <cfRule type="cellIs" dxfId="6078" priority="280" operator="equal">
      <formula>"ח"</formula>
    </cfRule>
  </conditionalFormatting>
  <conditionalFormatting sqref="AZ7">
    <cfRule type="cellIs" dxfId="6077" priority="258" stopIfTrue="1" operator="equal">
      <formula>"ח"</formula>
    </cfRule>
    <cfRule type="cellIs" dxfId="6076" priority="259" operator="equal">
      <formula>"כש"</formula>
    </cfRule>
    <cfRule type="cellIs" dxfId="6075" priority="260" operator="equal">
      <formula>"כ"</formula>
    </cfRule>
  </conditionalFormatting>
  <conditionalFormatting sqref="AZ10:AZ11">
    <cfRule type="cellIs" dxfId="6074" priority="248" operator="equal">
      <formula>"ח"</formula>
    </cfRule>
  </conditionalFormatting>
  <conditionalFormatting sqref="AZ11">
    <cfRule type="cellIs" dxfId="6073" priority="237" stopIfTrue="1" operator="equal">
      <formula>"ח"</formula>
    </cfRule>
    <cfRule type="cellIs" dxfId="6072" priority="239" operator="equal">
      <formula>"כ"</formula>
    </cfRule>
    <cfRule type="cellIs" dxfId="6071" priority="238" operator="equal">
      <formula>"כש"</formula>
    </cfRule>
  </conditionalFormatting>
  <conditionalFormatting sqref="AZ14:AZ15">
    <cfRule type="cellIs" dxfId="6070" priority="227" operator="equal">
      <formula>"ח"</formula>
    </cfRule>
  </conditionalFormatting>
  <conditionalFormatting sqref="AZ15">
    <cfRule type="cellIs" dxfId="6069" priority="216" stopIfTrue="1" operator="equal">
      <formula>"ח"</formula>
    </cfRule>
    <cfRule type="cellIs" dxfId="6068" priority="217" operator="equal">
      <formula>"כש"</formula>
    </cfRule>
    <cfRule type="cellIs" dxfId="6067" priority="218" operator="equal">
      <formula>"כ"</formula>
    </cfRule>
  </conditionalFormatting>
  <conditionalFormatting sqref="AZ18:AZ19">
    <cfRule type="cellIs" dxfId="6066" priority="199" operator="equal">
      <formula>"ח"</formula>
    </cfRule>
  </conditionalFormatting>
  <conditionalFormatting sqref="AZ18:AZ27">
    <cfRule type="cellIs" dxfId="6065" priority="210" operator="equal">
      <formula>"ח"</formula>
    </cfRule>
  </conditionalFormatting>
  <conditionalFormatting sqref="AZ19">
    <cfRule type="cellIs" dxfId="6064" priority="188" stopIfTrue="1" operator="equal">
      <formula>"ח"</formula>
    </cfRule>
    <cfRule type="cellIs" dxfId="6063" priority="189" operator="equal">
      <formula>"כש"</formula>
    </cfRule>
    <cfRule type="cellIs" dxfId="6062" priority="190" operator="equal">
      <formula>"כ"</formula>
    </cfRule>
  </conditionalFormatting>
  <conditionalFormatting sqref="AZ22:AZ23">
    <cfRule type="cellIs" dxfId="6061" priority="178" operator="equal">
      <formula>"ח"</formula>
    </cfRule>
  </conditionalFormatting>
  <conditionalFormatting sqref="AZ23">
    <cfRule type="cellIs" dxfId="6060" priority="169" operator="equal">
      <formula>"כ"</formula>
    </cfRule>
    <cfRule type="cellIs" dxfId="6059" priority="168" operator="equal">
      <formula>"כש"</formula>
    </cfRule>
    <cfRule type="cellIs" dxfId="6058" priority="167" stopIfTrue="1" operator="equal">
      <formula>"ח"</formula>
    </cfRule>
  </conditionalFormatting>
  <conditionalFormatting sqref="AZ26:AZ27">
    <cfRule type="cellIs" dxfId="6057" priority="157" operator="equal">
      <formula>"ח"</formula>
    </cfRule>
  </conditionalFormatting>
  <conditionalFormatting sqref="AZ27">
    <cfRule type="cellIs" dxfId="6056" priority="148" operator="equal">
      <formula>"כ"</formula>
    </cfRule>
    <cfRule type="cellIs" dxfId="6055" priority="146" stopIfTrue="1" operator="equal">
      <formula>"ח"</formula>
    </cfRule>
    <cfRule type="cellIs" dxfId="6054" priority="147" operator="equal">
      <formula>"כש"</formula>
    </cfRule>
  </conditionalFormatting>
  <conditionalFormatting sqref="AZ30:AZ31">
    <cfRule type="cellIs" dxfId="6053" priority="140" operator="equal">
      <formula>"ח"</formula>
    </cfRule>
    <cfRule type="cellIs" dxfId="6052" priority="129" operator="equal">
      <formula>"ח"</formula>
    </cfRule>
  </conditionalFormatting>
  <conditionalFormatting sqref="AZ31">
    <cfRule type="cellIs" dxfId="6051" priority="118" stopIfTrue="1" operator="equal">
      <formula>"ח"</formula>
    </cfRule>
    <cfRule type="cellIs" dxfId="6050" priority="119" operator="equal">
      <formula>"כש"</formula>
    </cfRule>
    <cfRule type="cellIs" dxfId="6049" priority="120" operator="equal">
      <formula>"כ"</formula>
    </cfRule>
  </conditionalFormatting>
  <conditionalFormatting sqref="AZ34:AZ35">
    <cfRule type="cellIs" dxfId="6048" priority="112" operator="equal">
      <formula>"ח"</formula>
    </cfRule>
    <cfRule type="cellIs" dxfId="6047" priority="101" operator="equal">
      <formula>"ח"</formula>
    </cfRule>
  </conditionalFormatting>
  <conditionalFormatting sqref="AZ35">
    <cfRule type="cellIs" dxfId="6046" priority="90" stopIfTrue="1" operator="equal">
      <formula>"ח"</formula>
    </cfRule>
    <cfRule type="cellIs" dxfId="6045" priority="91" operator="equal">
      <formula>"כש"</formula>
    </cfRule>
    <cfRule type="cellIs" dxfId="6044" priority="92" operator="equal">
      <formula>"כ"</formula>
    </cfRule>
  </conditionalFormatting>
  <conditionalFormatting sqref="BB5:BB35">
    <cfRule type="cellIs" dxfId="6043" priority="1094" operator="equal">
      <formula>"ח"</formula>
    </cfRule>
  </conditionalFormatting>
  <conditionalFormatting sqref="BB6:BB7">
    <cfRule type="cellIs" dxfId="6042" priority="268" operator="equal">
      <formula>"ח"</formula>
    </cfRule>
  </conditionalFormatting>
  <conditionalFormatting sqref="BB6:BB15">
    <cfRule type="cellIs" dxfId="6041" priority="279" operator="equal">
      <formula>"ח"</formula>
    </cfRule>
  </conditionalFormatting>
  <conditionalFormatting sqref="BB7">
    <cfRule type="cellIs" dxfId="6040" priority="262" operator="equal">
      <formula>"כש"</formula>
    </cfRule>
    <cfRule type="cellIs" dxfId="6039" priority="263" operator="equal">
      <formula>"כ"</formula>
    </cfRule>
    <cfRule type="cellIs" dxfId="6038" priority="261" stopIfTrue="1" operator="equal">
      <formula>"ח"</formula>
    </cfRule>
  </conditionalFormatting>
  <conditionalFormatting sqref="BB10:BB11">
    <cfRule type="cellIs" dxfId="6037" priority="247" operator="equal">
      <formula>"ח"</formula>
    </cfRule>
  </conditionalFormatting>
  <conditionalFormatting sqref="BB11">
    <cfRule type="cellIs" dxfId="6036" priority="240" stopIfTrue="1" operator="equal">
      <formula>"ח"</formula>
    </cfRule>
    <cfRule type="cellIs" dxfId="6035" priority="241" operator="equal">
      <formula>"כש"</formula>
    </cfRule>
    <cfRule type="cellIs" dxfId="6034" priority="242" operator="equal">
      <formula>"כ"</formula>
    </cfRule>
  </conditionalFormatting>
  <conditionalFormatting sqref="BB14:BB15">
    <cfRule type="cellIs" dxfId="6033" priority="226" operator="equal">
      <formula>"ח"</formula>
    </cfRule>
  </conditionalFormatting>
  <conditionalFormatting sqref="BB15">
    <cfRule type="cellIs" dxfId="6032" priority="219" stopIfTrue="1" operator="equal">
      <formula>"ח"</formula>
    </cfRule>
    <cfRule type="cellIs" dxfId="6031" priority="220" operator="equal">
      <formula>"כש"</formula>
    </cfRule>
    <cfRule type="cellIs" dxfId="6030" priority="221" operator="equal">
      <formula>"כ"</formula>
    </cfRule>
  </conditionalFormatting>
  <conditionalFormatting sqref="BB18:BB19">
    <cfRule type="cellIs" dxfId="6029" priority="198" operator="equal">
      <formula>"ח"</formula>
    </cfRule>
  </conditionalFormatting>
  <conditionalFormatting sqref="BB18:BB27">
    <cfRule type="cellIs" dxfId="6028" priority="209" operator="equal">
      <formula>"ח"</formula>
    </cfRule>
  </conditionalFormatting>
  <conditionalFormatting sqref="BB19">
    <cfRule type="cellIs" dxfId="6027" priority="191" stopIfTrue="1" operator="equal">
      <formula>"ח"</formula>
    </cfRule>
    <cfRule type="cellIs" dxfId="6026" priority="192" operator="equal">
      <formula>"כש"</formula>
    </cfRule>
    <cfRule type="cellIs" dxfId="6025" priority="193" operator="equal">
      <formula>"כ"</formula>
    </cfRule>
  </conditionalFormatting>
  <conditionalFormatting sqref="BB22:BB23">
    <cfRule type="cellIs" dxfId="6024" priority="177" operator="equal">
      <formula>"ח"</formula>
    </cfRule>
  </conditionalFormatting>
  <conditionalFormatting sqref="BB23">
    <cfRule type="cellIs" dxfId="6023" priority="171" operator="equal">
      <formula>"כש"</formula>
    </cfRule>
    <cfRule type="cellIs" dxfId="6022" priority="170" stopIfTrue="1" operator="equal">
      <formula>"ח"</formula>
    </cfRule>
    <cfRule type="cellIs" dxfId="6021" priority="172" operator="equal">
      <formula>"כ"</formula>
    </cfRule>
  </conditionalFormatting>
  <conditionalFormatting sqref="BB26:BB27">
    <cfRule type="cellIs" dxfId="6020" priority="156" operator="equal">
      <formula>"ח"</formula>
    </cfRule>
  </conditionalFormatting>
  <conditionalFormatting sqref="BB27">
    <cfRule type="cellIs" dxfId="6019" priority="150" operator="equal">
      <formula>"כש"</formula>
    </cfRule>
    <cfRule type="cellIs" dxfId="6018" priority="149" stopIfTrue="1" operator="equal">
      <formula>"ח"</formula>
    </cfRule>
    <cfRule type="cellIs" dxfId="6017" priority="151" operator="equal">
      <formula>"כ"</formula>
    </cfRule>
  </conditionalFormatting>
  <conditionalFormatting sqref="BB30:BB31">
    <cfRule type="cellIs" dxfId="6016" priority="139" operator="equal">
      <formula>"ח"</formula>
    </cfRule>
    <cfRule type="cellIs" dxfId="6015" priority="128" operator="equal">
      <formula>"ח"</formula>
    </cfRule>
  </conditionalFormatting>
  <conditionalFormatting sqref="BB31">
    <cfRule type="cellIs" dxfId="6014" priority="121" stopIfTrue="1" operator="equal">
      <formula>"ח"</formula>
    </cfRule>
    <cfRule type="cellIs" dxfId="6013" priority="122" operator="equal">
      <formula>"כש"</formula>
    </cfRule>
    <cfRule type="cellIs" dxfId="6012" priority="123" operator="equal">
      <formula>"כ"</formula>
    </cfRule>
  </conditionalFormatting>
  <conditionalFormatting sqref="BB34:BB35">
    <cfRule type="cellIs" dxfId="6011" priority="111" operator="equal">
      <formula>"ח"</formula>
    </cfRule>
    <cfRule type="cellIs" dxfId="6010" priority="100" operator="equal">
      <formula>"ח"</formula>
    </cfRule>
  </conditionalFormatting>
  <conditionalFormatting sqref="BB35">
    <cfRule type="cellIs" dxfId="6009" priority="94" operator="equal">
      <formula>"כש"</formula>
    </cfRule>
    <cfRule type="cellIs" dxfId="6008" priority="93" stopIfTrue="1" operator="equal">
      <formula>"ח"</formula>
    </cfRule>
    <cfRule type="cellIs" dxfId="6007" priority="95" operator="equal">
      <formula>"כ"</formula>
    </cfRule>
  </conditionalFormatting>
  <conditionalFormatting sqref="BC3:BC4">
    <cfRule type="cellIs" dxfId="6006" priority="836" operator="equal">
      <formula>"מ"</formula>
    </cfRule>
    <cfRule type="cellIs" dxfId="6005" priority="838" operator="equal">
      <formula>"מיל"</formula>
    </cfRule>
    <cfRule type="cellIs" dxfId="6004" priority="839" operator="equal">
      <formula>"ח"</formula>
    </cfRule>
    <cfRule type="cellIs" dxfId="6003" priority="840" operator="equal">
      <formula>"כש"</formula>
    </cfRule>
    <cfRule type="cellIs" dxfId="6002" priority="841" operator="equal">
      <formula>"כ"</formula>
    </cfRule>
    <cfRule type="cellIs" dxfId="6001" priority="837" operator="equal">
      <formula>"מנוחה"</formula>
    </cfRule>
    <cfRule type="cellIs" dxfId="6000" priority="831" operator="equal">
      <formula>"ל"</formula>
    </cfRule>
    <cfRule type="cellIs" dxfId="5999" priority="832" operator="equal">
      <formula>"י"</formula>
    </cfRule>
    <cfRule type="cellIs" dxfId="5998" priority="833" operator="equal">
      <formula>"כמש"</formula>
    </cfRule>
    <cfRule type="cellIs" dxfId="5997" priority="834" operator="equal">
      <formula>"כמ"</formula>
    </cfRule>
    <cfRule type="cellIs" dxfId="5996" priority="835" operator="equal">
      <formula>"ק"</formula>
    </cfRule>
  </conditionalFormatting>
  <conditionalFormatting sqref="BD5:BD35">
    <cfRule type="cellIs" dxfId="5995" priority="1083" operator="equal">
      <formula>"ח"</formula>
    </cfRule>
  </conditionalFormatting>
  <conditionalFormatting sqref="BD6:BD7">
    <cfRule type="cellIs" dxfId="5994" priority="267" operator="equal">
      <formula>"ח"</formula>
    </cfRule>
  </conditionalFormatting>
  <conditionalFormatting sqref="BD6:BD15">
    <cfRule type="cellIs" dxfId="5993" priority="276" operator="equal">
      <formula>"ח"</formula>
    </cfRule>
  </conditionalFormatting>
  <conditionalFormatting sqref="BD7">
    <cfRule type="cellIs" dxfId="5992" priority="266" operator="equal">
      <formula>"כ"</formula>
    </cfRule>
    <cfRule type="cellIs" dxfId="5991" priority="264" stopIfTrue="1" operator="equal">
      <formula>"ח"</formula>
    </cfRule>
    <cfRule type="cellIs" dxfId="5990" priority="265" operator="equal">
      <formula>"כש"</formula>
    </cfRule>
  </conditionalFormatting>
  <conditionalFormatting sqref="BD10:BD11">
    <cfRule type="cellIs" dxfId="5989" priority="246" operator="equal">
      <formula>"ח"</formula>
    </cfRule>
  </conditionalFormatting>
  <conditionalFormatting sqref="BD11">
    <cfRule type="cellIs" dxfId="5988" priority="244" operator="equal">
      <formula>"כש"</formula>
    </cfRule>
    <cfRule type="cellIs" dxfId="5987" priority="245" operator="equal">
      <formula>"כ"</formula>
    </cfRule>
    <cfRule type="cellIs" dxfId="5986" priority="243" stopIfTrue="1" operator="equal">
      <formula>"ח"</formula>
    </cfRule>
  </conditionalFormatting>
  <conditionalFormatting sqref="BD14:BD15">
    <cfRule type="cellIs" dxfId="5985" priority="225" operator="equal">
      <formula>"ח"</formula>
    </cfRule>
  </conditionalFormatting>
  <conditionalFormatting sqref="BD15">
    <cfRule type="cellIs" dxfId="5984" priority="224" operator="equal">
      <formula>"כ"</formula>
    </cfRule>
    <cfRule type="cellIs" dxfId="5983" priority="223" operator="equal">
      <formula>"כש"</formula>
    </cfRule>
    <cfRule type="cellIs" dxfId="5982" priority="222" stopIfTrue="1" operator="equal">
      <formula>"ח"</formula>
    </cfRule>
  </conditionalFormatting>
  <conditionalFormatting sqref="BD18:BD19">
    <cfRule type="cellIs" dxfId="5981" priority="197" operator="equal">
      <formula>"ח"</formula>
    </cfRule>
  </conditionalFormatting>
  <conditionalFormatting sqref="BD18:BD27">
    <cfRule type="cellIs" dxfId="5980" priority="206" operator="equal">
      <formula>"ח"</formula>
    </cfRule>
  </conditionalFormatting>
  <conditionalFormatting sqref="BD19">
    <cfRule type="cellIs" dxfId="5979" priority="195" operator="equal">
      <formula>"כש"</formula>
    </cfRule>
    <cfRule type="cellIs" dxfId="5978" priority="194" stopIfTrue="1" operator="equal">
      <formula>"ח"</formula>
    </cfRule>
    <cfRule type="cellIs" dxfId="5977" priority="196" operator="equal">
      <formula>"כ"</formula>
    </cfRule>
  </conditionalFormatting>
  <conditionalFormatting sqref="BD22:BD23">
    <cfRule type="cellIs" dxfId="5976" priority="176" operator="equal">
      <formula>"ח"</formula>
    </cfRule>
  </conditionalFormatting>
  <conditionalFormatting sqref="BD23">
    <cfRule type="cellIs" dxfId="5975" priority="175" operator="equal">
      <formula>"כ"</formula>
    </cfRule>
    <cfRule type="cellIs" dxfId="5974" priority="173" stopIfTrue="1" operator="equal">
      <formula>"ח"</formula>
    </cfRule>
    <cfRule type="cellIs" dxfId="5973" priority="174" operator="equal">
      <formula>"כש"</formula>
    </cfRule>
  </conditionalFormatting>
  <conditionalFormatting sqref="BD26:BD27">
    <cfRule type="cellIs" dxfId="5972" priority="155" operator="equal">
      <formula>"ח"</formula>
    </cfRule>
  </conditionalFormatting>
  <conditionalFormatting sqref="BD27">
    <cfRule type="cellIs" dxfId="5971" priority="154" operator="equal">
      <formula>"כ"</formula>
    </cfRule>
    <cfRule type="cellIs" dxfId="5970" priority="152" stopIfTrue="1" operator="equal">
      <formula>"ח"</formula>
    </cfRule>
    <cfRule type="cellIs" dxfId="5969" priority="153" operator="equal">
      <formula>"כש"</formula>
    </cfRule>
  </conditionalFormatting>
  <conditionalFormatting sqref="BD30:BD31">
    <cfRule type="cellIs" dxfId="5968" priority="136" operator="equal">
      <formula>"ח"</formula>
    </cfRule>
    <cfRule type="cellIs" dxfId="5967" priority="127" operator="equal">
      <formula>"ח"</formula>
    </cfRule>
  </conditionalFormatting>
  <conditionalFormatting sqref="BD31">
    <cfRule type="cellIs" dxfId="5966" priority="124" stopIfTrue="1" operator="equal">
      <formula>"ח"</formula>
    </cfRule>
    <cfRule type="cellIs" dxfId="5965" priority="125" operator="equal">
      <formula>"כש"</formula>
    </cfRule>
    <cfRule type="cellIs" dxfId="5964" priority="126" operator="equal">
      <formula>"כ"</formula>
    </cfRule>
  </conditionalFormatting>
  <conditionalFormatting sqref="BD34:BD35">
    <cfRule type="cellIs" dxfId="5963" priority="99" operator="equal">
      <formula>"ח"</formula>
    </cfRule>
    <cfRule type="cellIs" dxfId="5962" priority="108" operator="equal">
      <formula>"ח"</formula>
    </cfRule>
  </conditionalFormatting>
  <conditionalFormatting sqref="BD35">
    <cfRule type="cellIs" dxfId="5961" priority="96" stopIfTrue="1" operator="equal">
      <formula>"ח"</formula>
    </cfRule>
    <cfRule type="cellIs" dxfId="5960" priority="97" operator="equal">
      <formula>"כש"</formula>
    </cfRule>
    <cfRule type="cellIs" dxfId="5959" priority="98" operator="equal">
      <formula>"כ"</formula>
    </cfRule>
  </conditionalFormatting>
  <conditionalFormatting sqref="BF5:BF35">
    <cfRule type="cellIs" dxfId="5958" priority="1127" operator="equal">
      <formula>"ח"</formula>
    </cfRule>
  </conditionalFormatting>
  <conditionalFormatting sqref="BF6">
    <cfRule type="cellIs" dxfId="5957" priority="733" stopIfTrue="1" operator="equal">
      <formula>"ח"</formula>
    </cfRule>
    <cfRule type="cellIs" dxfId="5956" priority="734" operator="equal">
      <formula>"כש"</formula>
    </cfRule>
    <cfRule type="cellIs" dxfId="5955" priority="735" operator="equal">
      <formula>"כ"</formula>
    </cfRule>
  </conditionalFormatting>
  <conditionalFormatting sqref="BF7:BF8">
    <cfRule type="cellIs" dxfId="5954" priority="415" operator="equal">
      <formula>"ח"</formula>
    </cfRule>
  </conditionalFormatting>
  <conditionalFormatting sqref="BF8">
    <cfRule type="cellIs" dxfId="5953" priority="395" stopIfTrue="1" operator="equal">
      <formula>"ח"</formula>
    </cfRule>
    <cfRule type="cellIs" dxfId="5952" priority="397" operator="equal">
      <formula>"כ"</formula>
    </cfRule>
    <cfRule type="cellIs" dxfId="5951" priority="396" operator="equal">
      <formula>"כש"</formula>
    </cfRule>
  </conditionalFormatting>
  <conditionalFormatting sqref="BF11:BF12">
    <cfRule type="cellIs" dxfId="5950" priority="394" operator="equal">
      <formula>"ח"</formula>
    </cfRule>
  </conditionalFormatting>
  <conditionalFormatting sqref="BF12">
    <cfRule type="cellIs" dxfId="5949" priority="375" operator="equal">
      <formula>"כש"</formula>
    </cfRule>
    <cfRule type="cellIs" dxfId="5948" priority="374" stopIfTrue="1" operator="equal">
      <formula>"ח"</formula>
    </cfRule>
    <cfRule type="cellIs" dxfId="5947" priority="376" operator="equal">
      <formula>"כ"</formula>
    </cfRule>
  </conditionalFormatting>
  <conditionalFormatting sqref="BF15:BF16">
    <cfRule type="cellIs" dxfId="5946" priority="373" operator="equal">
      <formula>"ח"</formula>
    </cfRule>
  </conditionalFormatting>
  <conditionalFormatting sqref="BF16">
    <cfRule type="cellIs" dxfId="5945" priority="355" operator="equal">
      <formula>"כ"</formula>
    </cfRule>
    <cfRule type="cellIs" dxfId="5944" priority="354" operator="equal">
      <formula>"כש"</formula>
    </cfRule>
    <cfRule type="cellIs" dxfId="5943" priority="353" stopIfTrue="1" operator="equal">
      <formula>"ח"</formula>
    </cfRule>
  </conditionalFormatting>
  <conditionalFormatting sqref="BF19:BF20">
    <cfRule type="cellIs" dxfId="5942" priority="345" operator="equal">
      <formula>"ח"</formula>
    </cfRule>
  </conditionalFormatting>
  <conditionalFormatting sqref="BF20">
    <cfRule type="cellIs" dxfId="5941" priority="326" operator="equal">
      <formula>"כש"</formula>
    </cfRule>
    <cfRule type="cellIs" dxfId="5940" priority="327" operator="equal">
      <formula>"כ"</formula>
    </cfRule>
    <cfRule type="cellIs" dxfId="5939" priority="325" stopIfTrue="1" operator="equal">
      <formula>"ח"</formula>
    </cfRule>
  </conditionalFormatting>
  <conditionalFormatting sqref="BF23:BF24">
    <cfRule type="cellIs" dxfId="5938" priority="324" operator="equal">
      <formula>"ח"</formula>
    </cfRule>
  </conditionalFormatting>
  <conditionalFormatting sqref="BF24">
    <cfRule type="cellIs" dxfId="5937" priority="304" stopIfTrue="1" operator="equal">
      <formula>"ח"</formula>
    </cfRule>
    <cfRule type="cellIs" dxfId="5936" priority="305" operator="equal">
      <formula>"כש"</formula>
    </cfRule>
    <cfRule type="cellIs" dxfId="5935" priority="306" operator="equal">
      <formula>"כ"</formula>
    </cfRule>
  </conditionalFormatting>
  <conditionalFormatting sqref="BF27:BF28">
    <cfRule type="cellIs" dxfId="5934" priority="303" operator="equal">
      <formula>"ח"</formula>
    </cfRule>
  </conditionalFormatting>
  <conditionalFormatting sqref="BF28">
    <cfRule type="cellIs" dxfId="5933" priority="285" operator="equal">
      <formula>"כ"</formula>
    </cfRule>
    <cfRule type="cellIs" dxfId="5932" priority="284" operator="equal">
      <formula>"כש"</formula>
    </cfRule>
    <cfRule type="cellIs" dxfId="5931" priority="283" stopIfTrue="1" operator="equal">
      <formula>"ח"</formula>
    </cfRule>
  </conditionalFormatting>
  <conditionalFormatting sqref="BF31:BF32">
    <cfRule type="cellIs" dxfId="5930" priority="75" operator="equal">
      <formula>"ח"</formula>
    </cfRule>
  </conditionalFormatting>
  <conditionalFormatting sqref="BF32">
    <cfRule type="cellIs" dxfId="5929" priority="57" operator="equal">
      <formula>"כ"</formula>
    </cfRule>
    <cfRule type="cellIs" dxfId="5928" priority="56" operator="equal">
      <formula>"כש"</formula>
    </cfRule>
    <cfRule type="cellIs" dxfId="5927" priority="55" stopIfTrue="1" operator="equal">
      <formula>"ח"</formula>
    </cfRule>
  </conditionalFormatting>
  <conditionalFormatting sqref="BF35">
    <cfRule type="cellIs" dxfId="5926" priority="9" operator="equal">
      <formula>"ח"</formula>
    </cfRule>
  </conditionalFormatting>
  <conditionalFormatting sqref="BF7:BG16 BF19:BG28 BF31:BG32 BF35:BG35 X3:AO3 Z4:AK4 BU5:BW35 BM6:BO35 AX6:AY15 AX18:AY27 AX30:AY31 AX34:AY35 A1:C4 X2:AH2 AP2 AR2 AR4:AS4 C5 BM5 BO5 AH5:AS11 D5:X13 A5:B35 Y5:AG35 AW5:AW35 AY5:AY35 BA5:BA35 BC5:BC35 BE5:BE35 BG5:BG35 BI5:BI35 BK5:BK35 BQ5:BQ35 BS5:BS35 BY5:BY35 CA5:CA35 AP12:AP13 AR12:AS13 AH12:AO17 D14:P15 R14:X15 D16:X35 AI18:AO18 AR18:AS32 AH19:AH20 AJ19:AQ20 AH21:AP22 AH23:AO23 AI24:AP25 AH26:AP31 AH32:AQ32 AH33:AS33 AH34:AP34 AR34:AS34 AH35:AS35">
    <cfRule type="cellIs" dxfId="5925" priority="1195" operator="equal">
      <formula>"ח"</formula>
    </cfRule>
  </conditionalFormatting>
  <conditionalFormatting sqref="BF7:BL16">
    <cfRule type="cellIs" dxfId="5924" priority="411" operator="equal">
      <formula>"כש"</formula>
    </cfRule>
    <cfRule type="cellIs" dxfId="5923" priority="412" operator="equal">
      <formula>"כ"</formula>
    </cfRule>
  </conditionalFormatting>
  <conditionalFormatting sqref="BF11:BL12">
    <cfRule type="cellIs" dxfId="5922" priority="390" operator="equal">
      <formula>"כש"</formula>
    </cfRule>
    <cfRule type="cellIs" dxfId="5921" priority="391" operator="equal">
      <formula>"כ"</formula>
    </cfRule>
  </conditionalFormatting>
  <conditionalFormatting sqref="BF15:BL16">
    <cfRule type="cellIs" dxfId="5920" priority="369" operator="equal">
      <formula>"כש"</formula>
    </cfRule>
    <cfRule type="cellIs" dxfId="5919" priority="370" operator="equal">
      <formula>"כ"</formula>
    </cfRule>
  </conditionalFormatting>
  <conditionalFormatting sqref="BF19:BL28">
    <cfRule type="cellIs" dxfId="5918" priority="341" operator="equal">
      <formula>"כש"</formula>
    </cfRule>
    <cfRule type="cellIs" dxfId="5917" priority="342" operator="equal">
      <formula>"כ"</formula>
    </cfRule>
  </conditionalFormatting>
  <conditionalFormatting sqref="BF23:BL24">
    <cfRule type="cellIs" dxfId="5916" priority="320" operator="equal">
      <formula>"כש"</formula>
    </cfRule>
    <cfRule type="cellIs" dxfId="5915" priority="321" operator="equal">
      <formula>"כ"</formula>
    </cfRule>
  </conditionalFormatting>
  <conditionalFormatting sqref="BF27:BL28">
    <cfRule type="cellIs" dxfId="5914" priority="299" operator="equal">
      <formula>"כש"</formula>
    </cfRule>
    <cfRule type="cellIs" dxfId="5913" priority="300" operator="equal">
      <formula>"כ"</formula>
    </cfRule>
  </conditionalFormatting>
  <conditionalFormatting sqref="BF31:BL32">
    <cfRule type="cellIs" dxfId="5912" priority="72" operator="equal">
      <formula>"כ"</formula>
    </cfRule>
    <cfRule type="cellIs" dxfId="5911" priority="71" operator="equal">
      <formula>"כש"</formula>
    </cfRule>
  </conditionalFormatting>
  <conditionalFormatting sqref="BF35:BL35">
    <cfRule type="cellIs" dxfId="5910" priority="5" operator="equal">
      <formula>"כש"</formula>
    </cfRule>
    <cfRule type="cellIs" dxfId="5909" priority="6" operator="equal">
      <formula>"כ"</formula>
    </cfRule>
  </conditionalFormatting>
  <conditionalFormatting sqref="BH5:BH35">
    <cfRule type="cellIs" dxfId="5908" priority="747" operator="equal">
      <formula>"ח"</formula>
    </cfRule>
  </conditionalFormatting>
  <conditionalFormatting sqref="BH6">
    <cfRule type="cellIs" dxfId="5907" priority="737" operator="equal">
      <formula>"כש"</formula>
    </cfRule>
    <cfRule type="cellIs" dxfId="5906" priority="736" stopIfTrue="1" operator="equal">
      <formula>"ח"</formula>
    </cfRule>
    <cfRule type="cellIs" dxfId="5905" priority="738" operator="equal">
      <formula>"כ"</formula>
    </cfRule>
  </conditionalFormatting>
  <conditionalFormatting sqref="BH7:BH8">
    <cfRule type="cellIs" dxfId="5904" priority="409" operator="equal">
      <formula>"ח"</formula>
    </cfRule>
  </conditionalFormatting>
  <conditionalFormatting sqref="BH7:BH16">
    <cfRule type="cellIs" dxfId="5903" priority="420" operator="equal">
      <formula>"ח"</formula>
    </cfRule>
  </conditionalFormatting>
  <conditionalFormatting sqref="BH8">
    <cfRule type="cellIs" dxfId="5902" priority="398" stopIfTrue="1" operator="equal">
      <formula>"ח"</formula>
    </cfRule>
    <cfRule type="cellIs" dxfId="5901" priority="399" operator="equal">
      <formula>"כש"</formula>
    </cfRule>
    <cfRule type="cellIs" dxfId="5900" priority="400" operator="equal">
      <formula>"כ"</formula>
    </cfRule>
  </conditionalFormatting>
  <conditionalFormatting sqref="BH11:BH12">
    <cfRule type="cellIs" dxfId="5899" priority="388" operator="equal">
      <formula>"ח"</formula>
    </cfRule>
  </conditionalFormatting>
  <conditionalFormatting sqref="BH12">
    <cfRule type="cellIs" dxfId="5898" priority="379" operator="equal">
      <formula>"כ"</formula>
    </cfRule>
    <cfRule type="cellIs" dxfId="5897" priority="378" operator="equal">
      <formula>"כש"</formula>
    </cfRule>
    <cfRule type="cellIs" dxfId="5896" priority="377" stopIfTrue="1" operator="equal">
      <formula>"ח"</formula>
    </cfRule>
  </conditionalFormatting>
  <conditionalFormatting sqref="BH15:BH16">
    <cfRule type="cellIs" dxfId="5895" priority="367" operator="equal">
      <formula>"ח"</formula>
    </cfRule>
  </conditionalFormatting>
  <conditionalFormatting sqref="BH16">
    <cfRule type="cellIs" dxfId="5894" priority="358" operator="equal">
      <formula>"כ"</formula>
    </cfRule>
    <cfRule type="cellIs" dxfId="5893" priority="356" stopIfTrue="1" operator="equal">
      <formula>"ח"</formula>
    </cfRule>
    <cfRule type="cellIs" dxfId="5892" priority="357" operator="equal">
      <formula>"כש"</formula>
    </cfRule>
  </conditionalFormatting>
  <conditionalFormatting sqref="BH19:BH20">
    <cfRule type="cellIs" dxfId="5891" priority="339" operator="equal">
      <formula>"ח"</formula>
    </cfRule>
  </conditionalFormatting>
  <conditionalFormatting sqref="BH19:BH28">
    <cfRule type="cellIs" dxfId="5890" priority="350" operator="equal">
      <formula>"ח"</formula>
    </cfRule>
  </conditionalFormatting>
  <conditionalFormatting sqref="BH20">
    <cfRule type="cellIs" dxfId="5889" priority="328" stopIfTrue="1" operator="equal">
      <formula>"ח"</formula>
    </cfRule>
    <cfRule type="cellIs" dxfId="5888" priority="329" operator="equal">
      <formula>"כש"</formula>
    </cfRule>
    <cfRule type="cellIs" dxfId="5887" priority="330" operator="equal">
      <formula>"כ"</formula>
    </cfRule>
  </conditionalFormatting>
  <conditionalFormatting sqref="BH23:BH24">
    <cfRule type="cellIs" dxfId="5886" priority="318" operator="equal">
      <formula>"ח"</formula>
    </cfRule>
  </conditionalFormatting>
  <conditionalFormatting sqref="BH24">
    <cfRule type="cellIs" dxfId="5885" priority="309" operator="equal">
      <formula>"כ"</formula>
    </cfRule>
    <cfRule type="cellIs" dxfId="5884" priority="307" stopIfTrue="1" operator="equal">
      <formula>"ח"</formula>
    </cfRule>
    <cfRule type="cellIs" dxfId="5883" priority="308" operator="equal">
      <formula>"כש"</formula>
    </cfRule>
  </conditionalFormatting>
  <conditionalFormatting sqref="BH27:BH28">
    <cfRule type="cellIs" dxfId="5882" priority="297" operator="equal">
      <formula>"ח"</formula>
    </cfRule>
  </conditionalFormatting>
  <conditionalFormatting sqref="BH28">
    <cfRule type="cellIs" dxfId="5881" priority="288" operator="equal">
      <formula>"כ"</formula>
    </cfRule>
    <cfRule type="cellIs" dxfId="5880" priority="286" stopIfTrue="1" operator="equal">
      <formula>"ח"</formula>
    </cfRule>
    <cfRule type="cellIs" dxfId="5879" priority="287" operator="equal">
      <formula>"כש"</formula>
    </cfRule>
  </conditionalFormatting>
  <conditionalFormatting sqref="BH31:BH32">
    <cfRule type="cellIs" dxfId="5878" priority="80" operator="equal">
      <formula>"ח"</formula>
    </cfRule>
    <cfRule type="cellIs" dxfId="5877" priority="69" operator="equal">
      <formula>"ח"</formula>
    </cfRule>
    <cfRule type="cellIs" dxfId="5876" priority="85" operator="equal">
      <formula>"ח"</formula>
    </cfRule>
  </conditionalFormatting>
  <conditionalFormatting sqref="BH32">
    <cfRule type="cellIs" dxfId="5875" priority="58" stopIfTrue="1" operator="equal">
      <formula>"ח"</formula>
    </cfRule>
    <cfRule type="cellIs" dxfId="5874" priority="59" operator="equal">
      <formula>"כש"</formula>
    </cfRule>
    <cfRule type="cellIs" dxfId="5873" priority="60" operator="equal">
      <formula>"כ"</formula>
    </cfRule>
  </conditionalFormatting>
  <conditionalFormatting sqref="BH35">
    <cfRule type="cellIs" dxfId="5872" priority="14" operator="equal">
      <formula>"ח"</formula>
    </cfRule>
    <cfRule type="cellIs" dxfId="5871" priority="3" operator="equal">
      <formula>"ח"</formula>
    </cfRule>
    <cfRule type="cellIs" dxfId="5870" priority="19" operator="equal">
      <formula>"ח"</formula>
    </cfRule>
  </conditionalFormatting>
  <conditionalFormatting sqref="BJ5:BJ35">
    <cfRule type="cellIs" dxfId="5869" priority="746" operator="equal">
      <formula>"ח"</formula>
    </cfRule>
  </conditionalFormatting>
  <conditionalFormatting sqref="BJ6">
    <cfRule type="cellIs" dxfId="5868" priority="739" stopIfTrue="1" operator="equal">
      <formula>"ח"</formula>
    </cfRule>
    <cfRule type="cellIs" dxfId="5867" priority="740" operator="equal">
      <formula>"כש"</formula>
    </cfRule>
    <cfRule type="cellIs" dxfId="5866" priority="741" operator="equal">
      <formula>"כ"</formula>
    </cfRule>
  </conditionalFormatting>
  <conditionalFormatting sqref="BJ7:BJ8">
    <cfRule type="cellIs" dxfId="5865" priority="408" operator="equal">
      <formula>"ח"</formula>
    </cfRule>
  </conditionalFormatting>
  <conditionalFormatting sqref="BJ7:BJ16">
    <cfRule type="cellIs" dxfId="5864" priority="419" operator="equal">
      <formula>"ח"</formula>
    </cfRule>
  </conditionalFormatting>
  <conditionalFormatting sqref="BJ8">
    <cfRule type="cellIs" dxfId="5863" priority="403" operator="equal">
      <formula>"כ"</formula>
    </cfRule>
    <cfRule type="cellIs" dxfId="5862" priority="402" operator="equal">
      <formula>"כש"</formula>
    </cfRule>
    <cfRule type="cellIs" dxfId="5861" priority="401" stopIfTrue="1" operator="equal">
      <formula>"ח"</formula>
    </cfRule>
  </conditionalFormatting>
  <conditionalFormatting sqref="BJ11:BJ12">
    <cfRule type="cellIs" dxfId="5860" priority="387" operator="equal">
      <formula>"ח"</formula>
    </cfRule>
  </conditionalFormatting>
  <conditionalFormatting sqref="BJ12">
    <cfRule type="cellIs" dxfId="5859" priority="380" stopIfTrue="1" operator="equal">
      <formula>"ח"</formula>
    </cfRule>
    <cfRule type="cellIs" dxfId="5858" priority="382" operator="equal">
      <formula>"כ"</formula>
    </cfRule>
    <cfRule type="cellIs" dxfId="5857" priority="381" operator="equal">
      <formula>"כש"</formula>
    </cfRule>
  </conditionalFormatting>
  <conditionalFormatting sqref="BJ15:BJ16">
    <cfRule type="cellIs" dxfId="5856" priority="366" operator="equal">
      <formula>"ח"</formula>
    </cfRule>
  </conditionalFormatting>
  <conditionalFormatting sqref="BJ16">
    <cfRule type="cellIs" dxfId="5855" priority="361" operator="equal">
      <formula>"כ"</formula>
    </cfRule>
    <cfRule type="cellIs" dxfId="5854" priority="360" operator="equal">
      <formula>"כש"</formula>
    </cfRule>
    <cfRule type="cellIs" dxfId="5853" priority="359" stopIfTrue="1" operator="equal">
      <formula>"ח"</formula>
    </cfRule>
  </conditionalFormatting>
  <conditionalFormatting sqref="BJ19:BJ20">
    <cfRule type="cellIs" dxfId="5852" priority="338" operator="equal">
      <formula>"ח"</formula>
    </cfRule>
  </conditionalFormatting>
  <conditionalFormatting sqref="BJ19:BJ28">
    <cfRule type="cellIs" dxfId="5851" priority="349" operator="equal">
      <formula>"ח"</formula>
    </cfRule>
  </conditionalFormatting>
  <conditionalFormatting sqref="BJ20">
    <cfRule type="cellIs" dxfId="5850" priority="331" stopIfTrue="1" operator="equal">
      <formula>"ח"</formula>
    </cfRule>
    <cfRule type="cellIs" dxfId="5849" priority="332" operator="equal">
      <formula>"כש"</formula>
    </cfRule>
    <cfRule type="cellIs" dxfId="5848" priority="333" operator="equal">
      <formula>"כ"</formula>
    </cfRule>
  </conditionalFormatting>
  <conditionalFormatting sqref="BJ23:BJ24">
    <cfRule type="cellIs" dxfId="5847" priority="317" operator="equal">
      <formula>"ח"</formula>
    </cfRule>
  </conditionalFormatting>
  <conditionalFormatting sqref="BJ24">
    <cfRule type="cellIs" dxfId="5846" priority="310" stopIfTrue="1" operator="equal">
      <formula>"ח"</formula>
    </cfRule>
    <cfRule type="cellIs" dxfId="5845" priority="311" operator="equal">
      <formula>"כש"</formula>
    </cfRule>
    <cfRule type="cellIs" dxfId="5844" priority="312" operator="equal">
      <formula>"כ"</formula>
    </cfRule>
  </conditionalFormatting>
  <conditionalFormatting sqref="BJ27:BJ28">
    <cfRule type="cellIs" dxfId="5843" priority="296" operator="equal">
      <formula>"ח"</formula>
    </cfRule>
  </conditionalFormatting>
  <conditionalFormatting sqref="BJ28">
    <cfRule type="cellIs" dxfId="5842" priority="290" operator="equal">
      <formula>"כש"</formula>
    </cfRule>
    <cfRule type="cellIs" dxfId="5841" priority="291" operator="equal">
      <formula>"כ"</formula>
    </cfRule>
    <cfRule type="cellIs" dxfId="5840" priority="289" stopIfTrue="1" operator="equal">
      <formula>"ח"</formula>
    </cfRule>
  </conditionalFormatting>
  <conditionalFormatting sqref="BJ31:BJ32">
    <cfRule type="cellIs" dxfId="5839" priority="84" operator="equal">
      <formula>"ח"</formula>
    </cfRule>
    <cfRule type="cellIs" dxfId="5838" priority="79" operator="equal">
      <formula>"ח"</formula>
    </cfRule>
    <cfRule type="cellIs" dxfId="5837" priority="68" operator="equal">
      <formula>"ח"</formula>
    </cfRule>
  </conditionalFormatting>
  <conditionalFormatting sqref="BJ32">
    <cfRule type="cellIs" dxfId="5836" priority="61" stopIfTrue="1" operator="equal">
      <formula>"ח"</formula>
    </cfRule>
    <cfRule type="cellIs" dxfId="5835" priority="63" operator="equal">
      <formula>"כ"</formula>
    </cfRule>
    <cfRule type="cellIs" dxfId="5834" priority="62" operator="equal">
      <formula>"כש"</formula>
    </cfRule>
  </conditionalFormatting>
  <conditionalFormatting sqref="BJ35">
    <cfRule type="cellIs" dxfId="5833" priority="13" operator="equal">
      <formula>"ח"</formula>
    </cfRule>
    <cfRule type="cellIs" dxfId="5832" priority="18" operator="equal">
      <formula>"ח"</formula>
    </cfRule>
    <cfRule type="cellIs" dxfId="5831" priority="2" operator="equal">
      <formula>"ח"</formula>
    </cfRule>
  </conditionalFormatting>
  <conditionalFormatting sqref="BL5:BL35">
    <cfRule type="cellIs" dxfId="5830" priority="745" operator="equal">
      <formula>"ח"</formula>
    </cfRule>
  </conditionalFormatting>
  <conditionalFormatting sqref="BL6">
    <cfRule type="cellIs" dxfId="5829" priority="742" stopIfTrue="1" operator="equal">
      <formula>"ח"</formula>
    </cfRule>
    <cfRule type="cellIs" dxfId="5828" priority="743" operator="equal">
      <formula>"כש"</formula>
    </cfRule>
    <cfRule type="cellIs" dxfId="5827" priority="744" operator="equal">
      <formula>"כ"</formula>
    </cfRule>
  </conditionalFormatting>
  <conditionalFormatting sqref="BL7:BL8">
    <cfRule type="cellIs" dxfId="5826" priority="407" operator="equal">
      <formula>"ח"</formula>
    </cfRule>
  </conditionalFormatting>
  <conditionalFormatting sqref="BL7:BL16">
    <cfRule type="cellIs" dxfId="5825" priority="416" operator="equal">
      <formula>"ח"</formula>
    </cfRule>
  </conditionalFormatting>
  <conditionalFormatting sqref="BL8">
    <cfRule type="cellIs" dxfId="5824" priority="404" stopIfTrue="1" operator="equal">
      <formula>"ח"</formula>
    </cfRule>
    <cfRule type="cellIs" dxfId="5823" priority="405" operator="equal">
      <formula>"כש"</formula>
    </cfRule>
    <cfRule type="cellIs" dxfId="5822" priority="406" operator="equal">
      <formula>"כ"</formula>
    </cfRule>
  </conditionalFormatting>
  <conditionalFormatting sqref="BL11:BL12">
    <cfRule type="cellIs" dxfId="5821" priority="386" operator="equal">
      <formula>"ח"</formula>
    </cfRule>
  </conditionalFormatting>
  <conditionalFormatting sqref="BL12">
    <cfRule type="cellIs" dxfId="5820" priority="383" stopIfTrue="1" operator="equal">
      <formula>"ח"</formula>
    </cfRule>
    <cfRule type="cellIs" dxfId="5819" priority="384" operator="equal">
      <formula>"כש"</formula>
    </cfRule>
    <cfRule type="cellIs" dxfId="5818" priority="385" operator="equal">
      <formula>"כ"</formula>
    </cfRule>
  </conditionalFormatting>
  <conditionalFormatting sqref="BL15:BL16">
    <cfRule type="cellIs" dxfId="5817" priority="365" operator="equal">
      <formula>"ח"</formula>
    </cfRule>
  </conditionalFormatting>
  <conditionalFormatting sqref="BL16">
    <cfRule type="cellIs" dxfId="5816" priority="364" operator="equal">
      <formula>"כ"</formula>
    </cfRule>
    <cfRule type="cellIs" dxfId="5815" priority="362" stopIfTrue="1" operator="equal">
      <formula>"ח"</formula>
    </cfRule>
    <cfRule type="cellIs" dxfId="5814" priority="363" operator="equal">
      <formula>"כש"</formula>
    </cfRule>
  </conditionalFormatting>
  <conditionalFormatting sqref="BL19:BL20">
    <cfRule type="cellIs" dxfId="5813" priority="337" operator="equal">
      <formula>"ח"</formula>
    </cfRule>
  </conditionalFormatting>
  <conditionalFormatting sqref="BL19:BL28">
    <cfRule type="cellIs" dxfId="5812" priority="346" operator="equal">
      <formula>"ח"</formula>
    </cfRule>
  </conditionalFormatting>
  <conditionalFormatting sqref="BL20">
    <cfRule type="cellIs" dxfId="5811" priority="336" operator="equal">
      <formula>"כ"</formula>
    </cfRule>
    <cfRule type="cellIs" dxfId="5810" priority="334" stopIfTrue="1" operator="equal">
      <formula>"ח"</formula>
    </cfRule>
    <cfRule type="cellIs" dxfId="5809" priority="335" operator="equal">
      <formula>"כש"</formula>
    </cfRule>
  </conditionalFormatting>
  <conditionalFormatting sqref="BL23:BL24">
    <cfRule type="cellIs" dxfId="5808" priority="316" operator="equal">
      <formula>"ח"</formula>
    </cfRule>
  </conditionalFormatting>
  <conditionalFormatting sqref="BL24">
    <cfRule type="cellIs" dxfId="5807" priority="313" stopIfTrue="1" operator="equal">
      <formula>"ח"</formula>
    </cfRule>
    <cfRule type="cellIs" dxfId="5806" priority="314" operator="equal">
      <formula>"כש"</formula>
    </cfRule>
    <cfRule type="cellIs" dxfId="5805" priority="315" operator="equal">
      <formula>"כ"</formula>
    </cfRule>
  </conditionalFormatting>
  <conditionalFormatting sqref="BL27:BL28">
    <cfRule type="cellIs" dxfId="5804" priority="295" operator="equal">
      <formula>"ח"</formula>
    </cfRule>
  </conditionalFormatting>
  <conditionalFormatting sqref="BL28">
    <cfRule type="cellIs" dxfId="5803" priority="292" stopIfTrue="1" operator="equal">
      <formula>"ח"</formula>
    </cfRule>
    <cfRule type="cellIs" dxfId="5802" priority="293" operator="equal">
      <formula>"כש"</formula>
    </cfRule>
    <cfRule type="cellIs" dxfId="5801" priority="294" operator="equal">
      <formula>"כ"</formula>
    </cfRule>
  </conditionalFormatting>
  <conditionalFormatting sqref="BL31:BL32">
    <cfRule type="cellIs" dxfId="5800" priority="67" operator="equal">
      <formula>"ח"</formula>
    </cfRule>
    <cfRule type="cellIs" dxfId="5799" priority="76" operator="equal">
      <formula>"ח"</formula>
    </cfRule>
    <cfRule type="cellIs" dxfId="5798" priority="83" operator="equal">
      <formula>"ח"</formula>
    </cfRule>
  </conditionalFormatting>
  <conditionalFormatting sqref="BL32">
    <cfRule type="cellIs" dxfId="5797" priority="65" operator="equal">
      <formula>"כש"</formula>
    </cfRule>
    <cfRule type="cellIs" dxfId="5796" priority="64" stopIfTrue="1" operator="equal">
      <formula>"ח"</formula>
    </cfRule>
    <cfRule type="cellIs" dxfId="5795" priority="66" operator="equal">
      <formula>"כ"</formula>
    </cfRule>
  </conditionalFormatting>
  <conditionalFormatting sqref="BL35">
    <cfRule type="cellIs" dxfId="5794" priority="17" operator="equal">
      <formula>"ח"</formula>
    </cfRule>
    <cfRule type="cellIs" dxfId="5793" priority="1" operator="equal">
      <formula>"ח"</formula>
    </cfRule>
    <cfRule type="cellIs" dxfId="5792" priority="10" operator="equal">
      <formula>"ח"</formula>
    </cfRule>
  </conditionalFormatting>
  <conditionalFormatting sqref="BM5:BO35">
    <cfRule type="cellIs" dxfId="5791" priority="1117" operator="equal">
      <formula>"כש"</formula>
    </cfRule>
    <cfRule type="cellIs" dxfId="5790" priority="1118" operator="equal">
      <formula>"כ"</formula>
    </cfRule>
  </conditionalFormatting>
  <conditionalFormatting sqref="BN5">
    <cfRule type="cellIs" dxfId="5789" priority="1116" stopIfTrue="1" operator="equal">
      <formula>"ח"</formula>
    </cfRule>
  </conditionalFormatting>
  <conditionalFormatting sqref="BN8:BN9">
    <cfRule type="cellIs" dxfId="5788" priority="555" operator="equal">
      <formula>"ח"</formula>
    </cfRule>
  </conditionalFormatting>
  <conditionalFormatting sqref="BN9">
    <cfRule type="cellIs" dxfId="5787" priority="536" operator="equal">
      <formula>"כש"</formula>
    </cfRule>
    <cfRule type="cellIs" dxfId="5786" priority="535" stopIfTrue="1" operator="equal">
      <formula>"ח"</formula>
    </cfRule>
    <cfRule type="cellIs" dxfId="5785" priority="537" operator="equal">
      <formula>"כ"</formula>
    </cfRule>
  </conditionalFormatting>
  <conditionalFormatting sqref="BN12:BN13">
    <cfRule type="cellIs" dxfId="5784" priority="534" operator="equal">
      <formula>"ח"</formula>
    </cfRule>
  </conditionalFormatting>
  <conditionalFormatting sqref="BN13">
    <cfRule type="cellIs" dxfId="5783" priority="516" operator="equal">
      <formula>"כ"</formula>
    </cfRule>
    <cfRule type="cellIs" dxfId="5782" priority="515" operator="equal">
      <formula>"כש"</formula>
    </cfRule>
    <cfRule type="cellIs" dxfId="5781" priority="514" stopIfTrue="1" operator="equal">
      <formula>"ח"</formula>
    </cfRule>
  </conditionalFormatting>
  <conditionalFormatting sqref="BN16:BN17">
    <cfRule type="cellIs" dxfId="5780" priority="513" operator="equal">
      <formula>"ח"</formula>
    </cfRule>
  </conditionalFormatting>
  <conditionalFormatting sqref="BN17">
    <cfRule type="cellIs" dxfId="5779" priority="495" operator="equal">
      <formula>"כ"</formula>
    </cfRule>
    <cfRule type="cellIs" dxfId="5778" priority="494" operator="equal">
      <formula>"כש"</formula>
    </cfRule>
    <cfRule type="cellIs" dxfId="5777" priority="493" stopIfTrue="1" operator="equal">
      <formula>"ח"</formula>
    </cfRule>
  </conditionalFormatting>
  <conditionalFormatting sqref="BN20:BN21">
    <cfRule type="cellIs" dxfId="5776" priority="485" operator="equal">
      <formula>"ח"</formula>
    </cfRule>
  </conditionalFormatting>
  <conditionalFormatting sqref="BN21">
    <cfRule type="cellIs" dxfId="5775" priority="465" stopIfTrue="1" operator="equal">
      <formula>"ח"</formula>
    </cfRule>
    <cfRule type="cellIs" dxfId="5774" priority="467" operator="equal">
      <formula>"כ"</formula>
    </cfRule>
    <cfRule type="cellIs" dxfId="5773" priority="466" operator="equal">
      <formula>"כש"</formula>
    </cfRule>
  </conditionalFormatting>
  <conditionalFormatting sqref="BN24:BN25">
    <cfRule type="cellIs" dxfId="5772" priority="464" operator="equal">
      <formula>"ח"</formula>
    </cfRule>
  </conditionalFormatting>
  <conditionalFormatting sqref="BN25">
    <cfRule type="cellIs" dxfId="5771" priority="444" stopIfTrue="1" operator="equal">
      <formula>"ח"</formula>
    </cfRule>
    <cfRule type="cellIs" dxfId="5770" priority="446" operator="equal">
      <formula>"כ"</formula>
    </cfRule>
    <cfRule type="cellIs" dxfId="5769" priority="445" operator="equal">
      <formula>"כש"</formula>
    </cfRule>
  </conditionalFormatting>
  <conditionalFormatting sqref="BN28:BN29">
    <cfRule type="cellIs" dxfId="5768" priority="443" operator="equal">
      <formula>"ח"</formula>
    </cfRule>
  </conditionalFormatting>
  <conditionalFormatting sqref="BN29">
    <cfRule type="cellIs" dxfId="5767" priority="423" stopIfTrue="1" operator="equal">
      <formula>"ח"</formula>
    </cfRule>
    <cfRule type="cellIs" dxfId="5766" priority="424" operator="equal">
      <formula>"כש"</formula>
    </cfRule>
    <cfRule type="cellIs" dxfId="5765" priority="425" operator="equal">
      <formula>"כ"</formula>
    </cfRule>
  </conditionalFormatting>
  <conditionalFormatting sqref="BN32:BN33">
    <cfRule type="cellIs" dxfId="5764" priority="41" operator="equal">
      <formula>"ח"</formula>
    </cfRule>
  </conditionalFormatting>
  <conditionalFormatting sqref="BN33">
    <cfRule type="cellIs" dxfId="5763" priority="23" operator="equal">
      <formula>"כ"</formula>
    </cfRule>
    <cfRule type="cellIs" dxfId="5762" priority="22" operator="equal">
      <formula>"כש"</formula>
    </cfRule>
    <cfRule type="cellIs" dxfId="5761" priority="21" stopIfTrue="1" operator="equal">
      <formula>"ח"</formula>
    </cfRule>
  </conditionalFormatting>
  <conditionalFormatting sqref="BN8:BT17">
    <cfRule type="cellIs" dxfId="5760" priority="551" operator="equal">
      <formula>"כש"</formula>
    </cfRule>
    <cfRule type="cellIs" dxfId="5759" priority="552" operator="equal">
      <formula>"כ"</formula>
    </cfRule>
  </conditionalFormatting>
  <conditionalFormatting sqref="BN12:BT13">
    <cfRule type="cellIs" dxfId="5758" priority="531" operator="equal">
      <formula>"כ"</formula>
    </cfRule>
    <cfRule type="cellIs" dxfId="5757" priority="530" operator="equal">
      <formula>"כש"</formula>
    </cfRule>
  </conditionalFormatting>
  <conditionalFormatting sqref="BN16:BT17">
    <cfRule type="cellIs" dxfId="5756" priority="510" operator="equal">
      <formula>"כ"</formula>
    </cfRule>
    <cfRule type="cellIs" dxfId="5755" priority="509" operator="equal">
      <formula>"כש"</formula>
    </cfRule>
  </conditionalFormatting>
  <conditionalFormatting sqref="BN20:BT29">
    <cfRule type="cellIs" dxfId="5754" priority="481" operator="equal">
      <formula>"כש"</formula>
    </cfRule>
    <cfRule type="cellIs" dxfId="5753" priority="482" operator="equal">
      <formula>"כ"</formula>
    </cfRule>
  </conditionalFormatting>
  <conditionalFormatting sqref="BN24:BT25">
    <cfRule type="cellIs" dxfId="5752" priority="460" operator="equal">
      <formula>"כש"</formula>
    </cfRule>
    <cfRule type="cellIs" dxfId="5751" priority="461" operator="equal">
      <formula>"כ"</formula>
    </cfRule>
  </conditionalFormatting>
  <conditionalFormatting sqref="BN28:BT29">
    <cfRule type="cellIs" dxfId="5750" priority="440" operator="equal">
      <formula>"כ"</formula>
    </cfRule>
    <cfRule type="cellIs" dxfId="5749" priority="439" operator="equal">
      <formula>"כש"</formula>
    </cfRule>
  </conditionalFormatting>
  <conditionalFormatting sqref="BN32:BT33">
    <cfRule type="cellIs" dxfId="5748" priority="38" operator="equal">
      <formula>"כ"</formula>
    </cfRule>
    <cfRule type="cellIs" dxfId="5747" priority="37" operator="equal">
      <formula>"כש"</formula>
    </cfRule>
  </conditionalFormatting>
  <conditionalFormatting sqref="BP5">
    <cfRule type="cellIs" dxfId="5746" priority="753" operator="equal">
      <formula>"כ"</formula>
    </cfRule>
    <cfRule type="cellIs" dxfId="5745" priority="752" operator="equal">
      <formula>"כש"</formula>
    </cfRule>
    <cfRule type="cellIs" dxfId="5744" priority="1028" stopIfTrue="1" operator="equal">
      <formula>"ח"</formula>
    </cfRule>
    <cfRule type="cellIs" dxfId="5743" priority="751" stopIfTrue="1" operator="equal">
      <formula>"ח"</formula>
    </cfRule>
  </conditionalFormatting>
  <conditionalFormatting sqref="BP6:BP35">
    <cfRule type="cellIs" dxfId="5742" priority="560" operator="equal">
      <formula>"ח"</formula>
    </cfRule>
  </conditionalFormatting>
  <conditionalFormatting sqref="BP8:BP9">
    <cfRule type="cellIs" dxfId="5741" priority="549" operator="equal">
      <formula>"ח"</formula>
    </cfRule>
  </conditionalFormatting>
  <conditionalFormatting sqref="BP9">
    <cfRule type="cellIs" dxfId="5740" priority="538" stopIfTrue="1" operator="equal">
      <formula>"ח"</formula>
    </cfRule>
    <cfRule type="cellIs" dxfId="5739" priority="539" operator="equal">
      <formula>"כש"</formula>
    </cfRule>
    <cfRule type="cellIs" dxfId="5738" priority="540" operator="equal">
      <formula>"כ"</formula>
    </cfRule>
  </conditionalFormatting>
  <conditionalFormatting sqref="BP12:BP13">
    <cfRule type="cellIs" dxfId="5737" priority="528" operator="equal">
      <formula>"ח"</formula>
    </cfRule>
  </conditionalFormatting>
  <conditionalFormatting sqref="BP13">
    <cfRule type="cellIs" dxfId="5736" priority="518" operator="equal">
      <formula>"כש"</formula>
    </cfRule>
    <cfRule type="cellIs" dxfId="5735" priority="519" operator="equal">
      <formula>"כ"</formula>
    </cfRule>
    <cfRule type="cellIs" dxfId="5734" priority="517" stopIfTrue="1" operator="equal">
      <formula>"ח"</formula>
    </cfRule>
  </conditionalFormatting>
  <conditionalFormatting sqref="BP16:BP17">
    <cfRule type="cellIs" dxfId="5733" priority="507" operator="equal">
      <formula>"ח"</formula>
    </cfRule>
  </conditionalFormatting>
  <conditionalFormatting sqref="BP17">
    <cfRule type="cellIs" dxfId="5732" priority="497" operator="equal">
      <formula>"כש"</formula>
    </cfRule>
    <cfRule type="cellIs" dxfId="5731" priority="496" stopIfTrue="1" operator="equal">
      <formula>"ח"</formula>
    </cfRule>
    <cfRule type="cellIs" dxfId="5730" priority="498" operator="equal">
      <formula>"כ"</formula>
    </cfRule>
  </conditionalFormatting>
  <conditionalFormatting sqref="BP20:BP21">
    <cfRule type="cellIs" dxfId="5729" priority="479" operator="equal">
      <formula>"ח"</formula>
    </cfRule>
  </conditionalFormatting>
  <conditionalFormatting sqref="BP20:BP29">
    <cfRule type="cellIs" dxfId="5728" priority="490" operator="equal">
      <formula>"ח"</formula>
    </cfRule>
  </conditionalFormatting>
  <conditionalFormatting sqref="BP21">
    <cfRule type="cellIs" dxfId="5727" priority="470" operator="equal">
      <formula>"כ"</formula>
    </cfRule>
    <cfRule type="cellIs" dxfId="5726" priority="469" operator="equal">
      <formula>"כש"</formula>
    </cfRule>
    <cfRule type="cellIs" dxfId="5725" priority="468" stopIfTrue="1" operator="equal">
      <formula>"ח"</formula>
    </cfRule>
  </conditionalFormatting>
  <conditionalFormatting sqref="BP24:BP25">
    <cfRule type="cellIs" dxfId="5724" priority="458" operator="equal">
      <formula>"ח"</formula>
    </cfRule>
  </conditionalFormatting>
  <conditionalFormatting sqref="BP25">
    <cfRule type="cellIs" dxfId="5723" priority="447" stopIfTrue="1" operator="equal">
      <formula>"ח"</formula>
    </cfRule>
    <cfRule type="cellIs" dxfId="5722" priority="449" operator="equal">
      <formula>"כ"</formula>
    </cfRule>
    <cfRule type="cellIs" dxfId="5721" priority="448" operator="equal">
      <formula>"כש"</formula>
    </cfRule>
  </conditionalFormatting>
  <conditionalFormatting sqref="BP28:BP29">
    <cfRule type="cellIs" dxfId="5720" priority="437" operator="equal">
      <formula>"ח"</formula>
    </cfRule>
  </conditionalFormatting>
  <conditionalFormatting sqref="BP29">
    <cfRule type="cellIs" dxfId="5719" priority="427" operator="equal">
      <formula>"כש"</formula>
    </cfRule>
    <cfRule type="cellIs" dxfId="5718" priority="426" stopIfTrue="1" operator="equal">
      <formula>"ח"</formula>
    </cfRule>
    <cfRule type="cellIs" dxfId="5717" priority="428" operator="equal">
      <formula>"כ"</formula>
    </cfRule>
  </conditionalFormatting>
  <conditionalFormatting sqref="BP32:BP33">
    <cfRule type="cellIs" dxfId="5716" priority="53" operator="equal">
      <formula>"ח"</formula>
    </cfRule>
    <cfRule type="cellIs" dxfId="5715" priority="46" operator="equal">
      <formula>"ח"</formula>
    </cfRule>
    <cfRule type="cellIs" dxfId="5714" priority="35" operator="equal">
      <formula>"ח"</formula>
    </cfRule>
  </conditionalFormatting>
  <conditionalFormatting sqref="BP33">
    <cfRule type="cellIs" dxfId="5713" priority="25" operator="equal">
      <formula>"כש"</formula>
    </cfRule>
    <cfRule type="cellIs" dxfId="5712" priority="26" operator="equal">
      <formula>"כ"</formula>
    </cfRule>
    <cfRule type="cellIs" dxfId="5711" priority="24" stopIfTrue="1" operator="equal">
      <formula>"ח"</formula>
    </cfRule>
  </conditionalFormatting>
  <conditionalFormatting sqref="BP5:BQ35">
    <cfRule type="cellIs" dxfId="5710" priority="1030" operator="equal">
      <formula>"כ"</formula>
    </cfRule>
    <cfRule type="cellIs" dxfId="5709" priority="1029" operator="equal">
      <formula>"כש"</formula>
    </cfRule>
  </conditionalFormatting>
  <conditionalFormatting sqref="BQ3:CA3 BQ4">
    <cfRule type="cellIs" dxfId="5708" priority="848" operator="equal">
      <formula>"מנוחה"</formula>
    </cfRule>
    <cfRule type="cellIs" dxfId="5707" priority="849" operator="equal">
      <formula>"מיל"</formula>
    </cfRule>
    <cfRule type="cellIs" dxfId="5706" priority="850" operator="equal">
      <formula>"ח"</formula>
    </cfRule>
    <cfRule type="cellIs" dxfId="5705" priority="851" operator="equal">
      <formula>"כש"</formula>
    </cfRule>
    <cfRule type="cellIs" dxfId="5704" priority="842" operator="equal">
      <formula>"ל"</formula>
    </cfRule>
    <cfRule type="cellIs" dxfId="5703" priority="843" operator="equal">
      <formula>"י"</formula>
    </cfRule>
    <cfRule type="cellIs" dxfId="5702" priority="844" operator="equal">
      <formula>"כמש"</formula>
    </cfRule>
    <cfRule type="cellIs" dxfId="5701" priority="852" operator="equal">
      <formula>"כ"</formula>
    </cfRule>
    <cfRule type="cellIs" dxfId="5700" priority="845" operator="equal">
      <formula>"כמ"</formula>
    </cfRule>
    <cfRule type="cellIs" dxfId="5699" priority="846" operator="equal">
      <formula>"ק"</formula>
    </cfRule>
    <cfRule type="cellIs" dxfId="5698" priority="847" operator="equal">
      <formula>"מ"</formula>
    </cfRule>
  </conditionalFormatting>
  <conditionalFormatting sqref="BR5">
    <cfRule type="cellIs" dxfId="5697" priority="750" operator="equal">
      <formula>"כ"</formula>
    </cfRule>
    <cfRule type="cellIs" dxfId="5696" priority="749" operator="equal">
      <formula>"כש"</formula>
    </cfRule>
    <cfRule type="cellIs" dxfId="5695" priority="1006" stopIfTrue="1" operator="equal">
      <formula>"ח"</formula>
    </cfRule>
    <cfRule type="cellIs" dxfId="5694" priority="748" stopIfTrue="1" operator="equal">
      <formula>"ח"</formula>
    </cfRule>
  </conditionalFormatting>
  <conditionalFormatting sqref="BR6:BR35">
    <cfRule type="cellIs" dxfId="5693" priority="559" operator="equal">
      <formula>"ח"</formula>
    </cfRule>
  </conditionalFormatting>
  <conditionalFormatting sqref="BR8:BR9">
    <cfRule type="cellIs" dxfId="5692" priority="548" operator="equal">
      <formula>"ח"</formula>
    </cfRule>
  </conditionalFormatting>
  <conditionalFormatting sqref="BR9">
    <cfRule type="cellIs" dxfId="5691" priority="542" operator="equal">
      <formula>"כש"</formula>
    </cfRule>
    <cfRule type="cellIs" dxfId="5690" priority="541" stopIfTrue="1" operator="equal">
      <formula>"ח"</formula>
    </cfRule>
    <cfRule type="cellIs" dxfId="5689" priority="543" operator="equal">
      <formula>"כ"</formula>
    </cfRule>
  </conditionalFormatting>
  <conditionalFormatting sqref="BR12:BR13">
    <cfRule type="cellIs" dxfId="5688" priority="527" operator="equal">
      <formula>"ח"</formula>
    </cfRule>
  </conditionalFormatting>
  <conditionalFormatting sqref="BR13">
    <cfRule type="cellIs" dxfId="5687" priority="521" operator="equal">
      <formula>"כש"</formula>
    </cfRule>
    <cfRule type="cellIs" dxfId="5686" priority="522" operator="equal">
      <formula>"כ"</formula>
    </cfRule>
    <cfRule type="cellIs" dxfId="5685" priority="520" stopIfTrue="1" operator="equal">
      <formula>"ח"</formula>
    </cfRule>
  </conditionalFormatting>
  <conditionalFormatting sqref="BR16:BR17">
    <cfRule type="cellIs" dxfId="5684" priority="506" operator="equal">
      <formula>"ח"</formula>
    </cfRule>
  </conditionalFormatting>
  <conditionalFormatting sqref="BR17">
    <cfRule type="cellIs" dxfId="5683" priority="501" operator="equal">
      <formula>"כ"</formula>
    </cfRule>
    <cfRule type="cellIs" dxfId="5682" priority="499" stopIfTrue="1" operator="equal">
      <formula>"ח"</formula>
    </cfRule>
    <cfRule type="cellIs" dxfId="5681" priority="500" operator="equal">
      <formula>"כש"</formula>
    </cfRule>
  </conditionalFormatting>
  <conditionalFormatting sqref="BR20:BR21">
    <cfRule type="cellIs" dxfId="5680" priority="478" operator="equal">
      <formula>"ח"</formula>
    </cfRule>
  </conditionalFormatting>
  <conditionalFormatting sqref="BR20:BR29">
    <cfRule type="cellIs" dxfId="5679" priority="489" operator="equal">
      <formula>"ח"</formula>
    </cfRule>
  </conditionalFormatting>
  <conditionalFormatting sqref="BR21">
    <cfRule type="cellIs" dxfId="5678" priority="472" operator="equal">
      <formula>"כש"</formula>
    </cfRule>
    <cfRule type="cellIs" dxfId="5677" priority="473" operator="equal">
      <formula>"כ"</formula>
    </cfRule>
    <cfRule type="cellIs" dxfId="5676" priority="471" stopIfTrue="1" operator="equal">
      <formula>"ח"</formula>
    </cfRule>
  </conditionalFormatting>
  <conditionalFormatting sqref="BR24:BR25">
    <cfRule type="cellIs" dxfId="5675" priority="457" operator="equal">
      <formula>"ח"</formula>
    </cfRule>
  </conditionalFormatting>
  <conditionalFormatting sqref="BR25">
    <cfRule type="cellIs" dxfId="5674" priority="451" operator="equal">
      <formula>"כש"</formula>
    </cfRule>
    <cfRule type="cellIs" dxfId="5673" priority="452" operator="equal">
      <formula>"כ"</formula>
    </cfRule>
    <cfRule type="cellIs" dxfId="5672" priority="450" stopIfTrue="1" operator="equal">
      <formula>"ח"</formula>
    </cfRule>
  </conditionalFormatting>
  <conditionalFormatting sqref="BR28:BR29">
    <cfRule type="cellIs" dxfId="5671" priority="436" operator="equal">
      <formula>"ח"</formula>
    </cfRule>
  </conditionalFormatting>
  <conditionalFormatting sqref="BR29">
    <cfRule type="cellIs" dxfId="5670" priority="431" operator="equal">
      <formula>"כ"</formula>
    </cfRule>
    <cfRule type="cellIs" dxfId="5669" priority="430" operator="equal">
      <formula>"כש"</formula>
    </cfRule>
    <cfRule type="cellIs" dxfId="5668" priority="429" stopIfTrue="1" operator="equal">
      <formula>"ח"</formula>
    </cfRule>
  </conditionalFormatting>
  <conditionalFormatting sqref="BR32:BR33">
    <cfRule type="cellIs" dxfId="5667" priority="52" operator="equal">
      <formula>"ח"</formula>
    </cfRule>
    <cfRule type="cellIs" dxfId="5666" priority="34" operator="equal">
      <formula>"ח"</formula>
    </cfRule>
    <cfRule type="cellIs" dxfId="5665" priority="45" operator="equal">
      <formula>"ח"</formula>
    </cfRule>
  </conditionalFormatting>
  <conditionalFormatting sqref="BR33">
    <cfRule type="cellIs" dxfId="5664" priority="27" stopIfTrue="1" operator="equal">
      <formula>"ח"</formula>
    </cfRule>
    <cfRule type="cellIs" dxfId="5663" priority="28" operator="equal">
      <formula>"כש"</formula>
    </cfRule>
    <cfRule type="cellIs" dxfId="5662" priority="29" operator="equal">
      <formula>"כ"</formula>
    </cfRule>
  </conditionalFormatting>
  <conditionalFormatting sqref="BR5:BS35">
    <cfRule type="cellIs" dxfId="5661" priority="1008" operator="equal">
      <formula>"כ"</formula>
    </cfRule>
    <cfRule type="cellIs" dxfId="5660" priority="1007" operator="equal">
      <formula>"כש"</formula>
    </cfRule>
  </conditionalFormatting>
  <conditionalFormatting sqref="BT5">
    <cfRule type="cellIs" dxfId="5659" priority="984" stopIfTrue="1" operator="equal">
      <formula>"ח"</formula>
    </cfRule>
  </conditionalFormatting>
  <conditionalFormatting sqref="BT6:BT35">
    <cfRule type="cellIs" dxfId="5658" priority="556" operator="equal">
      <formula>"ח"</formula>
    </cfRule>
  </conditionalFormatting>
  <conditionalFormatting sqref="BT8:BT9">
    <cfRule type="cellIs" dxfId="5657" priority="547" operator="equal">
      <formula>"ח"</formula>
    </cfRule>
  </conditionalFormatting>
  <conditionalFormatting sqref="BT9">
    <cfRule type="cellIs" dxfId="5656" priority="546" operator="equal">
      <formula>"כ"</formula>
    </cfRule>
    <cfRule type="cellIs" dxfId="5655" priority="545" operator="equal">
      <formula>"כש"</formula>
    </cfRule>
    <cfRule type="cellIs" dxfId="5654" priority="544" stopIfTrue="1" operator="equal">
      <formula>"ח"</formula>
    </cfRule>
  </conditionalFormatting>
  <conditionalFormatting sqref="BT12:BT13">
    <cfRule type="cellIs" dxfId="5653" priority="526" operator="equal">
      <formula>"ח"</formula>
    </cfRule>
  </conditionalFormatting>
  <conditionalFormatting sqref="BT13">
    <cfRule type="cellIs" dxfId="5652" priority="525" operator="equal">
      <formula>"כ"</formula>
    </cfRule>
    <cfRule type="cellIs" dxfId="5651" priority="524" operator="equal">
      <formula>"כש"</formula>
    </cfRule>
    <cfRule type="cellIs" dxfId="5650" priority="523" stopIfTrue="1" operator="equal">
      <formula>"ח"</formula>
    </cfRule>
  </conditionalFormatting>
  <conditionalFormatting sqref="BT16:BT17">
    <cfRule type="cellIs" dxfId="5649" priority="505" operator="equal">
      <formula>"ח"</formula>
    </cfRule>
  </conditionalFormatting>
  <conditionalFormatting sqref="BT17">
    <cfRule type="cellIs" dxfId="5648" priority="502" stopIfTrue="1" operator="equal">
      <formula>"ח"</formula>
    </cfRule>
    <cfRule type="cellIs" dxfId="5647" priority="504" operator="equal">
      <formula>"כ"</formula>
    </cfRule>
    <cfRule type="cellIs" dxfId="5646" priority="503" operator="equal">
      <formula>"כש"</formula>
    </cfRule>
  </conditionalFormatting>
  <conditionalFormatting sqref="BT20:BT21">
    <cfRule type="cellIs" dxfId="5645" priority="477" operator="equal">
      <formula>"ח"</formula>
    </cfRule>
  </conditionalFormatting>
  <conditionalFormatting sqref="BT20:BT29">
    <cfRule type="cellIs" dxfId="5644" priority="486" operator="equal">
      <formula>"ח"</formula>
    </cfRule>
  </conditionalFormatting>
  <conditionalFormatting sqref="BT21">
    <cfRule type="cellIs" dxfId="5643" priority="474" stopIfTrue="1" operator="equal">
      <formula>"ח"</formula>
    </cfRule>
    <cfRule type="cellIs" dxfId="5642" priority="475" operator="equal">
      <formula>"כש"</formula>
    </cfRule>
    <cfRule type="cellIs" dxfId="5641" priority="476" operator="equal">
      <formula>"כ"</formula>
    </cfRule>
  </conditionalFormatting>
  <conditionalFormatting sqref="BT24:BT25">
    <cfRule type="cellIs" dxfId="5640" priority="456" operator="equal">
      <formula>"ח"</formula>
    </cfRule>
  </conditionalFormatting>
  <conditionalFormatting sqref="BT25">
    <cfRule type="cellIs" dxfId="5639" priority="455" operator="equal">
      <formula>"כ"</formula>
    </cfRule>
    <cfRule type="cellIs" dxfId="5638" priority="454" operator="equal">
      <formula>"כש"</formula>
    </cfRule>
    <cfRule type="cellIs" dxfId="5637" priority="453" stopIfTrue="1" operator="equal">
      <formula>"ח"</formula>
    </cfRule>
  </conditionalFormatting>
  <conditionalFormatting sqref="BT28:BT29">
    <cfRule type="cellIs" dxfId="5636" priority="435" operator="equal">
      <formula>"ח"</formula>
    </cfRule>
  </conditionalFormatting>
  <conditionalFormatting sqref="BT29">
    <cfRule type="cellIs" dxfId="5635" priority="432" stopIfTrue="1" operator="equal">
      <formula>"ח"</formula>
    </cfRule>
    <cfRule type="cellIs" dxfId="5634" priority="433" operator="equal">
      <formula>"כש"</formula>
    </cfRule>
    <cfRule type="cellIs" dxfId="5633" priority="434" operator="equal">
      <formula>"כ"</formula>
    </cfRule>
  </conditionalFormatting>
  <conditionalFormatting sqref="BT32:BT33">
    <cfRule type="cellIs" dxfId="5632" priority="42" operator="equal">
      <formula>"ח"</formula>
    </cfRule>
    <cfRule type="cellIs" dxfId="5631" priority="33" operator="equal">
      <formula>"ח"</formula>
    </cfRule>
    <cfRule type="cellIs" dxfId="5630" priority="51" operator="equal">
      <formula>"ח"</formula>
    </cfRule>
  </conditionalFormatting>
  <conditionalFormatting sqref="BT33">
    <cfRule type="cellIs" dxfId="5629" priority="30" stopIfTrue="1" operator="equal">
      <formula>"ח"</formula>
    </cfRule>
    <cfRule type="cellIs" dxfId="5628" priority="31" operator="equal">
      <formula>"כש"</formula>
    </cfRule>
    <cfRule type="cellIs" dxfId="5627" priority="32" operator="equal">
      <formula>"כ"</formula>
    </cfRule>
  </conditionalFormatting>
  <conditionalFormatting sqref="BT5:BW35">
    <cfRule type="cellIs" dxfId="5626" priority="985" operator="equal">
      <formula>"כש"</formula>
    </cfRule>
    <cfRule type="cellIs" dxfId="5625" priority="986" operator="equal">
      <formula>"כ"</formula>
    </cfRule>
  </conditionalFormatting>
  <conditionalFormatting sqref="BV5:BV6">
    <cfRule type="cellIs" dxfId="5624" priority="730" operator="equal">
      <formula>"ח"</formula>
    </cfRule>
    <cfRule type="cellIs" dxfId="5623" priority="712" operator="equal">
      <formula>"כ"</formula>
    </cfRule>
    <cfRule type="cellIs" dxfId="5622" priority="711" operator="equal">
      <formula>"כש"</formula>
    </cfRule>
  </conditionalFormatting>
  <conditionalFormatting sqref="BV6">
    <cfRule type="cellIs" dxfId="5621" priority="710" stopIfTrue="1" operator="equal">
      <formula>"ח"</formula>
    </cfRule>
  </conditionalFormatting>
  <conditionalFormatting sqref="BV9:BV10">
    <cfRule type="cellIs" dxfId="5620" priority="709" operator="equal">
      <formula>"ח"</formula>
    </cfRule>
  </conditionalFormatting>
  <conditionalFormatting sqref="BV10">
    <cfRule type="cellIs" dxfId="5619" priority="691" operator="equal">
      <formula>"כ"</formula>
    </cfRule>
    <cfRule type="cellIs" dxfId="5618" priority="690" operator="equal">
      <formula>"כש"</formula>
    </cfRule>
    <cfRule type="cellIs" dxfId="5617" priority="689" stopIfTrue="1" operator="equal">
      <formula>"ח"</formula>
    </cfRule>
  </conditionalFormatting>
  <conditionalFormatting sqref="BV13:BV14">
    <cfRule type="cellIs" dxfId="5616" priority="688" operator="equal">
      <formula>"ח"</formula>
    </cfRule>
  </conditionalFormatting>
  <conditionalFormatting sqref="BV14">
    <cfRule type="cellIs" dxfId="5615" priority="670" operator="equal">
      <formula>"כ"</formula>
    </cfRule>
    <cfRule type="cellIs" dxfId="5614" priority="669" operator="equal">
      <formula>"כש"</formula>
    </cfRule>
    <cfRule type="cellIs" dxfId="5613" priority="668" stopIfTrue="1" operator="equal">
      <formula>"ח"</formula>
    </cfRule>
  </conditionalFormatting>
  <conditionalFormatting sqref="BV17:BV18">
    <cfRule type="cellIs" dxfId="5612" priority="667" operator="equal">
      <formula>"ח"</formula>
    </cfRule>
  </conditionalFormatting>
  <conditionalFormatting sqref="BV18">
    <cfRule type="cellIs" dxfId="5611" priority="647" stopIfTrue="1" operator="equal">
      <formula>"ח"</formula>
    </cfRule>
    <cfRule type="cellIs" dxfId="5610" priority="648" operator="equal">
      <formula>"כש"</formula>
    </cfRule>
    <cfRule type="cellIs" dxfId="5609" priority="649" operator="equal">
      <formula>"כ"</formula>
    </cfRule>
  </conditionalFormatting>
  <conditionalFormatting sqref="BV21:BV22">
    <cfRule type="cellIs" dxfId="5608" priority="646" operator="equal">
      <formula>"ח"</formula>
    </cfRule>
  </conditionalFormatting>
  <conditionalFormatting sqref="BV22">
    <cfRule type="cellIs" dxfId="5607" priority="628" operator="equal">
      <formula>"כ"</formula>
    </cfRule>
    <cfRule type="cellIs" dxfId="5606" priority="626" stopIfTrue="1" operator="equal">
      <formula>"ח"</formula>
    </cfRule>
    <cfRule type="cellIs" dxfId="5605" priority="627" operator="equal">
      <formula>"כש"</formula>
    </cfRule>
  </conditionalFormatting>
  <conditionalFormatting sqref="BV25:BV26">
    <cfRule type="cellIs" dxfId="5604" priority="625" operator="equal">
      <formula>"ח"</formula>
    </cfRule>
  </conditionalFormatting>
  <conditionalFormatting sqref="BV26">
    <cfRule type="cellIs" dxfId="5603" priority="605" stopIfTrue="1" operator="equal">
      <formula>"ח"</formula>
    </cfRule>
    <cfRule type="cellIs" dxfId="5602" priority="606" operator="equal">
      <formula>"כש"</formula>
    </cfRule>
    <cfRule type="cellIs" dxfId="5601" priority="607" operator="equal">
      <formula>"כ"</formula>
    </cfRule>
  </conditionalFormatting>
  <conditionalFormatting sqref="BV29:BV30">
    <cfRule type="cellIs" dxfId="5600" priority="604" operator="equal">
      <formula>"ח"</formula>
    </cfRule>
  </conditionalFormatting>
  <conditionalFormatting sqref="BV30">
    <cfRule type="cellIs" dxfId="5599" priority="586" operator="equal">
      <formula>"כ"</formula>
    </cfRule>
    <cfRule type="cellIs" dxfId="5598" priority="585" operator="equal">
      <formula>"כש"</formula>
    </cfRule>
    <cfRule type="cellIs" dxfId="5597" priority="584" stopIfTrue="1" operator="equal">
      <formula>"ח"</formula>
    </cfRule>
  </conditionalFormatting>
  <conditionalFormatting sqref="BV33:BV34">
    <cfRule type="cellIs" dxfId="5596" priority="583" operator="equal">
      <formula>"ח"</formula>
    </cfRule>
  </conditionalFormatting>
  <conditionalFormatting sqref="BV34">
    <cfRule type="cellIs" dxfId="5595" priority="565" operator="equal">
      <formula>"כ"</formula>
    </cfRule>
    <cfRule type="cellIs" dxfId="5594" priority="564" operator="equal">
      <formula>"כש"</formula>
    </cfRule>
    <cfRule type="cellIs" dxfId="5593" priority="563" stopIfTrue="1" operator="equal">
      <formula>"ח"</formula>
    </cfRule>
  </conditionalFormatting>
  <conditionalFormatting sqref="BV5:CB6">
    <cfRule type="cellIs" dxfId="5592" priority="726" operator="equal">
      <formula>"כש"</formula>
    </cfRule>
    <cfRule type="cellIs" dxfId="5591" priority="727" operator="equal">
      <formula>"כ"</formula>
    </cfRule>
  </conditionalFormatting>
  <conditionalFormatting sqref="BV9:CB10">
    <cfRule type="cellIs" dxfId="5590" priority="706" operator="equal">
      <formula>"כ"</formula>
    </cfRule>
    <cfRule type="cellIs" dxfId="5589" priority="705" operator="equal">
      <formula>"כש"</formula>
    </cfRule>
  </conditionalFormatting>
  <conditionalFormatting sqref="BV13:CB14">
    <cfRule type="cellIs" dxfId="5588" priority="684" operator="equal">
      <formula>"כש"</formula>
    </cfRule>
    <cfRule type="cellIs" dxfId="5587" priority="685" operator="equal">
      <formula>"כ"</formula>
    </cfRule>
  </conditionalFormatting>
  <conditionalFormatting sqref="BV17:CB18">
    <cfRule type="cellIs" dxfId="5586" priority="664" operator="equal">
      <formula>"כ"</formula>
    </cfRule>
    <cfRule type="cellIs" dxfId="5585" priority="663" operator="equal">
      <formula>"כש"</formula>
    </cfRule>
  </conditionalFormatting>
  <conditionalFormatting sqref="BV21:CB22">
    <cfRule type="cellIs" dxfId="5584" priority="643" operator="equal">
      <formula>"כ"</formula>
    </cfRule>
    <cfRule type="cellIs" dxfId="5583" priority="642" operator="equal">
      <formula>"כש"</formula>
    </cfRule>
  </conditionalFormatting>
  <conditionalFormatting sqref="BV25:CB26">
    <cfRule type="cellIs" dxfId="5582" priority="621" operator="equal">
      <formula>"כש"</formula>
    </cfRule>
    <cfRule type="cellIs" dxfId="5581" priority="622" operator="equal">
      <formula>"כ"</formula>
    </cfRule>
  </conditionalFormatting>
  <conditionalFormatting sqref="BV29:CB30">
    <cfRule type="cellIs" dxfId="5580" priority="600" operator="equal">
      <formula>"כש"</formula>
    </cfRule>
    <cfRule type="cellIs" dxfId="5579" priority="601" operator="equal">
      <formula>"כ"</formula>
    </cfRule>
  </conditionalFormatting>
  <conditionalFormatting sqref="BV33:CB34">
    <cfRule type="cellIs" dxfId="5578" priority="579" operator="equal">
      <formula>"כש"</formula>
    </cfRule>
    <cfRule type="cellIs" dxfId="5577" priority="580" operator="equal">
      <formula>"כ"</formula>
    </cfRule>
  </conditionalFormatting>
  <conditionalFormatting sqref="BX5:BX6">
    <cfRule type="cellIs" dxfId="5576" priority="724" operator="equal">
      <formula>"ח"</formula>
    </cfRule>
  </conditionalFormatting>
  <conditionalFormatting sqref="BX5:BX35">
    <cfRule type="cellIs" dxfId="5575" priority="973" operator="equal">
      <formula>"ח"</formula>
    </cfRule>
  </conditionalFormatting>
  <conditionalFormatting sqref="BX6">
    <cfRule type="cellIs" dxfId="5574" priority="714" operator="equal">
      <formula>"כש"</formula>
    </cfRule>
    <cfRule type="cellIs" dxfId="5573" priority="713" stopIfTrue="1" operator="equal">
      <formula>"ח"</formula>
    </cfRule>
    <cfRule type="cellIs" dxfId="5572" priority="715" operator="equal">
      <formula>"כ"</formula>
    </cfRule>
  </conditionalFormatting>
  <conditionalFormatting sqref="BX9:BX10">
    <cfRule type="cellIs" dxfId="5571" priority="703" operator="equal">
      <formula>"ח"</formula>
    </cfRule>
  </conditionalFormatting>
  <conditionalFormatting sqref="BX10">
    <cfRule type="cellIs" dxfId="5570" priority="692" stopIfTrue="1" operator="equal">
      <formula>"ח"</formula>
    </cfRule>
    <cfRule type="cellIs" dxfId="5569" priority="693" operator="equal">
      <formula>"כש"</formula>
    </cfRule>
    <cfRule type="cellIs" dxfId="5568" priority="694" operator="equal">
      <formula>"כ"</formula>
    </cfRule>
  </conditionalFormatting>
  <conditionalFormatting sqref="BX13:BX14">
    <cfRule type="cellIs" dxfId="5567" priority="682" operator="equal">
      <formula>"ח"</formula>
    </cfRule>
  </conditionalFormatting>
  <conditionalFormatting sqref="BX14">
    <cfRule type="cellIs" dxfId="5566" priority="671" stopIfTrue="1" operator="equal">
      <formula>"ח"</formula>
    </cfRule>
    <cfRule type="cellIs" dxfId="5565" priority="673" operator="equal">
      <formula>"כ"</formula>
    </cfRule>
    <cfRule type="cellIs" dxfId="5564" priority="672" operator="equal">
      <formula>"כש"</formula>
    </cfRule>
  </conditionalFormatting>
  <conditionalFormatting sqref="BX17:BX18">
    <cfRule type="cellIs" dxfId="5563" priority="661" operator="equal">
      <formula>"ח"</formula>
    </cfRule>
  </conditionalFormatting>
  <conditionalFormatting sqref="BX18">
    <cfRule type="cellIs" dxfId="5562" priority="651" operator="equal">
      <formula>"כש"</formula>
    </cfRule>
    <cfRule type="cellIs" dxfId="5561" priority="650" stopIfTrue="1" operator="equal">
      <formula>"ח"</formula>
    </cfRule>
    <cfRule type="cellIs" dxfId="5560" priority="652" operator="equal">
      <formula>"כ"</formula>
    </cfRule>
  </conditionalFormatting>
  <conditionalFormatting sqref="BX21:BX22">
    <cfRule type="cellIs" dxfId="5559" priority="640" operator="equal">
      <formula>"ח"</formula>
    </cfRule>
  </conditionalFormatting>
  <conditionalFormatting sqref="BX22">
    <cfRule type="cellIs" dxfId="5558" priority="629" stopIfTrue="1" operator="equal">
      <formula>"ח"</formula>
    </cfRule>
    <cfRule type="cellIs" dxfId="5557" priority="631" operator="equal">
      <formula>"כ"</formula>
    </cfRule>
    <cfRule type="cellIs" dxfId="5556" priority="630" operator="equal">
      <formula>"כש"</formula>
    </cfRule>
  </conditionalFormatting>
  <conditionalFormatting sqref="BX25:BX26">
    <cfRule type="cellIs" dxfId="5555" priority="619" operator="equal">
      <formula>"ח"</formula>
    </cfRule>
  </conditionalFormatting>
  <conditionalFormatting sqref="BX26">
    <cfRule type="cellIs" dxfId="5554" priority="610" operator="equal">
      <formula>"כ"</formula>
    </cfRule>
    <cfRule type="cellIs" dxfId="5553" priority="608" stopIfTrue="1" operator="equal">
      <formula>"ח"</formula>
    </cfRule>
    <cfRule type="cellIs" dxfId="5552" priority="609" operator="equal">
      <formula>"כש"</formula>
    </cfRule>
  </conditionalFormatting>
  <conditionalFormatting sqref="BX29:BX30">
    <cfRule type="cellIs" dxfId="5551" priority="598" operator="equal">
      <formula>"ח"</formula>
    </cfRule>
  </conditionalFormatting>
  <conditionalFormatting sqref="BX30">
    <cfRule type="cellIs" dxfId="5550" priority="587" stopIfTrue="1" operator="equal">
      <formula>"ח"</formula>
    </cfRule>
    <cfRule type="cellIs" dxfId="5549" priority="588" operator="equal">
      <formula>"כש"</formula>
    </cfRule>
    <cfRule type="cellIs" dxfId="5548" priority="589" operator="equal">
      <formula>"כ"</formula>
    </cfRule>
  </conditionalFormatting>
  <conditionalFormatting sqref="BX33:BX34">
    <cfRule type="cellIs" dxfId="5547" priority="577" operator="equal">
      <formula>"ח"</formula>
    </cfRule>
  </conditionalFormatting>
  <conditionalFormatting sqref="BX34">
    <cfRule type="cellIs" dxfId="5546" priority="568" operator="equal">
      <formula>"כ"</formula>
    </cfRule>
    <cfRule type="cellIs" dxfId="5545" priority="566" stopIfTrue="1" operator="equal">
      <formula>"ח"</formula>
    </cfRule>
    <cfRule type="cellIs" dxfId="5544" priority="567" operator="equal">
      <formula>"כש"</formula>
    </cfRule>
  </conditionalFormatting>
  <conditionalFormatting sqref="BX5:CD35 CE5">
    <cfRule type="cellIs" dxfId="5543" priority="764" operator="equal">
      <formula>"כ"</formula>
    </cfRule>
    <cfRule type="cellIs" dxfId="5542" priority="763" operator="equal">
      <formula>"כש"</formula>
    </cfRule>
  </conditionalFormatting>
  <conditionalFormatting sqref="BZ5:BZ6">
    <cfRule type="cellIs" dxfId="5541" priority="723" operator="equal">
      <formula>"ח"</formula>
    </cfRule>
  </conditionalFormatting>
  <conditionalFormatting sqref="BZ5:BZ35">
    <cfRule type="cellIs" dxfId="5540" priority="962" operator="equal">
      <formula>"ח"</formula>
    </cfRule>
  </conditionalFormatting>
  <conditionalFormatting sqref="BZ6">
    <cfRule type="cellIs" dxfId="5539" priority="717" operator="equal">
      <formula>"כש"</formula>
    </cfRule>
    <cfRule type="cellIs" dxfId="5538" priority="718" operator="equal">
      <formula>"כ"</formula>
    </cfRule>
    <cfRule type="cellIs" dxfId="5537" priority="716" stopIfTrue="1" operator="equal">
      <formula>"ח"</formula>
    </cfRule>
  </conditionalFormatting>
  <conditionalFormatting sqref="BZ9:BZ10">
    <cfRule type="cellIs" dxfId="5536" priority="702" operator="equal">
      <formula>"ח"</formula>
    </cfRule>
  </conditionalFormatting>
  <conditionalFormatting sqref="BZ10">
    <cfRule type="cellIs" dxfId="5535" priority="695" stopIfTrue="1" operator="equal">
      <formula>"ח"</formula>
    </cfRule>
    <cfRule type="cellIs" dxfId="5534" priority="696" operator="equal">
      <formula>"כש"</formula>
    </cfRule>
    <cfRule type="cellIs" dxfId="5533" priority="697" operator="equal">
      <formula>"כ"</formula>
    </cfRule>
  </conditionalFormatting>
  <conditionalFormatting sqref="BZ13:BZ14">
    <cfRule type="cellIs" dxfId="5532" priority="681" operator="equal">
      <formula>"ח"</formula>
    </cfRule>
  </conditionalFormatting>
  <conditionalFormatting sqref="BZ14">
    <cfRule type="cellIs" dxfId="5531" priority="676" operator="equal">
      <formula>"כ"</formula>
    </cfRule>
    <cfRule type="cellIs" dxfId="5530" priority="675" operator="equal">
      <formula>"כש"</formula>
    </cfRule>
    <cfRule type="cellIs" dxfId="5529" priority="674" stopIfTrue="1" operator="equal">
      <formula>"ח"</formula>
    </cfRule>
  </conditionalFormatting>
  <conditionalFormatting sqref="BZ17:BZ18">
    <cfRule type="cellIs" dxfId="5528" priority="660" operator="equal">
      <formula>"ח"</formula>
    </cfRule>
  </conditionalFormatting>
  <conditionalFormatting sqref="BZ18">
    <cfRule type="cellIs" dxfId="5527" priority="655" operator="equal">
      <formula>"כ"</formula>
    </cfRule>
    <cfRule type="cellIs" dxfId="5526" priority="653" stopIfTrue="1" operator="equal">
      <formula>"ח"</formula>
    </cfRule>
    <cfRule type="cellIs" dxfId="5525" priority="654" operator="equal">
      <formula>"כש"</formula>
    </cfRule>
  </conditionalFormatting>
  <conditionalFormatting sqref="BZ21:BZ22">
    <cfRule type="cellIs" dxfId="5524" priority="639" operator="equal">
      <formula>"ח"</formula>
    </cfRule>
  </conditionalFormatting>
  <conditionalFormatting sqref="BZ22">
    <cfRule type="cellIs" dxfId="5523" priority="633" operator="equal">
      <formula>"כש"</formula>
    </cfRule>
    <cfRule type="cellIs" dxfId="5522" priority="632" stopIfTrue="1" operator="equal">
      <formula>"ח"</formula>
    </cfRule>
    <cfRule type="cellIs" dxfId="5521" priority="634" operator="equal">
      <formula>"כ"</formula>
    </cfRule>
  </conditionalFormatting>
  <conditionalFormatting sqref="BZ25:BZ26">
    <cfRule type="cellIs" dxfId="5520" priority="618" operator="equal">
      <formula>"ח"</formula>
    </cfRule>
  </conditionalFormatting>
  <conditionalFormatting sqref="BZ26">
    <cfRule type="cellIs" dxfId="5519" priority="611" stopIfTrue="1" operator="equal">
      <formula>"ח"</formula>
    </cfRule>
    <cfRule type="cellIs" dxfId="5518" priority="612" operator="equal">
      <formula>"כש"</formula>
    </cfRule>
    <cfRule type="cellIs" dxfId="5517" priority="613" operator="equal">
      <formula>"כ"</formula>
    </cfRule>
  </conditionalFormatting>
  <conditionalFormatting sqref="BZ29:BZ30">
    <cfRule type="cellIs" dxfId="5516" priority="597" operator="equal">
      <formula>"ח"</formula>
    </cfRule>
  </conditionalFormatting>
  <conditionalFormatting sqref="BZ30">
    <cfRule type="cellIs" dxfId="5515" priority="592" operator="equal">
      <formula>"כ"</formula>
    </cfRule>
    <cfRule type="cellIs" dxfId="5514" priority="591" operator="equal">
      <formula>"כש"</formula>
    </cfRule>
    <cfRule type="cellIs" dxfId="5513" priority="590" stopIfTrue="1" operator="equal">
      <formula>"ח"</formula>
    </cfRule>
  </conditionalFormatting>
  <conditionalFormatting sqref="BZ33:BZ34">
    <cfRule type="cellIs" dxfId="5512" priority="576" operator="equal">
      <formula>"ח"</formula>
    </cfRule>
  </conditionalFormatting>
  <conditionalFormatting sqref="BZ34">
    <cfRule type="cellIs" dxfId="5511" priority="571" operator="equal">
      <formula>"כ"</formula>
    </cfRule>
    <cfRule type="cellIs" dxfId="5510" priority="570" operator="equal">
      <formula>"כש"</formula>
    </cfRule>
    <cfRule type="cellIs" dxfId="5509" priority="569" stopIfTrue="1" operator="equal">
      <formula>"ח"</formula>
    </cfRule>
  </conditionalFormatting>
  <conditionalFormatting sqref="CB5:CB6">
    <cfRule type="cellIs" dxfId="5508" priority="722" operator="equal">
      <formula>"ח"</formula>
    </cfRule>
  </conditionalFormatting>
  <conditionalFormatting sqref="CB5:CB35 CC1:CE4">
    <cfRule type="cellIs" dxfId="5507" priority="784" operator="equal">
      <formula>"ח"</formula>
    </cfRule>
  </conditionalFormatting>
  <conditionalFormatting sqref="CB6">
    <cfRule type="cellIs" dxfId="5506" priority="721" operator="equal">
      <formula>"כ"</formula>
    </cfRule>
    <cfRule type="cellIs" dxfId="5505" priority="720" operator="equal">
      <formula>"כש"</formula>
    </cfRule>
    <cfRule type="cellIs" dxfId="5504" priority="719" stopIfTrue="1" operator="equal">
      <formula>"ח"</formula>
    </cfRule>
  </conditionalFormatting>
  <conditionalFormatting sqref="CB9:CB10">
    <cfRule type="cellIs" dxfId="5503" priority="701" operator="equal">
      <formula>"ח"</formula>
    </cfRule>
  </conditionalFormatting>
  <conditionalFormatting sqref="CB10">
    <cfRule type="cellIs" dxfId="5502" priority="700" operator="equal">
      <formula>"כ"</formula>
    </cfRule>
    <cfRule type="cellIs" dxfId="5501" priority="699" operator="equal">
      <formula>"כש"</formula>
    </cfRule>
    <cfRule type="cellIs" dxfId="5500" priority="698" stopIfTrue="1" operator="equal">
      <formula>"ח"</formula>
    </cfRule>
  </conditionalFormatting>
  <conditionalFormatting sqref="CB13:CB14">
    <cfRule type="cellIs" dxfId="5499" priority="680" operator="equal">
      <formula>"ח"</formula>
    </cfRule>
  </conditionalFormatting>
  <conditionalFormatting sqref="CB14">
    <cfRule type="cellIs" dxfId="5498" priority="679" operator="equal">
      <formula>"כ"</formula>
    </cfRule>
    <cfRule type="cellIs" dxfId="5497" priority="678" operator="equal">
      <formula>"כש"</formula>
    </cfRule>
    <cfRule type="cellIs" dxfId="5496" priority="677" stopIfTrue="1" operator="equal">
      <formula>"ח"</formula>
    </cfRule>
  </conditionalFormatting>
  <conditionalFormatting sqref="CB17:CB18">
    <cfRule type="cellIs" dxfId="5495" priority="659" operator="equal">
      <formula>"ח"</formula>
    </cfRule>
  </conditionalFormatting>
  <conditionalFormatting sqref="CB18">
    <cfRule type="cellIs" dxfId="5494" priority="658" operator="equal">
      <formula>"כ"</formula>
    </cfRule>
    <cfRule type="cellIs" dxfId="5493" priority="657" operator="equal">
      <formula>"כש"</formula>
    </cfRule>
    <cfRule type="cellIs" dxfId="5492" priority="656" stopIfTrue="1" operator="equal">
      <formula>"ח"</formula>
    </cfRule>
  </conditionalFormatting>
  <conditionalFormatting sqref="CB21:CB22">
    <cfRule type="cellIs" dxfId="5491" priority="638" operator="equal">
      <formula>"ח"</formula>
    </cfRule>
  </conditionalFormatting>
  <conditionalFormatting sqref="CB22">
    <cfRule type="cellIs" dxfId="5490" priority="636" operator="equal">
      <formula>"כש"</formula>
    </cfRule>
    <cfRule type="cellIs" dxfId="5489" priority="637" operator="equal">
      <formula>"כ"</formula>
    </cfRule>
    <cfRule type="cellIs" dxfId="5488" priority="635" stopIfTrue="1" operator="equal">
      <formula>"ח"</formula>
    </cfRule>
  </conditionalFormatting>
  <conditionalFormatting sqref="CB25:CB26">
    <cfRule type="cellIs" dxfId="5487" priority="617" operator="equal">
      <formula>"ח"</formula>
    </cfRule>
  </conditionalFormatting>
  <conditionalFormatting sqref="CB26">
    <cfRule type="cellIs" dxfId="5486" priority="614" stopIfTrue="1" operator="equal">
      <formula>"ח"</formula>
    </cfRule>
    <cfRule type="cellIs" dxfId="5485" priority="615" operator="equal">
      <formula>"כש"</formula>
    </cfRule>
    <cfRule type="cellIs" dxfId="5484" priority="616" operator="equal">
      <formula>"כ"</formula>
    </cfRule>
  </conditionalFormatting>
  <conditionalFormatting sqref="CB29:CB30">
    <cfRule type="cellIs" dxfId="5483" priority="596" operator="equal">
      <formula>"ח"</formula>
    </cfRule>
  </conditionalFormatting>
  <conditionalFormatting sqref="CB30">
    <cfRule type="cellIs" dxfId="5482" priority="595" operator="equal">
      <formula>"כ"</formula>
    </cfRule>
    <cfRule type="cellIs" dxfId="5481" priority="594" operator="equal">
      <formula>"כש"</formula>
    </cfRule>
    <cfRule type="cellIs" dxfId="5480" priority="593" stopIfTrue="1" operator="equal">
      <formula>"ח"</formula>
    </cfRule>
  </conditionalFormatting>
  <conditionalFormatting sqref="CB33:CB34">
    <cfRule type="cellIs" dxfId="5479" priority="575" operator="equal">
      <formula>"ח"</formula>
    </cfRule>
  </conditionalFormatting>
  <conditionalFormatting sqref="CB34">
    <cfRule type="cellIs" dxfId="5478" priority="572" stopIfTrue="1" operator="equal">
      <formula>"ח"</formula>
    </cfRule>
    <cfRule type="cellIs" dxfId="5477" priority="573" operator="equal">
      <formula>"כש"</formula>
    </cfRule>
    <cfRule type="cellIs" dxfId="5476" priority="574" operator="equal">
      <formula>"כ"</formula>
    </cfRule>
  </conditionalFormatting>
  <conditionalFormatting sqref="CC1:CE4">
    <cfRule type="cellIs" dxfId="5475" priority="776" operator="equal">
      <formula>"ל"</formula>
    </cfRule>
    <cfRule type="cellIs" dxfId="5474" priority="777" operator="equal">
      <formula>"י"</formula>
    </cfRule>
    <cfRule type="cellIs" dxfId="5473" priority="778" operator="equal">
      <formula>"כמש"</formula>
    </cfRule>
    <cfRule type="cellIs" dxfId="5472" priority="780" operator="equal">
      <formula>"ק"</formula>
    </cfRule>
    <cfRule type="cellIs" dxfId="5471" priority="781" operator="equal">
      <formula>"מ"</formula>
    </cfRule>
    <cfRule type="cellIs" dxfId="5470" priority="782" operator="equal">
      <formula>"מנוחה"</formula>
    </cfRule>
    <cfRule type="cellIs" dxfId="5469" priority="783" operator="equal">
      <formula>"מיל"</formula>
    </cfRule>
    <cfRule type="cellIs" dxfId="5468" priority="785" operator="equal">
      <formula>"כש"</formula>
    </cfRule>
    <cfRule type="cellIs" dxfId="5467" priority="786" operator="equal">
      <formula>"כ"</formula>
    </cfRule>
    <cfRule type="cellIs" dxfId="5466" priority="779" operator="equal">
      <formula>"כמ"</formula>
    </cfRule>
  </conditionalFormatting>
  <conditionalFormatting sqref="CE5 CC5:CD35">
    <cfRule type="cellIs" dxfId="5465" priority="762" operator="equal">
      <formula>"ח"</formula>
    </cfRule>
  </conditionalFormatting>
  <conditionalFormatting sqref="CF5:CG35">
    <cfRule type="cellIs" dxfId="5464" priority="1176" operator="lessThan">
      <formula>4</formula>
    </cfRule>
  </conditionalFormatting>
  <hyperlinks>
    <hyperlink ref="X4:Y4" r:id="rId11" tooltip="עדכון במייל" display="עדכון במייל" xr:uid="{00000000-0004-0000-06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600-000000000000}">
          <x14:formula1>
            <xm:f>מיילים!$M$2:$M$38</xm:f>
          </x14:formula1>
          <xm:sqref>BQ3:BR3 BC3</xm:sqref>
        </x14:dataValidation>
        <x14:dataValidation type="list" allowBlank="1" showInputMessage="1" showErrorMessage="1" xr:uid="{00000000-0002-0000-0600-000001000000}">
          <x14:formula1>
            <xm:f>מיילים!$M$2:$M$31</xm:f>
          </x14:formula1>
          <xm:sqref>P3:Q3 AW3:AZ3 BS3:CA3 BE3:BO3 AD3:AE3 D3:N3</xm:sqref>
        </x14:dataValidation>
        <x14:dataValidation type="list" allowBlank="1" showInputMessage="1" showErrorMessage="1" xr:uid="{00000000-0002-0000-0600-000002000000}">
          <x14:formula1>
            <xm:f>מיילים!$M$3:$M$37</xm:f>
          </x14:formula1>
          <xm:sqref>R3:S3 V3:W3</xm:sqref>
        </x14:dataValidation>
        <x14:dataValidation type="list" allowBlank="1" showInputMessage="1" showErrorMessage="1" xr:uid="{00000000-0002-0000-0600-000003000000}">
          <x14:formula1>
            <xm:f>מיילים!$M$2:$M$36</xm:f>
          </x14:formula1>
          <xm:sqref>T3:U3</xm:sqref>
        </x14:dataValidation>
        <x14:dataValidation type="list" allowBlank="1" showInputMessage="1" showErrorMessage="1" xr:uid="{00000000-0002-0000-0600-000004000000}">
          <x14:formula1>
            <xm:f>מקרא!$B$5:$B$60</xm:f>
          </x14:formula1>
          <xm:sqref>BT5 BP5 BN5 BR5 CB34 BZ34 BX34 BV34 CB6 BZ6 BX6 BV6 CB10 BZ10 BX10 BV10 CB14 BZ14 BX14 BV14 CB18 BZ18 BX18 BV18 CB22 BZ22 BX22 BV22 CB26 BZ26 BX26 BV26 CB30 BZ30 BX30 BV30 BT9 BR9 BP9 BN9 BT13 BR13 BP13 BN13 BT17 BR17 BP17 BN17 BT21 BR21 BP21 BN21 BT25 BR25 BP25 BN25 BT29 BR29 BP29 BN29 BL8 BJ8 BH8 BF8 BL12 BJ12 BH12 BF12 BL16 BJ16 BH16 BF16 BL20 BJ20 BH20 BF20 BL24 BJ24 BH24 BF24 BL28 BJ28 BH28 BF28 BD7 BB7 AZ7 AX7 BD11 BB11 AZ11 AX11 BD15 BB15 AZ15 AX15 BD19 BB19 AZ19 AX19 BD23 BB23 AZ23 AX23 BD27 BB27 AZ27 AX27 BD31 BB31 AZ31 AX31 BD35 BB35 AZ35 AX35 BL32 BJ32 BH32 BF32 BT33 BR33 BP33 BN33</xm:sqref>
        </x14:dataValidation>
        <x14:dataValidation type="list" allowBlank="1" showInputMessage="1" xr:uid="{00000000-0002-0000-0600-000005000000}">
          <x14:formula1>
            <xm:f>מקרא!$B$5:$B$60</xm:f>
          </x14:formula1>
          <xm:sqref>Y24:AG24 AI18:AO18 Y21:AO23 BR34:BR35 BT34:BT35 AI24:AO25 BN34:BN35 BY33:BY34 Y19:AH20 AJ19:AO20 R14:X15 D25:AG25 BX33 BP28 BW33:BW34 BV33 BU5:BU35 BV5 CB5 CA5:CA6 BZ5 BY5:BY6 BX5 BW5:BW6 BV7:CB8 BV9 CB9 CA9:CA10 BZ9 BY9:BY10 BX9 BW9:BW10 BV11:CB12 BV13 CB13 CA13:CA14 BZ13 BY13:BY14 BX13 BW13:BW14 BV15:CB16 BV17 CB17 CA17:CA18 BZ17 BY17:BY18 BX17 BW17:BW18 BV19:CB20 BV21 CB21 CA21:CA22 BZ21 BY21:BY22 BX21 BW21:BW22 BV23:CB24 BV25 CB25 CA25:CA26 BZ25 BY25:BY26 BX25 BW25:BW26 BV27:CB28 BV29 CB29 CA29:CA30 BZ29 BY29:BY30 BX29 BW29:BW30 BV31:CB32 BV35:CB35 CB33 CA33:CA34 BZ33 BS5:BS9 BO5:BO9 BT6:BT8 BR6:BR8 BP6:BP8 BQ5:BQ9 BN6:BN8 BP16 BN10:BT11 BN12 BT12 BS12:BS13 BR12 BQ12:BQ13 BP12 BO12:BO13 BN14:BT15 BN16 BT16 BR16 BN18:BN20 BS16:BS21 BO16:BO21 BT18:BT20 BR18:BR20 BP18:BP20 BQ16:BQ21 BH31 BN22:BT23 BN24 BT24 BS24:BS25 BR24 BQ24:BQ25 BP24 BO24:BO25 BN26:BT27 BN28 BT28 BR28 BG27:BG28 BM5:BM35 BF5:BL6 BG15:BG16 BF7 BL7 BK7:BK8 BJ7 BI7:BI8 BH7 BG7:BG8 BF9:BL10 BF11 BL11 BK11:BK12 BJ11 BI11:BI12 BH11 BG11:BG12 BF13:BL14 BF15 BL15 BK15:BK16 BJ15 BI15:BI16 BH15 BF17:BL18 AZ34 BF19 BL19 BK19:BK20 BJ19 BI19:BI20 BH19 BG19:BG20 BF21:BL22 BF23 BL23 BK23:BK24 BJ23 BI23:BI24 BH23 BG23:BG24 BF25:BL26 BF27 BL27 BK27:BK28 BJ27 BI27:BI28 BH27 AW5:AW35 BE5:BE35 AX5:BD5 AY14:AY15 AX6 BD6 BC6:BC7 BB6 BA6:BA7 AZ6 AY6:AY7 AX8:BD9 AX10 BD10 BC10:BC11 BB10 BA10:BA11 AZ10 AY10:AY11 AX12:BD13 AX14 BD14 BC14:BC15 BB14 BA14:BA15 AZ14 AX16:BD17 AY26:AY27 AX18 BD18 BC18:BC19 BB18 BA18:BA19 AZ18 AY18:AY19 AX20:BD21 AX22 BD22 BC22:BC23 BB22 BA22:BA23 AZ22 AY22:AY23 AX24:BD25 AX26 BD26 BC26:BC27 BB26 BA26:BA27 AZ26 AX28:BD29 AZ30 AY30:AY31 AX30 BD30 BC30:BC31 BB30 BA30:BA31 AX32:BD33 AY34:AY35 AX34 BD34 BC34:BC35 BB34 BA34:BA35 BF29:BL30 BP34:BP35 BG31:BG32 BF31 BL31 BK31:BK32 BJ31 BI31:BI32 BQ28:BQ35 BN30:BN32 BS28:BS35 BO28:BO35 BT30:BT32 BR30:BR32 BP30:BP32 BF33:BL35 AD19:AE24 D19:X24 D5:X13 D14:P15 Y5:AO17 D16:X17 D26:AO35 D18:AG18</xm:sqref>
        </x14:dataValidation>
        <x14:dataValidation type="list" allowBlank="1" showInputMessage="1" showErrorMessage="1" xr:uid="{00000000-0002-0000-0600-000006000000}">
          <x14:formula1>
            <xm:f>מיילים!$M$2:$M$40</xm:f>
          </x14:formula1>
          <xm:sqref>X3:AO3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K39"/>
  <sheetViews>
    <sheetView rightToLeft="1" zoomScale="80" zoomScaleNormal="80" workbookViewId="0">
      <pane ySplit="4" topLeftCell="A5" activePane="bottomLeft" state="frozen"/>
      <selection pane="bottomLeft" activeCell="D5" sqref="D5"/>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31" width="5.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293</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581" t="s">
        <v>246</v>
      </c>
      <c r="AU1" s="338"/>
      <c r="AV1" s="339"/>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581" t="s">
        <v>246</v>
      </c>
      <c r="CD1" s="338"/>
      <c r="CE1" s="339"/>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40"/>
      <c r="CD2" s="341"/>
      <c r="CE2" s="342"/>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390"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5"/>
      <c r="BO3" s="533" t="s">
        <v>21</v>
      </c>
      <c r="BP3" s="534"/>
      <c r="BQ3" s="533" t="s">
        <v>23</v>
      </c>
      <c r="BR3" s="534"/>
      <c r="BS3" s="535" t="s">
        <v>28</v>
      </c>
      <c r="BT3" s="536"/>
      <c r="BU3" s="393"/>
      <c r="BV3" s="394"/>
      <c r="BW3" s="395" t="s">
        <v>30</v>
      </c>
      <c r="BX3" s="395"/>
      <c r="BY3" s="395" t="s">
        <v>31</v>
      </c>
      <c r="BZ3" s="395"/>
      <c r="CA3" s="396" t="s">
        <v>227</v>
      </c>
      <c r="CB3" s="397"/>
      <c r="CC3" s="340"/>
      <c r="CD3" s="341"/>
      <c r="CE3" s="342"/>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384"/>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2"/>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43"/>
      <c r="CD4" s="344"/>
      <c r="CE4" s="342"/>
      <c r="CF4" s="24" t="s">
        <v>38</v>
      </c>
      <c r="CG4" s="23" t="s">
        <v>39</v>
      </c>
      <c r="CH4" s="95" t="s">
        <v>36</v>
      </c>
      <c r="CI4" s="95" t="s">
        <v>37</v>
      </c>
      <c r="CJ4" s="412"/>
      <c r="CK4" s="413"/>
    </row>
    <row r="5" spans="1:89" ht="15" customHeight="1">
      <c r="A5" s="22">
        <v>1</v>
      </c>
      <c r="B5" s="22" t="s">
        <v>131</v>
      </c>
      <c r="C5" s="150">
        <v>31</v>
      </c>
      <c r="D5" s="81"/>
      <c r="E5" s="82"/>
      <c r="F5" s="81"/>
      <c r="G5" s="82"/>
      <c r="H5" s="132"/>
      <c r="I5" s="82"/>
      <c r="J5" s="81"/>
      <c r="K5" s="82"/>
      <c r="L5" s="224" t="s">
        <v>41</v>
      </c>
      <c r="M5" s="82"/>
      <c r="N5" s="81"/>
      <c r="O5" s="110"/>
      <c r="P5" s="81"/>
      <c r="Q5" s="82"/>
      <c r="R5" s="132"/>
      <c r="S5" s="82"/>
      <c r="T5" s="132"/>
      <c r="U5" s="82"/>
      <c r="V5" s="132"/>
      <c r="W5" s="82"/>
      <c r="X5" s="83"/>
      <c r="Y5" s="82"/>
      <c r="Z5" s="81"/>
      <c r="AA5" s="82"/>
      <c r="AB5" s="81"/>
      <c r="AC5" s="82"/>
      <c r="AD5" s="83"/>
      <c r="AE5" s="82"/>
      <c r="AF5" s="81"/>
      <c r="AG5" s="82"/>
      <c r="AH5" s="81"/>
      <c r="AI5" s="82"/>
      <c r="AJ5" s="81"/>
      <c r="AK5" s="82"/>
      <c r="AL5" s="81"/>
      <c r="AM5" s="82"/>
      <c r="AN5" s="81"/>
      <c r="AO5" s="82"/>
      <c r="AP5" s="525"/>
      <c r="AQ5" s="526"/>
      <c r="AR5" s="104"/>
      <c r="AS5" s="105"/>
      <c r="AT5" s="22">
        <v>1</v>
      </c>
      <c r="AU5" s="22" t="s">
        <v>131</v>
      </c>
      <c r="AV5" s="150">
        <v>31</v>
      </c>
      <c r="AW5" s="81"/>
      <c r="AX5" s="66"/>
      <c r="AY5" s="68"/>
      <c r="AZ5" s="66"/>
      <c r="BA5" s="68"/>
      <c r="BB5" s="68"/>
      <c r="BC5" s="110"/>
      <c r="BD5" s="66"/>
      <c r="BE5" s="81"/>
      <c r="BF5" s="66" t="s">
        <v>34</v>
      </c>
      <c r="BG5" s="68"/>
      <c r="BH5" s="66" t="s">
        <v>34</v>
      </c>
      <c r="BI5" s="68"/>
      <c r="BJ5" s="68" t="s">
        <v>34</v>
      </c>
      <c r="BK5" s="110"/>
      <c r="BL5" s="66" t="s">
        <v>34</v>
      </c>
      <c r="BM5" s="38"/>
      <c r="BN5" s="75" t="s">
        <v>33</v>
      </c>
      <c r="BO5" s="73"/>
      <c r="BP5" s="75" t="s">
        <v>33</v>
      </c>
      <c r="BQ5" s="73"/>
      <c r="BR5" s="75" t="s">
        <v>33</v>
      </c>
      <c r="BS5" s="79"/>
      <c r="BT5" s="75" t="s">
        <v>33</v>
      </c>
      <c r="BU5" s="108"/>
      <c r="BV5" s="66"/>
      <c r="BW5" s="68"/>
      <c r="BX5" s="66"/>
      <c r="BY5" s="68"/>
      <c r="BZ5" s="68"/>
      <c r="CA5" s="83"/>
      <c r="CB5" s="66"/>
      <c r="CC5" s="22">
        <v>1</v>
      </c>
      <c r="CD5" s="22" t="s">
        <v>131</v>
      </c>
      <c r="CE5" s="150">
        <v>30</v>
      </c>
      <c r="CF5" s="311">
        <f t="shared" ref="CF5:CF35" si="0">COUNTIF(AX5:CB5,"י")+COUNTIF(AX5:CB5,"Y")+COUNTIF(AX5:CB5,"2")</f>
        <v>4</v>
      </c>
      <c r="CG5" s="76">
        <f t="shared" ref="CG5:CG35" si="1">COUNTIF(AW5:CB5,"ל")+COUNTIF(AW5:CB5,"L")+COUNTIF(AW5:CB5,"ל2")</f>
        <v>4</v>
      </c>
      <c r="CH5" s="93"/>
      <c r="CI5" s="94"/>
      <c r="CJ5" s="449"/>
      <c r="CK5" s="450"/>
    </row>
    <row r="6" spans="1:89" ht="15" customHeight="1">
      <c r="A6" s="142">
        <v>2</v>
      </c>
      <c r="B6" s="142" t="s">
        <v>132</v>
      </c>
      <c r="C6" s="455">
        <v>32</v>
      </c>
      <c r="D6" s="14"/>
      <c r="E6" s="65"/>
      <c r="F6" s="14"/>
      <c r="G6" s="65"/>
      <c r="H6" s="14"/>
      <c r="I6" s="65"/>
      <c r="J6" s="14"/>
      <c r="K6" s="65"/>
      <c r="L6" s="224" t="s">
        <v>41</v>
      </c>
      <c r="M6" s="65"/>
      <c r="N6" s="14"/>
      <c r="O6" s="58"/>
      <c r="P6" s="14"/>
      <c r="Q6" s="65"/>
      <c r="R6" s="15"/>
      <c r="S6" s="65"/>
      <c r="T6" s="15"/>
      <c r="U6" s="65"/>
      <c r="V6" s="15"/>
      <c r="W6" s="65"/>
      <c r="X6" s="15"/>
      <c r="Y6" s="80"/>
      <c r="Z6" s="14"/>
      <c r="AA6" s="65"/>
      <c r="AB6" s="14"/>
      <c r="AC6" s="65"/>
      <c r="AD6" s="15"/>
      <c r="AE6" s="65"/>
      <c r="AF6" s="14"/>
      <c r="AG6" s="80"/>
      <c r="AH6" s="14"/>
      <c r="AI6" s="65"/>
      <c r="AJ6" s="14"/>
      <c r="AK6" s="65"/>
      <c r="AL6" s="14"/>
      <c r="AM6" s="65"/>
      <c r="AN6" s="14"/>
      <c r="AO6" s="65"/>
      <c r="AP6" s="509"/>
      <c r="AQ6" s="510"/>
      <c r="AR6" s="33"/>
      <c r="AS6" s="34"/>
      <c r="AT6" s="142">
        <v>2</v>
      </c>
      <c r="AU6" s="142" t="s">
        <v>132</v>
      </c>
      <c r="AV6" s="455">
        <v>32</v>
      </c>
      <c r="AW6" s="14"/>
      <c r="AX6" s="67"/>
      <c r="AY6" s="69"/>
      <c r="AZ6" s="67"/>
      <c r="BA6" s="69"/>
      <c r="BB6" s="69"/>
      <c r="BC6" s="97"/>
      <c r="BD6" s="67"/>
      <c r="BE6" s="14"/>
      <c r="BF6" s="70"/>
      <c r="BG6" s="72"/>
      <c r="BH6" s="70"/>
      <c r="BI6" s="72"/>
      <c r="BJ6" s="72"/>
      <c r="BK6" s="58"/>
      <c r="BL6" s="70"/>
      <c r="BM6" s="37"/>
      <c r="BN6" s="262" t="s">
        <v>41</v>
      </c>
      <c r="BO6" s="72"/>
      <c r="BP6" s="67" t="s">
        <v>34</v>
      </c>
      <c r="BQ6" s="72"/>
      <c r="BR6" s="72" t="s">
        <v>34</v>
      </c>
      <c r="BS6" s="15"/>
      <c r="BT6" s="67" t="s">
        <v>34</v>
      </c>
      <c r="BU6" s="37"/>
      <c r="BV6" s="74"/>
      <c r="BW6" s="72"/>
      <c r="BX6" s="74" t="s">
        <v>33</v>
      </c>
      <c r="BY6" s="72"/>
      <c r="BZ6" s="74" t="s">
        <v>33</v>
      </c>
      <c r="CA6" s="78"/>
      <c r="CB6" s="74" t="s">
        <v>33</v>
      </c>
      <c r="CC6" s="142">
        <v>2</v>
      </c>
      <c r="CD6" s="142" t="s">
        <v>132</v>
      </c>
      <c r="CE6" s="455">
        <v>31</v>
      </c>
      <c r="CF6" s="311">
        <f t="shared" si="0"/>
        <v>3</v>
      </c>
      <c r="CG6" s="76">
        <f t="shared" si="1"/>
        <v>3</v>
      </c>
      <c r="CH6" s="27"/>
      <c r="CI6" s="28"/>
      <c r="CJ6" s="449"/>
      <c r="CK6" s="450"/>
    </row>
    <row r="7" spans="1:89" ht="15" customHeight="1">
      <c r="A7" s="142">
        <v>3</v>
      </c>
      <c r="B7" s="142" t="s">
        <v>133</v>
      </c>
      <c r="C7" s="455"/>
      <c r="D7" s="14"/>
      <c r="E7" s="65"/>
      <c r="F7" s="14"/>
      <c r="G7" s="65"/>
      <c r="H7" s="112"/>
      <c r="I7" s="65"/>
      <c r="J7" s="14"/>
      <c r="K7" s="65"/>
      <c r="L7" s="224" t="s">
        <v>41</v>
      </c>
      <c r="M7" s="65"/>
      <c r="N7" s="14"/>
      <c r="O7" s="58"/>
      <c r="P7" s="14"/>
      <c r="Q7" s="65"/>
      <c r="R7" s="112"/>
      <c r="S7" s="65"/>
      <c r="T7" s="112"/>
      <c r="U7" s="65"/>
      <c r="V7" s="112"/>
      <c r="W7" s="65"/>
      <c r="X7" s="15"/>
      <c r="Y7" s="80"/>
      <c r="Z7" s="14"/>
      <c r="AA7" s="65"/>
      <c r="AB7" s="14"/>
      <c r="AC7" s="65"/>
      <c r="AD7" s="15"/>
      <c r="AE7" s="65"/>
      <c r="AF7" s="14"/>
      <c r="AG7" s="80"/>
      <c r="AH7" s="14"/>
      <c r="AI7" s="65"/>
      <c r="AJ7" s="14"/>
      <c r="AK7" s="65"/>
      <c r="AL7" s="14"/>
      <c r="AM7" s="65"/>
      <c r="AN7" s="14"/>
      <c r="AO7" s="65"/>
      <c r="AP7" s="509"/>
      <c r="AQ7" s="510"/>
      <c r="AR7" s="33"/>
      <c r="AS7" s="34"/>
      <c r="AT7" s="142">
        <v>3</v>
      </c>
      <c r="AU7" s="142" t="s">
        <v>133</v>
      </c>
      <c r="AV7" s="455"/>
      <c r="AW7" s="14"/>
      <c r="AX7" s="74" t="s">
        <v>33</v>
      </c>
      <c r="AY7" s="72"/>
      <c r="AZ7" s="74" t="s">
        <v>33</v>
      </c>
      <c r="BA7" s="72"/>
      <c r="BB7" s="74" t="s">
        <v>33</v>
      </c>
      <c r="BC7" s="78"/>
      <c r="BD7" s="74" t="s">
        <v>33</v>
      </c>
      <c r="BE7" s="14"/>
      <c r="BF7" s="67"/>
      <c r="BG7" s="69"/>
      <c r="BH7" s="67"/>
      <c r="BI7" s="69"/>
      <c r="BJ7" s="69"/>
      <c r="BK7" s="97"/>
      <c r="BL7" s="67"/>
      <c r="BM7" s="37"/>
      <c r="BN7" s="262" t="s">
        <v>41</v>
      </c>
      <c r="BO7" s="72"/>
      <c r="BP7" s="70"/>
      <c r="BQ7" s="72"/>
      <c r="BR7" s="72"/>
      <c r="BS7" s="15"/>
      <c r="BT7" s="70"/>
      <c r="BU7" s="37"/>
      <c r="BV7" s="67"/>
      <c r="BW7" s="72"/>
      <c r="BX7" s="67" t="s">
        <v>34</v>
      </c>
      <c r="BY7" s="72"/>
      <c r="BZ7" s="72" t="s">
        <v>34</v>
      </c>
      <c r="CA7" s="15"/>
      <c r="CB7" s="67" t="s">
        <v>34</v>
      </c>
      <c r="CC7" s="142">
        <v>3</v>
      </c>
      <c r="CD7" s="142" t="s">
        <v>133</v>
      </c>
      <c r="CE7" s="455"/>
      <c r="CF7" s="311">
        <f t="shared" si="0"/>
        <v>4</v>
      </c>
      <c r="CG7" s="76">
        <f t="shared" si="1"/>
        <v>3</v>
      </c>
      <c r="CH7" s="27"/>
      <c r="CI7" s="28"/>
      <c r="CJ7" s="449"/>
      <c r="CK7" s="450"/>
    </row>
    <row r="8" spans="1:89" ht="15" customHeight="1">
      <c r="A8" s="142">
        <v>4</v>
      </c>
      <c r="B8" s="142" t="s">
        <v>127</v>
      </c>
      <c r="C8" s="455"/>
      <c r="D8" s="14"/>
      <c r="E8" s="65"/>
      <c r="F8" s="14"/>
      <c r="G8" s="65"/>
      <c r="H8" s="14"/>
      <c r="I8" s="65"/>
      <c r="J8" s="14"/>
      <c r="K8" s="65"/>
      <c r="L8" s="224" t="s">
        <v>41</v>
      </c>
      <c r="M8" s="65"/>
      <c r="N8" s="14"/>
      <c r="O8" s="58"/>
      <c r="P8" s="14"/>
      <c r="Q8" s="65"/>
      <c r="R8" s="15"/>
      <c r="S8" s="65"/>
      <c r="T8" s="15"/>
      <c r="U8" s="65"/>
      <c r="V8" s="15"/>
      <c r="W8" s="65"/>
      <c r="X8" s="300" t="s">
        <v>147</v>
      </c>
      <c r="Y8" s="80"/>
      <c r="Z8" s="14"/>
      <c r="AA8" s="65"/>
      <c r="AB8" s="14"/>
      <c r="AC8" s="65"/>
      <c r="AD8" s="15"/>
      <c r="AE8" s="65"/>
      <c r="AF8" s="14"/>
      <c r="AG8" s="80"/>
      <c r="AH8" s="14"/>
      <c r="AI8" s="65"/>
      <c r="AJ8" s="14"/>
      <c r="AK8" s="65"/>
      <c r="AL8" s="14"/>
      <c r="AM8" s="65"/>
      <c r="AN8" s="14"/>
      <c r="AO8" s="65"/>
      <c r="AP8" s="509"/>
      <c r="AQ8" s="510"/>
      <c r="AR8" s="33"/>
      <c r="AS8" s="34"/>
      <c r="AT8" s="142">
        <v>4</v>
      </c>
      <c r="AU8" s="142" t="s">
        <v>127</v>
      </c>
      <c r="AV8" s="455"/>
      <c r="AW8" s="14"/>
      <c r="AX8" s="67" t="s">
        <v>34</v>
      </c>
      <c r="AY8" s="72"/>
      <c r="AZ8" s="67" t="s">
        <v>34</v>
      </c>
      <c r="BA8" s="72"/>
      <c r="BB8" s="72" t="s">
        <v>34</v>
      </c>
      <c r="BC8" s="15"/>
      <c r="BD8" s="67" t="s">
        <v>34</v>
      </c>
      <c r="BE8" s="14"/>
      <c r="BF8" s="74" t="s">
        <v>33</v>
      </c>
      <c r="BG8" s="72"/>
      <c r="BH8" s="74" t="s">
        <v>33</v>
      </c>
      <c r="BI8" s="72"/>
      <c r="BJ8" s="74" t="s">
        <v>33</v>
      </c>
      <c r="BK8" s="78"/>
      <c r="BL8" s="74" t="s">
        <v>33</v>
      </c>
      <c r="BM8" s="37"/>
      <c r="BN8" s="262" t="s">
        <v>41</v>
      </c>
      <c r="BO8" s="69"/>
      <c r="BP8" s="67"/>
      <c r="BQ8" s="69"/>
      <c r="BR8" s="69"/>
      <c r="BS8" s="97"/>
      <c r="BT8" s="67"/>
      <c r="BU8" s="96"/>
      <c r="BV8" s="67"/>
      <c r="BW8" s="69"/>
      <c r="BX8" s="67"/>
      <c r="BY8" s="69"/>
      <c r="BZ8" s="69"/>
      <c r="CA8" s="97"/>
      <c r="CB8" s="67"/>
      <c r="CC8" s="142">
        <v>4</v>
      </c>
      <c r="CD8" s="142" t="s">
        <v>127</v>
      </c>
      <c r="CE8" s="455"/>
      <c r="CF8" s="311">
        <f t="shared" si="0"/>
        <v>4</v>
      </c>
      <c r="CG8" s="76">
        <f t="shared" si="1"/>
        <v>4</v>
      </c>
      <c r="CH8" s="27"/>
      <c r="CI8" s="28"/>
      <c r="CJ8" s="449"/>
      <c r="CK8" s="450"/>
    </row>
    <row r="9" spans="1:89" ht="15" customHeight="1">
      <c r="A9" s="142">
        <v>5</v>
      </c>
      <c r="B9" s="142" t="s">
        <v>128</v>
      </c>
      <c r="C9" s="455"/>
      <c r="D9" s="14"/>
      <c r="E9" s="65"/>
      <c r="F9" s="14"/>
      <c r="G9" s="65"/>
      <c r="H9" s="14"/>
      <c r="I9" s="65"/>
      <c r="J9" s="14"/>
      <c r="K9" s="65"/>
      <c r="L9" s="224" t="s">
        <v>41</v>
      </c>
      <c r="M9" s="65"/>
      <c r="N9" s="14"/>
      <c r="O9" s="58"/>
      <c r="P9" s="14"/>
      <c r="Q9" s="65"/>
      <c r="R9" s="15"/>
      <c r="S9" s="65"/>
      <c r="T9" s="15"/>
      <c r="U9" s="65"/>
      <c r="V9" s="15"/>
      <c r="W9" s="65"/>
      <c r="X9" s="15"/>
      <c r="Y9" s="80"/>
      <c r="Z9" s="14"/>
      <c r="AA9" s="65"/>
      <c r="AB9" s="14"/>
      <c r="AC9" s="65"/>
      <c r="AD9" s="15"/>
      <c r="AE9" s="65"/>
      <c r="AF9" s="14"/>
      <c r="AG9" s="80"/>
      <c r="AH9" s="14"/>
      <c r="AI9" s="65"/>
      <c r="AJ9" s="14"/>
      <c r="AK9" s="65"/>
      <c r="AL9" s="14"/>
      <c r="AM9" s="65"/>
      <c r="AN9" s="14"/>
      <c r="AO9" s="65"/>
      <c r="AP9" s="509"/>
      <c r="AQ9" s="510"/>
      <c r="AR9" s="33"/>
      <c r="AS9" s="34"/>
      <c r="AT9" s="142">
        <v>5</v>
      </c>
      <c r="AU9" s="142" t="s">
        <v>128</v>
      </c>
      <c r="AV9" s="455"/>
      <c r="AW9" s="14"/>
      <c r="AX9" s="67"/>
      <c r="AY9" s="69"/>
      <c r="AZ9" s="67"/>
      <c r="BA9" s="69"/>
      <c r="BB9" s="69"/>
      <c r="BC9" s="97"/>
      <c r="BD9" s="67"/>
      <c r="BE9" s="14"/>
      <c r="BF9" s="67" t="s">
        <v>34</v>
      </c>
      <c r="BG9" s="72"/>
      <c r="BH9" s="67" t="s">
        <v>34</v>
      </c>
      <c r="BI9" s="72"/>
      <c r="BJ9" s="69" t="s">
        <v>34</v>
      </c>
      <c r="BK9" s="15"/>
      <c r="BL9" s="67" t="s">
        <v>34</v>
      </c>
      <c r="BM9" s="37"/>
      <c r="BN9" s="262" t="s">
        <v>41</v>
      </c>
      <c r="BO9" s="72"/>
      <c r="BP9" s="74" t="s">
        <v>33</v>
      </c>
      <c r="BQ9" s="72"/>
      <c r="BR9" s="74" t="s">
        <v>33</v>
      </c>
      <c r="BS9" s="78"/>
      <c r="BT9" s="74" t="s">
        <v>33</v>
      </c>
      <c r="BU9" s="96"/>
      <c r="BV9" s="67"/>
      <c r="BW9" s="69"/>
      <c r="BX9" s="67"/>
      <c r="BY9" s="69"/>
      <c r="BZ9" s="69"/>
      <c r="CA9" s="97"/>
      <c r="CB9" s="67"/>
      <c r="CC9" s="142">
        <v>5</v>
      </c>
      <c r="CD9" s="142" t="s">
        <v>128</v>
      </c>
      <c r="CE9" s="455"/>
      <c r="CF9" s="311">
        <f t="shared" si="0"/>
        <v>3</v>
      </c>
      <c r="CG9" s="76">
        <f t="shared" si="1"/>
        <v>4</v>
      </c>
      <c r="CH9" s="27"/>
      <c r="CI9" s="28"/>
      <c r="CJ9" s="449"/>
      <c r="CK9" s="450"/>
    </row>
    <row r="10" spans="1:89" ht="15" customHeight="1">
      <c r="A10" s="142">
        <v>6</v>
      </c>
      <c r="B10" s="142" t="s">
        <v>129</v>
      </c>
      <c r="C10" s="455"/>
      <c r="D10" s="14"/>
      <c r="E10" s="65"/>
      <c r="F10" s="14"/>
      <c r="G10" s="65"/>
      <c r="H10" s="14"/>
      <c r="I10" s="65"/>
      <c r="J10" s="14"/>
      <c r="K10" s="65"/>
      <c r="L10" s="224" t="s">
        <v>41</v>
      </c>
      <c r="M10" s="65"/>
      <c r="N10" s="14"/>
      <c r="O10" s="58"/>
      <c r="P10" s="14"/>
      <c r="Q10" s="65"/>
      <c r="R10" s="15"/>
      <c r="S10" s="65"/>
      <c r="T10" s="15" t="s">
        <v>41</v>
      </c>
      <c r="U10" s="65"/>
      <c r="V10" s="15"/>
      <c r="W10" s="65"/>
      <c r="X10" s="15"/>
      <c r="Y10" s="80"/>
      <c r="Z10" s="14"/>
      <c r="AA10" s="65"/>
      <c r="AB10" s="14"/>
      <c r="AC10" s="65"/>
      <c r="AD10" s="15"/>
      <c r="AE10" s="65"/>
      <c r="AF10" s="14"/>
      <c r="AG10" s="80"/>
      <c r="AH10" s="14"/>
      <c r="AI10" s="65"/>
      <c r="AJ10" s="14"/>
      <c r="AK10" s="65"/>
      <c r="AL10" s="14"/>
      <c r="AM10" s="65"/>
      <c r="AN10" s="14"/>
      <c r="AO10" s="65"/>
      <c r="AP10" s="509"/>
      <c r="AQ10" s="510"/>
      <c r="AR10" s="33"/>
      <c r="AS10" s="34"/>
      <c r="AT10" s="142">
        <v>6</v>
      </c>
      <c r="AU10" s="142" t="s">
        <v>129</v>
      </c>
      <c r="AV10" s="455"/>
      <c r="AW10" s="14"/>
      <c r="AX10" s="67"/>
      <c r="AY10" s="69"/>
      <c r="AZ10" s="67"/>
      <c r="BA10" s="69"/>
      <c r="BB10" s="69"/>
      <c r="BC10" s="97"/>
      <c r="BD10" s="67"/>
      <c r="BE10" s="14"/>
      <c r="BF10" s="67"/>
      <c r="BG10" s="69"/>
      <c r="BH10" s="67"/>
      <c r="BI10" s="69"/>
      <c r="BJ10" s="69"/>
      <c r="BK10" s="97"/>
      <c r="BL10" s="67"/>
      <c r="BM10" s="37"/>
      <c r="BN10" s="262" t="s">
        <v>41</v>
      </c>
      <c r="BO10" s="72"/>
      <c r="BP10" s="67" t="s">
        <v>34</v>
      </c>
      <c r="BQ10" s="72"/>
      <c r="BR10" s="72" t="s">
        <v>34</v>
      </c>
      <c r="BS10" s="15"/>
      <c r="BT10" s="67" t="s">
        <v>34</v>
      </c>
      <c r="BU10" s="37"/>
      <c r="BV10" s="74"/>
      <c r="BW10" s="72"/>
      <c r="BX10" s="74" t="s">
        <v>33</v>
      </c>
      <c r="BY10" s="72"/>
      <c r="BZ10" s="74" t="s">
        <v>33</v>
      </c>
      <c r="CA10" s="78"/>
      <c r="CB10" s="74" t="s">
        <v>33</v>
      </c>
      <c r="CC10" s="142">
        <v>6</v>
      </c>
      <c r="CD10" s="142" t="s">
        <v>129</v>
      </c>
      <c r="CE10" s="455"/>
      <c r="CF10" s="311">
        <f t="shared" si="0"/>
        <v>3</v>
      </c>
      <c r="CG10" s="76">
        <f t="shared" si="1"/>
        <v>3</v>
      </c>
      <c r="CH10" s="27"/>
      <c r="CI10" s="28"/>
      <c r="CJ10" s="449"/>
      <c r="CK10" s="450"/>
    </row>
    <row r="11" spans="1:89" ht="15" customHeight="1">
      <c r="A11" s="22">
        <v>7</v>
      </c>
      <c r="B11" s="22" t="s">
        <v>130</v>
      </c>
      <c r="C11" s="455"/>
      <c r="D11" s="16"/>
      <c r="E11" s="17"/>
      <c r="F11" s="16"/>
      <c r="G11" s="17"/>
      <c r="H11" s="16"/>
      <c r="I11" s="17"/>
      <c r="J11" s="16"/>
      <c r="K11" s="17"/>
      <c r="L11" s="224" t="s">
        <v>41</v>
      </c>
      <c r="M11" s="17"/>
      <c r="N11" s="16"/>
      <c r="O11" s="59"/>
      <c r="P11" s="16"/>
      <c r="Q11" s="17"/>
      <c r="R11" s="18"/>
      <c r="S11" s="17"/>
      <c r="T11" s="15" t="s">
        <v>41</v>
      </c>
      <c r="U11" s="17"/>
      <c r="V11" s="18"/>
      <c r="W11" s="17"/>
      <c r="X11" s="18"/>
      <c r="Y11" s="82"/>
      <c r="Z11" s="16"/>
      <c r="AA11" s="17"/>
      <c r="AB11" s="16"/>
      <c r="AC11" s="17"/>
      <c r="AD11" s="18"/>
      <c r="AE11" s="17"/>
      <c r="AF11" s="16"/>
      <c r="AG11" s="82"/>
      <c r="AH11" s="16"/>
      <c r="AI11" s="17"/>
      <c r="AJ11" s="16"/>
      <c r="AK11" s="17"/>
      <c r="AL11" s="16"/>
      <c r="AM11" s="17"/>
      <c r="AN11" s="16"/>
      <c r="AO11" s="17"/>
      <c r="AP11" s="525"/>
      <c r="AQ11" s="526"/>
      <c r="AR11" s="104"/>
      <c r="AS11" s="105"/>
      <c r="AT11" s="22">
        <v>7</v>
      </c>
      <c r="AU11" s="22" t="s">
        <v>130</v>
      </c>
      <c r="AV11" s="455"/>
      <c r="AW11" s="16"/>
      <c r="AX11" s="75" t="s">
        <v>33</v>
      </c>
      <c r="AY11" s="73"/>
      <c r="AZ11" s="75" t="s">
        <v>33</v>
      </c>
      <c r="BA11" s="73"/>
      <c r="BB11" s="75" t="s">
        <v>33</v>
      </c>
      <c r="BC11" s="79"/>
      <c r="BD11" s="75" t="s">
        <v>33</v>
      </c>
      <c r="BE11" s="16"/>
      <c r="BF11" s="66"/>
      <c r="BG11" s="68"/>
      <c r="BH11" s="66"/>
      <c r="BI11" s="68"/>
      <c r="BJ11" s="68"/>
      <c r="BK11" s="83"/>
      <c r="BL11" s="66"/>
      <c r="BM11" s="38"/>
      <c r="BN11" s="67" t="s">
        <v>61</v>
      </c>
      <c r="BO11" s="68"/>
      <c r="BP11" s="66"/>
      <c r="BQ11" s="68"/>
      <c r="BR11" s="68"/>
      <c r="BS11" s="83"/>
      <c r="BT11" s="66"/>
      <c r="BU11" s="38"/>
      <c r="BV11" s="66"/>
      <c r="BW11" s="73"/>
      <c r="BX11" s="66" t="s">
        <v>34</v>
      </c>
      <c r="BY11" s="73"/>
      <c r="BZ11" s="73" t="s">
        <v>34</v>
      </c>
      <c r="CA11" s="18"/>
      <c r="CB11" s="66" t="s">
        <v>34</v>
      </c>
      <c r="CC11" s="22">
        <v>7</v>
      </c>
      <c r="CD11" s="22" t="s">
        <v>130</v>
      </c>
      <c r="CE11" s="455"/>
      <c r="CF11" s="311">
        <f t="shared" si="0"/>
        <v>4</v>
      </c>
      <c r="CG11" s="76">
        <f t="shared" si="1"/>
        <v>3</v>
      </c>
      <c r="CH11" s="27"/>
      <c r="CI11" s="28"/>
      <c r="CJ11" s="449"/>
      <c r="CK11" s="450"/>
    </row>
    <row r="12" spans="1:89" ht="15" customHeight="1">
      <c r="A12" s="22">
        <v>8</v>
      </c>
      <c r="B12" s="22" t="s">
        <v>131</v>
      </c>
      <c r="C12" s="455"/>
      <c r="D12" s="16"/>
      <c r="E12" s="17"/>
      <c r="F12" s="16"/>
      <c r="G12" s="17"/>
      <c r="H12" s="109"/>
      <c r="I12" s="17"/>
      <c r="J12" s="16"/>
      <c r="K12" s="17"/>
      <c r="L12" s="224" t="s">
        <v>41</v>
      </c>
      <c r="M12" s="17"/>
      <c r="N12" s="16"/>
      <c r="O12" s="59"/>
      <c r="P12" s="16"/>
      <c r="Q12" s="17"/>
      <c r="R12" s="109"/>
      <c r="S12" s="17"/>
      <c r="T12" s="15" t="s">
        <v>41</v>
      </c>
      <c r="U12" s="17"/>
      <c r="V12" s="109"/>
      <c r="W12" s="17"/>
      <c r="X12" s="18"/>
      <c r="Y12" s="82"/>
      <c r="Z12" s="16"/>
      <c r="AA12" s="17"/>
      <c r="AB12" s="16"/>
      <c r="AC12" s="17"/>
      <c r="AD12" s="18"/>
      <c r="AE12" s="17"/>
      <c r="AF12" s="16"/>
      <c r="AG12" s="82"/>
      <c r="AH12" s="16"/>
      <c r="AI12" s="17"/>
      <c r="AJ12" s="16"/>
      <c r="AK12" s="17"/>
      <c r="AL12" s="16"/>
      <c r="AM12" s="17"/>
      <c r="AN12" s="16"/>
      <c r="AO12" s="17"/>
      <c r="AP12" s="529"/>
      <c r="AQ12" s="530"/>
      <c r="AR12" s="104"/>
      <c r="AS12" s="105"/>
      <c r="AT12" s="22">
        <v>8</v>
      </c>
      <c r="AU12" s="22" t="s">
        <v>131</v>
      </c>
      <c r="AV12" s="455"/>
      <c r="AW12" s="16"/>
      <c r="AX12" s="66" t="s">
        <v>34</v>
      </c>
      <c r="AY12" s="73"/>
      <c r="AZ12" s="66" t="s">
        <v>34</v>
      </c>
      <c r="BA12" s="73"/>
      <c r="BB12" s="73" t="s">
        <v>34</v>
      </c>
      <c r="BC12" s="18"/>
      <c r="BD12" s="66" t="s">
        <v>34</v>
      </c>
      <c r="BE12" s="16"/>
      <c r="BF12" s="66" t="s">
        <v>33</v>
      </c>
      <c r="BG12" s="73"/>
      <c r="BH12" s="75" t="s">
        <v>33</v>
      </c>
      <c r="BI12" s="73"/>
      <c r="BJ12" s="75" t="s">
        <v>33</v>
      </c>
      <c r="BK12" s="79"/>
      <c r="BL12" s="75" t="s">
        <v>33</v>
      </c>
      <c r="BM12" s="38"/>
      <c r="BN12" s="67" t="s">
        <v>61</v>
      </c>
      <c r="BO12" s="68"/>
      <c r="BP12" s="66"/>
      <c r="BQ12" s="68"/>
      <c r="BR12" s="68"/>
      <c r="BS12" s="83"/>
      <c r="BT12" s="66"/>
      <c r="BU12" s="108"/>
      <c r="BV12" s="66"/>
      <c r="BW12" s="68"/>
      <c r="BX12" s="66"/>
      <c r="BY12" s="68"/>
      <c r="BZ12" s="68"/>
      <c r="CA12" s="83"/>
      <c r="CB12" s="66"/>
      <c r="CC12" s="22">
        <v>8</v>
      </c>
      <c r="CD12" s="22" t="s">
        <v>131</v>
      </c>
      <c r="CE12" s="455"/>
      <c r="CF12" s="311">
        <f t="shared" si="0"/>
        <v>4</v>
      </c>
      <c r="CG12" s="76">
        <f t="shared" si="1"/>
        <v>4</v>
      </c>
      <c r="CH12" s="27"/>
      <c r="CI12" s="28"/>
      <c r="CJ12" s="449"/>
      <c r="CK12" s="450"/>
    </row>
    <row r="13" spans="1:89" ht="15" customHeight="1">
      <c r="A13" s="142">
        <v>9</v>
      </c>
      <c r="B13" s="142" t="s">
        <v>132</v>
      </c>
      <c r="C13" s="455">
        <v>33</v>
      </c>
      <c r="D13" s="14"/>
      <c r="E13" s="65"/>
      <c r="F13" s="14"/>
      <c r="G13" s="65"/>
      <c r="H13" s="14"/>
      <c r="I13" s="65"/>
      <c r="J13" s="14"/>
      <c r="K13" s="65"/>
      <c r="L13" s="224" t="s">
        <v>41</v>
      </c>
      <c r="M13" s="65"/>
      <c r="N13" s="14"/>
      <c r="O13" s="58"/>
      <c r="P13" s="14"/>
      <c r="Q13" s="65"/>
      <c r="R13" s="15"/>
      <c r="S13" s="65"/>
      <c r="T13" s="15" t="s">
        <v>41</v>
      </c>
      <c r="U13" s="65"/>
      <c r="V13" s="15"/>
      <c r="W13" s="65"/>
      <c r="X13" s="15"/>
      <c r="Y13" s="80"/>
      <c r="Z13" s="14"/>
      <c r="AA13" s="65"/>
      <c r="AB13" s="14"/>
      <c r="AC13" s="65"/>
      <c r="AD13" s="15"/>
      <c r="AE13" s="65"/>
      <c r="AF13" s="14"/>
      <c r="AG13" s="80"/>
      <c r="AH13" s="14"/>
      <c r="AI13" s="65"/>
      <c r="AJ13" s="14"/>
      <c r="AK13" s="65"/>
      <c r="AL13" s="14"/>
      <c r="AM13" s="65"/>
      <c r="AN13" s="14"/>
      <c r="AO13" s="65"/>
      <c r="AP13" s="523"/>
      <c r="AQ13" s="524"/>
      <c r="AR13" s="33"/>
      <c r="AS13" s="34"/>
      <c r="AT13" s="142">
        <v>9</v>
      </c>
      <c r="AU13" s="142" t="s">
        <v>132</v>
      </c>
      <c r="AV13" s="455">
        <v>33</v>
      </c>
      <c r="AW13" s="14"/>
      <c r="AX13" s="67"/>
      <c r="AY13" s="69"/>
      <c r="AZ13" s="67"/>
      <c r="BA13" s="69"/>
      <c r="BB13" s="69"/>
      <c r="BC13" s="97"/>
      <c r="BD13" s="67"/>
      <c r="BE13" s="14"/>
      <c r="BF13" s="67" t="s">
        <v>34</v>
      </c>
      <c r="BG13" s="72"/>
      <c r="BH13" s="67" t="s">
        <v>34</v>
      </c>
      <c r="BI13" s="72"/>
      <c r="BJ13" s="69" t="s">
        <v>34</v>
      </c>
      <c r="BK13" s="15"/>
      <c r="BL13" s="67" t="s">
        <v>34</v>
      </c>
      <c r="BM13" s="37"/>
      <c r="BN13" s="67" t="s">
        <v>41</v>
      </c>
      <c r="BO13" s="72"/>
      <c r="BP13" s="74" t="s">
        <v>33</v>
      </c>
      <c r="BQ13" s="72"/>
      <c r="BR13" s="74" t="s">
        <v>33</v>
      </c>
      <c r="BS13" s="78"/>
      <c r="BT13" s="74" t="s">
        <v>33</v>
      </c>
      <c r="BU13" s="96"/>
      <c r="BV13" s="67"/>
      <c r="BW13" s="69"/>
      <c r="BX13" s="67"/>
      <c r="BY13" s="69"/>
      <c r="BZ13" s="69"/>
      <c r="CA13" s="97"/>
      <c r="CB13" s="67"/>
      <c r="CC13" s="142">
        <v>9</v>
      </c>
      <c r="CD13" s="142" t="s">
        <v>132</v>
      </c>
      <c r="CE13" s="455">
        <v>32</v>
      </c>
      <c r="CF13" s="311">
        <f t="shared" si="0"/>
        <v>3</v>
      </c>
      <c r="CG13" s="76">
        <f t="shared" si="1"/>
        <v>4</v>
      </c>
      <c r="CH13" s="27"/>
      <c r="CI13" s="28"/>
      <c r="CJ13" s="449"/>
      <c r="CK13" s="450"/>
    </row>
    <row r="14" spans="1:89" ht="15" customHeight="1">
      <c r="A14" s="142">
        <v>10</v>
      </c>
      <c r="B14" s="142" t="s">
        <v>133</v>
      </c>
      <c r="C14" s="455"/>
      <c r="D14" s="14"/>
      <c r="E14" s="65"/>
      <c r="F14" s="14"/>
      <c r="G14" s="65"/>
      <c r="H14" s="112"/>
      <c r="I14" s="65"/>
      <c r="J14" s="14"/>
      <c r="K14" s="65"/>
      <c r="L14" s="224" t="s">
        <v>41</v>
      </c>
      <c r="M14" s="65"/>
      <c r="N14" s="14"/>
      <c r="O14" s="58"/>
      <c r="P14" s="14"/>
      <c r="Q14" s="65"/>
      <c r="R14" s="112"/>
      <c r="S14" s="65"/>
      <c r="T14" s="15" t="s">
        <v>41</v>
      </c>
      <c r="U14" s="65"/>
      <c r="V14" s="112"/>
      <c r="W14" s="65"/>
      <c r="X14" s="15"/>
      <c r="Y14" s="80"/>
      <c r="Z14" s="14"/>
      <c r="AA14" s="65"/>
      <c r="AB14" s="14"/>
      <c r="AC14" s="65"/>
      <c r="AD14" s="15"/>
      <c r="AE14" s="65"/>
      <c r="AF14" s="14"/>
      <c r="AG14" s="80"/>
      <c r="AH14" s="14"/>
      <c r="AI14" s="65"/>
      <c r="AJ14" s="14"/>
      <c r="AK14" s="65"/>
      <c r="AL14" s="14"/>
      <c r="AM14" s="65"/>
      <c r="AN14" s="14"/>
      <c r="AO14" s="65"/>
      <c r="AP14" s="523"/>
      <c r="AQ14" s="524"/>
      <c r="AR14" s="33"/>
      <c r="AS14" s="34"/>
      <c r="AT14" s="142">
        <v>10</v>
      </c>
      <c r="AU14" s="142" t="s">
        <v>133</v>
      </c>
      <c r="AV14" s="455"/>
      <c r="AW14" s="14"/>
      <c r="AX14" s="67"/>
      <c r="AY14" s="69"/>
      <c r="AZ14" s="67"/>
      <c r="BA14" s="69"/>
      <c r="BB14" s="69"/>
      <c r="BC14" s="97"/>
      <c r="BD14" s="67"/>
      <c r="BE14" s="14"/>
      <c r="BF14" s="67"/>
      <c r="BG14" s="69"/>
      <c r="BH14" s="67"/>
      <c r="BI14" s="69"/>
      <c r="BJ14" s="69"/>
      <c r="BK14" s="97"/>
      <c r="BL14" s="67"/>
      <c r="BM14" s="37"/>
      <c r="BN14" s="67" t="s">
        <v>41</v>
      </c>
      <c r="BO14" s="72"/>
      <c r="BP14" s="67" t="s">
        <v>34</v>
      </c>
      <c r="BQ14" s="72"/>
      <c r="BR14" s="72" t="s">
        <v>34</v>
      </c>
      <c r="BS14" s="15"/>
      <c r="BT14" s="67" t="s">
        <v>34</v>
      </c>
      <c r="BU14" s="37"/>
      <c r="BV14" s="74"/>
      <c r="BW14" s="72"/>
      <c r="BX14" s="74" t="s">
        <v>33</v>
      </c>
      <c r="BY14" s="72"/>
      <c r="BZ14" s="74" t="s">
        <v>33</v>
      </c>
      <c r="CA14" s="78"/>
      <c r="CB14" s="74" t="s">
        <v>33</v>
      </c>
      <c r="CC14" s="142">
        <v>10</v>
      </c>
      <c r="CD14" s="142" t="s">
        <v>133</v>
      </c>
      <c r="CE14" s="455"/>
      <c r="CF14" s="311">
        <f t="shared" si="0"/>
        <v>3</v>
      </c>
      <c r="CG14" s="76">
        <f t="shared" si="1"/>
        <v>3</v>
      </c>
      <c r="CH14" s="27"/>
      <c r="CI14" s="28"/>
      <c r="CJ14" s="449"/>
      <c r="CK14" s="450"/>
    </row>
    <row r="15" spans="1:89" ht="15" customHeight="1">
      <c r="A15" s="142">
        <v>11</v>
      </c>
      <c r="B15" s="142" t="s">
        <v>127</v>
      </c>
      <c r="C15" s="455"/>
      <c r="D15" s="14"/>
      <c r="E15" s="65"/>
      <c r="F15" s="14"/>
      <c r="G15" s="65"/>
      <c r="H15" s="14"/>
      <c r="I15" s="65"/>
      <c r="J15" s="14"/>
      <c r="K15" s="65"/>
      <c r="L15" s="224" t="s">
        <v>41</v>
      </c>
      <c r="M15" s="65"/>
      <c r="N15" s="14"/>
      <c r="O15" s="58"/>
      <c r="P15" s="14"/>
      <c r="Q15" s="65"/>
      <c r="R15" s="15"/>
      <c r="S15" s="65"/>
      <c r="T15" s="15" t="s">
        <v>41</v>
      </c>
      <c r="U15" s="65"/>
      <c r="V15" s="15"/>
      <c r="W15" s="65"/>
      <c r="X15" s="15"/>
      <c r="Y15" s="80"/>
      <c r="Z15" s="14"/>
      <c r="AA15" s="65"/>
      <c r="AB15" s="14"/>
      <c r="AC15" s="65"/>
      <c r="AD15" s="15"/>
      <c r="AE15" s="65"/>
      <c r="AF15" s="14"/>
      <c r="AG15" s="80"/>
      <c r="AH15" s="14"/>
      <c r="AI15" s="65"/>
      <c r="AJ15" s="14"/>
      <c r="AK15" s="65"/>
      <c r="AL15" s="14"/>
      <c r="AM15" s="65"/>
      <c r="AN15" s="14"/>
      <c r="AO15" s="65"/>
      <c r="AP15" s="523"/>
      <c r="AQ15" s="524"/>
      <c r="AR15" s="33"/>
      <c r="AS15" s="34"/>
      <c r="AT15" s="142">
        <v>11</v>
      </c>
      <c r="AU15" s="142" t="s">
        <v>127</v>
      </c>
      <c r="AV15" s="455"/>
      <c r="AW15" s="14"/>
      <c r="AX15" s="74" t="s">
        <v>33</v>
      </c>
      <c r="AY15" s="72"/>
      <c r="AZ15" s="74" t="s">
        <v>33</v>
      </c>
      <c r="BA15" s="72"/>
      <c r="BB15" s="74" t="s">
        <v>33</v>
      </c>
      <c r="BC15" s="78"/>
      <c r="BD15" s="74" t="s">
        <v>33</v>
      </c>
      <c r="BE15" s="14"/>
      <c r="BF15" s="67"/>
      <c r="BG15" s="69"/>
      <c r="BH15" s="67"/>
      <c r="BI15" s="69"/>
      <c r="BJ15" s="69"/>
      <c r="BK15" s="97"/>
      <c r="BL15" s="67"/>
      <c r="BM15" s="37"/>
      <c r="BN15" s="67"/>
      <c r="BO15" s="69"/>
      <c r="BP15" s="67"/>
      <c r="BQ15" s="69"/>
      <c r="BR15" s="69"/>
      <c r="BS15" s="97"/>
      <c r="BT15" s="67"/>
      <c r="BU15" s="37"/>
      <c r="BV15" s="67"/>
      <c r="BW15" s="72"/>
      <c r="BX15" s="67" t="s">
        <v>34</v>
      </c>
      <c r="BY15" s="72"/>
      <c r="BZ15" s="72" t="s">
        <v>34</v>
      </c>
      <c r="CA15" s="15"/>
      <c r="CB15" s="67" t="s">
        <v>34</v>
      </c>
      <c r="CC15" s="142">
        <v>11</v>
      </c>
      <c r="CD15" s="142" t="s">
        <v>127</v>
      </c>
      <c r="CE15" s="455"/>
      <c r="CF15" s="311">
        <f t="shared" si="0"/>
        <v>4</v>
      </c>
      <c r="CG15" s="76">
        <f t="shared" si="1"/>
        <v>3</v>
      </c>
      <c r="CH15" s="27"/>
      <c r="CI15" s="28"/>
      <c r="CJ15" s="449"/>
      <c r="CK15" s="450"/>
    </row>
    <row r="16" spans="1:89" ht="15" customHeight="1">
      <c r="A16" s="142">
        <v>12</v>
      </c>
      <c r="B16" s="142" t="s">
        <v>128</v>
      </c>
      <c r="C16" s="455"/>
      <c r="D16" s="14"/>
      <c r="E16" s="65"/>
      <c r="F16" s="14"/>
      <c r="G16" s="65"/>
      <c r="H16" s="14"/>
      <c r="I16" s="65"/>
      <c r="J16" s="14"/>
      <c r="K16" s="65"/>
      <c r="L16" s="224" t="s">
        <v>41</v>
      </c>
      <c r="M16" s="65"/>
      <c r="N16" s="14"/>
      <c r="O16" s="65"/>
      <c r="P16" s="14"/>
      <c r="Q16" s="65"/>
      <c r="R16" s="15"/>
      <c r="S16" s="65"/>
      <c r="T16" s="15"/>
      <c r="U16" s="65"/>
      <c r="V16" s="15"/>
      <c r="W16" s="65"/>
      <c r="X16" s="15"/>
      <c r="Y16" s="80"/>
      <c r="Z16" s="14"/>
      <c r="AA16" s="65"/>
      <c r="AB16" s="14"/>
      <c r="AC16" s="65"/>
      <c r="AD16" s="15"/>
      <c r="AE16" s="65"/>
      <c r="AF16" s="14"/>
      <c r="AG16" s="80"/>
      <c r="AH16" s="14"/>
      <c r="AI16" s="65"/>
      <c r="AJ16" s="14"/>
      <c r="AK16" s="65"/>
      <c r="AL16" s="14"/>
      <c r="AM16" s="65"/>
      <c r="AN16" s="14"/>
      <c r="AO16" s="65"/>
      <c r="AP16" s="523"/>
      <c r="AQ16" s="524"/>
      <c r="AR16" s="33"/>
      <c r="AS16" s="34"/>
      <c r="AT16" s="142">
        <v>12</v>
      </c>
      <c r="AU16" s="142" t="s">
        <v>128</v>
      </c>
      <c r="AV16" s="455"/>
      <c r="AW16" s="14"/>
      <c r="AX16" s="67" t="s">
        <v>34</v>
      </c>
      <c r="AY16" s="72"/>
      <c r="AZ16" s="67" t="s">
        <v>34</v>
      </c>
      <c r="BA16" s="72"/>
      <c r="BB16" s="72" t="s">
        <v>34</v>
      </c>
      <c r="BC16" s="15"/>
      <c r="BD16" s="67" t="s">
        <v>34</v>
      </c>
      <c r="BE16" s="14"/>
      <c r="BF16" s="74" t="s">
        <v>33</v>
      </c>
      <c r="BG16" s="72"/>
      <c r="BH16" s="74" t="s">
        <v>33</v>
      </c>
      <c r="BI16" s="72"/>
      <c r="BJ16" s="74" t="s">
        <v>33</v>
      </c>
      <c r="BK16" s="78"/>
      <c r="BL16" s="74" t="s">
        <v>33</v>
      </c>
      <c r="BM16" s="37"/>
      <c r="BN16" s="67"/>
      <c r="BO16" s="69"/>
      <c r="BP16" s="67"/>
      <c r="BQ16" s="69"/>
      <c r="BR16" s="69"/>
      <c r="BS16" s="97"/>
      <c r="BT16" s="67"/>
      <c r="BU16" s="96"/>
      <c r="BV16" s="67"/>
      <c r="BW16" s="69"/>
      <c r="BX16" s="67"/>
      <c r="BY16" s="69"/>
      <c r="BZ16" s="69"/>
      <c r="CA16" s="97"/>
      <c r="CB16" s="67"/>
      <c r="CC16" s="142">
        <v>12</v>
      </c>
      <c r="CD16" s="142" t="s">
        <v>128</v>
      </c>
      <c r="CE16" s="455"/>
      <c r="CF16" s="311">
        <f t="shared" si="0"/>
        <v>4</v>
      </c>
      <c r="CG16" s="76">
        <f t="shared" si="1"/>
        <v>4</v>
      </c>
      <c r="CH16" s="27"/>
      <c r="CI16" s="28"/>
      <c r="CJ16" s="449"/>
      <c r="CK16" s="450"/>
    </row>
    <row r="17" spans="1:89" ht="15" customHeight="1">
      <c r="A17" s="142">
        <v>13</v>
      </c>
      <c r="B17" s="142" t="s">
        <v>129</v>
      </c>
      <c r="C17" s="455"/>
      <c r="D17" s="14"/>
      <c r="E17" s="65"/>
      <c r="F17" s="14"/>
      <c r="G17" s="65"/>
      <c r="H17" s="14"/>
      <c r="I17" s="65"/>
      <c r="J17" s="14"/>
      <c r="K17" s="65"/>
      <c r="L17" s="224" t="s">
        <v>41</v>
      </c>
      <c r="M17" s="65"/>
      <c r="N17" s="14"/>
      <c r="O17" s="65"/>
      <c r="P17" s="14"/>
      <c r="Q17" s="65"/>
      <c r="R17" s="15"/>
      <c r="S17" s="65"/>
      <c r="T17" s="15"/>
      <c r="U17" s="65"/>
      <c r="V17" s="15"/>
      <c r="W17" s="65"/>
      <c r="X17" s="15"/>
      <c r="Y17" s="80"/>
      <c r="Z17" s="14"/>
      <c r="AA17" s="65"/>
      <c r="AB17" s="14"/>
      <c r="AC17" s="65"/>
      <c r="AD17" s="15"/>
      <c r="AE17" s="65"/>
      <c r="AF17" s="14"/>
      <c r="AG17" s="80"/>
      <c r="AH17" s="14"/>
      <c r="AI17" s="65"/>
      <c r="AJ17" s="14"/>
      <c r="AK17" s="65"/>
      <c r="AL17" s="14"/>
      <c r="AM17" s="65"/>
      <c r="AN17" s="14"/>
      <c r="AO17" s="65"/>
      <c r="AP17" s="509"/>
      <c r="AQ17" s="510"/>
      <c r="AR17" s="33"/>
      <c r="AS17" s="34"/>
      <c r="AT17" s="142">
        <v>13</v>
      </c>
      <c r="AU17" s="142" t="s">
        <v>129</v>
      </c>
      <c r="AV17" s="455"/>
      <c r="AW17" s="14"/>
      <c r="AX17" s="67"/>
      <c r="AY17" s="69"/>
      <c r="AZ17" s="67"/>
      <c r="BA17" s="69"/>
      <c r="BB17" s="69"/>
      <c r="BC17" s="97"/>
      <c r="BD17" s="67"/>
      <c r="BE17" s="14"/>
      <c r="BF17" s="67" t="s">
        <v>34</v>
      </c>
      <c r="BG17" s="72"/>
      <c r="BH17" s="67" t="s">
        <v>34</v>
      </c>
      <c r="BI17" s="72"/>
      <c r="BJ17" s="69" t="s">
        <v>34</v>
      </c>
      <c r="BK17" s="15"/>
      <c r="BL17" s="67" t="s">
        <v>34</v>
      </c>
      <c r="BM17" s="37"/>
      <c r="BN17" s="74" t="s">
        <v>33</v>
      </c>
      <c r="BO17" s="72"/>
      <c r="BP17" s="74" t="s">
        <v>33</v>
      </c>
      <c r="BQ17" s="72"/>
      <c r="BR17" s="74" t="s">
        <v>33</v>
      </c>
      <c r="BS17" s="78"/>
      <c r="BT17" s="74" t="s">
        <v>33</v>
      </c>
      <c r="BU17" s="96"/>
      <c r="BV17" s="67"/>
      <c r="BW17" s="69"/>
      <c r="BX17" s="67"/>
      <c r="BY17" s="69"/>
      <c r="BZ17" s="69"/>
      <c r="CA17" s="97"/>
      <c r="CB17" s="67"/>
      <c r="CC17" s="142">
        <v>13</v>
      </c>
      <c r="CD17" s="142" t="s">
        <v>129</v>
      </c>
      <c r="CE17" s="455"/>
      <c r="CF17" s="311">
        <f t="shared" si="0"/>
        <v>4</v>
      </c>
      <c r="CG17" s="76">
        <f t="shared" si="1"/>
        <v>4</v>
      </c>
      <c r="CH17" s="27"/>
      <c r="CI17" s="28"/>
      <c r="CJ17" s="449"/>
      <c r="CK17" s="450"/>
    </row>
    <row r="18" spans="1:89" ht="15" customHeight="1">
      <c r="A18" s="22">
        <v>14</v>
      </c>
      <c r="B18" s="22" t="s">
        <v>130</v>
      </c>
      <c r="C18" s="455"/>
      <c r="D18" s="16"/>
      <c r="E18" s="17"/>
      <c r="F18" s="16"/>
      <c r="G18" s="17"/>
      <c r="H18" s="16"/>
      <c r="I18" s="17"/>
      <c r="J18" s="16"/>
      <c r="K18" s="17"/>
      <c r="L18" s="16"/>
      <c r="M18" s="17"/>
      <c r="N18" s="16"/>
      <c r="O18" s="59"/>
      <c r="P18" s="16"/>
      <c r="Q18" s="17"/>
      <c r="R18" s="18"/>
      <c r="S18" s="17"/>
      <c r="T18" s="18"/>
      <c r="U18" s="17"/>
      <c r="V18" s="18"/>
      <c r="W18" s="17"/>
      <c r="X18" s="18"/>
      <c r="Y18" s="82"/>
      <c r="Z18" s="16"/>
      <c r="AA18" s="17"/>
      <c r="AB18" s="16"/>
      <c r="AC18" s="17"/>
      <c r="AD18" s="18"/>
      <c r="AE18" s="17"/>
      <c r="AF18" s="16"/>
      <c r="AG18" s="82"/>
      <c r="AH18" s="16"/>
      <c r="AI18" s="17"/>
      <c r="AJ18" s="16"/>
      <c r="AK18" s="17"/>
      <c r="AL18" s="16"/>
      <c r="AM18" s="17"/>
      <c r="AN18" s="16"/>
      <c r="AO18" s="17"/>
      <c r="AP18" s="525"/>
      <c r="AQ18" s="526"/>
      <c r="AR18" s="104"/>
      <c r="AS18" s="105"/>
      <c r="AT18" s="22">
        <v>14</v>
      </c>
      <c r="AU18" s="22" t="s">
        <v>130</v>
      </c>
      <c r="AV18" s="455"/>
      <c r="AW18" s="16"/>
      <c r="AX18" s="66"/>
      <c r="AY18" s="68"/>
      <c r="AZ18" s="66"/>
      <c r="BA18" s="68"/>
      <c r="BB18" s="68"/>
      <c r="BC18" s="83"/>
      <c r="BD18" s="66"/>
      <c r="BE18" s="16"/>
      <c r="BF18" s="66"/>
      <c r="BG18" s="68"/>
      <c r="BH18" s="66"/>
      <c r="BI18" s="68"/>
      <c r="BJ18" s="68"/>
      <c r="BK18" s="83"/>
      <c r="BL18" s="66"/>
      <c r="BM18" s="38"/>
      <c r="BN18" s="66" t="s">
        <v>34</v>
      </c>
      <c r="BO18" s="73"/>
      <c r="BP18" s="66" t="s">
        <v>34</v>
      </c>
      <c r="BQ18" s="73"/>
      <c r="BR18" s="73" t="s">
        <v>34</v>
      </c>
      <c r="BS18" s="18"/>
      <c r="BT18" s="70" t="s">
        <v>61</v>
      </c>
      <c r="BU18" s="38"/>
      <c r="BV18" s="75"/>
      <c r="BW18" s="73"/>
      <c r="BX18" s="75" t="s">
        <v>33</v>
      </c>
      <c r="BY18" s="73"/>
      <c r="BZ18" s="75" t="s">
        <v>33</v>
      </c>
      <c r="CA18" s="79"/>
      <c r="CB18" s="75" t="s">
        <v>33</v>
      </c>
      <c r="CC18" s="22">
        <v>14</v>
      </c>
      <c r="CD18" s="22" t="s">
        <v>130</v>
      </c>
      <c r="CE18" s="455"/>
      <c r="CF18" s="311">
        <f t="shared" si="0"/>
        <v>3</v>
      </c>
      <c r="CG18" s="76">
        <f t="shared" si="1"/>
        <v>3</v>
      </c>
      <c r="CH18" s="27"/>
      <c r="CI18" s="28"/>
      <c r="CJ18" s="449"/>
      <c r="CK18" s="450"/>
    </row>
    <row r="19" spans="1:89" ht="15" customHeight="1">
      <c r="A19" s="22">
        <v>15</v>
      </c>
      <c r="B19" s="22" t="s">
        <v>131</v>
      </c>
      <c r="C19" s="455"/>
      <c r="D19" s="16"/>
      <c r="E19" s="17"/>
      <c r="F19" s="16"/>
      <c r="G19" s="17"/>
      <c r="H19" s="16"/>
      <c r="I19" s="17"/>
      <c r="J19" s="16"/>
      <c r="K19" s="17"/>
      <c r="L19" s="16"/>
      <c r="M19" s="17"/>
      <c r="N19" s="16"/>
      <c r="O19" s="59"/>
      <c r="P19" s="16"/>
      <c r="Q19" s="17"/>
      <c r="R19" s="18"/>
      <c r="S19" s="17"/>
      <c r="T19" s="18"/>
      <c r="U19" s="17"/>
      <c r="V19" s="18"/>
      <c r="W19" s="17"/>
      <c r="X19" s="18"/>
      <c r="Y19" s="82"/>
      <c r="Z19" s="16"/>
      <c r="AA19" s="17"/>
      <c r="AB19" s="16"/>
      <c r="AC19" s="17"/>
      <c r="AD19" s="18"/>
      <c r="AE19" s="17"/>
      <c r="AF19" s="16"/>
      <c r="AG19" s="82"/>
      <c r="AH19" s="16"/>
      <c r="AI19" s="17"/>
      <c r="AJ19" s="16"/>
      <c r="AK19" s="17"/>
      <c r="AL19" s="16"/>
      <c r="AM19" s="17"/>
      <c r="AN19" s="16"/>
      <c r="AO19" s="17"/>
      <c r="AP19" s="525"/>
      <c r="AQ19" s="526"/>
      <c r="AR19" s="104"/>
      <c r="AS19" s="105"/>
      <c r="AT19" s="22">
        <v>15</v>
      </c>
      <c r="AU19" s="22" t="s">
        <v>131</v>
      </c>
      <c r="AV19" s="455"/>
      <c r="AW19" s="16"/>
      <c r="AX19" s="75" t="s">
        <v>33</v>
      </c>
      <c r="AY19" s="73"/>
      <c r="AZ19" s="75" t="s">
        <v>33</v>
      </c>
      <c r="BA19" s="73"/>
      <c r="BB19" s="75" t="s">
        <v>33</v>
      </c>
      <c r="BC19" s="79"/>
      <c r="BD19" s="75" t="s">
        <v>33</v>
      </c>
      <c r="BE19" s="16"/>
      <c r="BF19" s="66"/>
      <c r="BG19" s="68"/>
      <c r="BH19" s="66"/>
      <c r="BI19" s="68"/>
      <c r="BJ19" s="68"/>
      <c r="BK19" s="83"/>
      <c r="BL19" s="66"/>
      <c r="BM19" s="38"/>
      <c r="BN19" s="66"/>
      <c r="BO19" s="68"/>
      <c r="BP19" s="66"/>
      <c r="BQ19" s="68"/>
      <c r="BR19" s="68"/>
      <c r="BS19" s="83"/>
      <c r="BT19" s="66"/>
      <c r="BU19" s="38"/>
      <c r="BV19" s="66"/>
      <c r="BW19" s="73"/>
      <c r="BX19" s="66" t="s">
        <v>34</v>
      </c>
      <c r="BY19" s="73"/>
      <c r="BZ19" s="73" t="s">
        <v>34</v>
      </c>
      <c r="CA19" s="18"/>
      <c r="CB19" s="66" t="s">
        <v>34</v>
      </c>
      <c r="CC19" s="22">
        <v>15</v>
      </c>
      <c r="CD19" s="22" t="s">
        <v>131</v>
      </c>
      <c r="CE19" s="455"/>
      <c r="CF19" s="311">
        <f t="shared" si="0"/>
        <v>4</v>
      </c>
      <c r="CG19" s="76">
        <f t="shared" si="1"/>
        <v>3</v>
      </c>
      <c r="CH19" s="27"/>
      <c r="CI19" s="28"/>
      <c r="CJ19" s="449"/>
      <c r="CK19" s="450"/>
    </row>
    <row r="20" spans="1:89" ht="15" customHeight="1">
      <c r="A20" s="142">
        <v>16</v>
      </c>
      <c r="B20" s="142" t="s">
        <v>132</v>
      </c>
      <c r="C20" s="455">
        <v>34</v>
      </c>
      <c r="D20" s="14"/>
      <c r="E20" s="65"/>
      <c r="F20" s="14"/>
      <c r="G20" s="65"/>
      <c r="H20" s="14"/>
      <c r="I20" s="65"/>
      <c r="J20" s="14"/>
      <c r="K20" s="65"/>
      <c r="L20" s="14"/>
      <c r="M20" s="65"/>
      <c r="N20" s="14"/>
      <c r="O20" s="58"/>
      <c r="P20" s="14"/>
      <c r="Q20" s="65"/>
      <c r="R20" s="15"/>
      <c r="S20" s="65"/>
      <c r="T20" s="15"/>
      <c r="U20" s="65"/>
      <c r="V20" s="15"/>
      <c r="W20" s="65"/>
      <c r="X20" s="15" t="s">
        <v>41</v>
      </c>
      <c r="Y20" s="80"/>
      <c r="Z20" s="14"/>
      <c r="AA20" s="65"/>
      <c r="AB20" s="14"/>
      <c r="AC20" s="65"/>
      <c r="AD20" s="15"/>
      <c r="AE20" s="65"/>
      <c r="AF20" s="14"/>
      <c r="AG20" s="80"/>
      <c r="AH20" s="14"/>
      <c r="AI20" s="65"/>
      <c r="AJ20" s="14"/>
      <c r="AK20" s="65"/>
      <c r="AL20" s="14"/>
      <c r="AM20" s="65"/>
      <c r="AN20" s="14"/>
      <c r="AO20" s="65"/>
      <c r="AP20" s="509"/>
      <c r="AQ20" s="510"/>
      <c r="AR20" s="33"/>
      <c r="AS20" s="34"/>
      <c r="AT20" s="142">
        <v>16</v>
      </c>
      <c r="AU20" s="142" t="s">
        <v>132</v>
      </c>
      <c r="AV20" s="455">
        <v>34</v>
      </c>
      <c r="AW20" s="14"/>
      <c r="AX20" s="67" t="s">
        <v>34</v>
      </c>
      <c r="AY20" s="72"/>
      <c r="AZ20" s="67" t="s">
        <v>34</v>
      </c>
      <c r="BA20" s="72"/>
      <c r="BB20" s="72" t="s">
        <v>34</v>
      </c>
      <c r="BC20" s="15"/>
      <c r="BD20" s="67" t="s">
        <v>34</v>
      </c>
      <c r="BE20" s="14"/>
      <c r="BF20" s="74" t="s">
        <v>41</v>
      </c>
      <c r="BG20" s="72"/>
      <c r="BH20" s="74" t="s">
        <v>33</v>
      </c>
      <c r="BI20" s="72"/>
      <c r="BJ20" s="74" t="s">
        <v>33</v>
      </c>
      <c r="BK20" s="78"/>
      <c r="BL20" s="74" t="s">
        <v>33</v>
      </c>
      <c r="BM20" s="37"/>
      <c r="BN20" s="67"/>
      <c r="BO20" s="69"/>
      <c r="BP20" s="67"/>
      <c r="BQ20" s="69"/>
      <c r="BR20" s="69"/>
      <c r="BS20" s="97"/>
      <c r="BT20" s="67"/>
      <c r="BU20" s="96"/>
      <c r="BV20" s="67"/>
      <c r="BW20" s="69"/>
      <c r="BX20" s="67"/>
      <c r="BY20" s="69"/>
      <c r="BZ20" s="69"/>
      <c r="CA20" s="97"/>
      <c r="CB20" s="67"/>
      <c r="CC20" s="142">
        <v>16</v>
      </c>
      <c r="CD20" s="142" t="s">
        <v>132</v>
      </c>
      <c r="CE20" s="455">
        <v>33</v>
      </c>
      <c r="CF20" s="311">
        <f t="shared" si="0"/>
        <v>3</v>
      </c>
      <c r="CG20" s="76">
        <f t="shared" si="1"/>
        <v>4</v>
      </c>
      <c r="CH20" s="27"/>
      <c r="CI20" s="28"/>
      <c r="CJ20" s="449"/>
      <c r="CK20" s="450"/>
    </row>
    <row r="21" spans="1:89" ht="15" customHeight="1">
      <c r="A21" s="142">
        <v>17</v>
      </c>
      <c r="B21" s="142" t="s">
        <v>133</v>
      </c>
      <c r="C21" s="455"/>
      <c r="D21" s="14"/>
      <c r="E21" s="65"/>
      <c r="F21" s="14"/>
      <c r="G21" s="65"/>
      <c r="H21" s="14"/>
      <c r="I21" s="65"/>
      <c r="J21" s="14"/>
      <c r="K21" s="65"/>
      <c r="L21" s="14"/>
      <c r="M21" s="65"/>
      <c r="N21" s="14"/>
      <c r="O21" s="58"/>
      <c r="P21" s="14"/>
      <c r="Q21" s="65"/>
      <c r="R21" s="15"/>
      <c r="S21" s="65"/>
      <c r="T21" s="14"/>
      <c r="U21" s="65"/>
      <c r="V21" s="15"/>
      <c r="W21" s="65"/>
      <c r="X21" s="15" t="s">
        <v>41</v>
      </c>
      <c r="Y21" s="80"/>
      <c r="Z21" s="14"/>
      <c r="AA21" s="65"/>
      <c r="AB21" s="14"/>
      <c r="AC21" s="65"/>
      <c r="AD21" s="15"/>
      <c r="AE21" s="65"/>
      <c r="AF21" s="14"/>
      <c r="AG21" s="80"/>
      <c r="AH21" s="14"/>
      <c r="AI21" s="65"/>
      <c r="AJ21" s="14"/>
      <c r="AK21" s="65"/>
      <c r="AL21" s="14"/>
      <c r="AM21" s="65"/>
      <c r="AN21" s="14"/>
      <c r="AO21" s="65"/>
      <c r="AP21" s="523"/>
      <c r="AQ21" s="524"/>
      <c r="AR21" s="33"/>
      <c r="AS21" s="34"/>
      <c r="AT21" s="142">
        <v>17</v>
      </c>
      <c r="AU21" s="142" t="s">
        <v>133</v>
      </c>
      <c r="AV21" s="455"/>
      <c r="AW21" s="14"/>
      <c r="AX21" s="67"/>
      <c r="AY21" s="69"/>
      <c r="AZ21" s="67"/>
      <c r="BA21" s="69"/>
      <c r="BB21" s="69"/>
      <c r="BC21" s="97"/>
      <c r="BD21" s="67"/>
      <c r="BE21" s="14"/>
      <c r="BF21" s="67" t="s">
        <v>41</v>
      </c>
      <c r="BG21" s="72"/>
      <c r="BH21" s="67" t="s">
        <v>34</v>
      </c>
      <c r="BI21" s="72"/>
      <c r="BJ21" s="69" t="s">
        <v>34</v>
      </c>
      <c r="BK21" s="15"/>
      <c r="BL21" s="67" t="s">
        <v>34</v>
      </c>
      <c r="BM21" s="37"/>
      <c r="BN21" s="74" t="s">
        <v>33</v>
      </c>
      <c r="BO21" s="72"/>
      <c r="BP21" s="74" t="s">
        <v>33</v>
      </c>
      <c r="BQ21" s="72"/>
      <c r="BR21" s="74" t="s">
        <v>33</v>
      </c>
      <c r="BS21" s="78"/>
      <c r="BT21" s="74" t="s">
        <v>33</v>
      </c>
      <c r="BU21" s="96"/>
      <c r="BV21" s="67"/>
      <c r="BW21" s="69"/>
      <c r="BX21" s="67"/>
      <c r="BY21" s="69"/>
      <c r="BZ21" s="69"/>
      <c r="CA21" s="97"/>
      <c r="CB21" s="67"/>
      <c r="CC21" s="142">
        <v>17</v>
      </c>
      <c r="CD21" s="142" t="s">
        <v>133</v>
      </c>
      <c r="CE21" s="455"/>
      <c r="CF21" s="311">
        <f t="shared" si="0"/>
        <v>4</v>
      </c>
      <c r="CG21" s="76">
        <f t="shared" si="1"/>
        <v>3</v>
      </c>
      <c r="CH21" s="27"/>
      <c r="CI21" s="28"/>
      <c r="CJ21" s="449"/>
      <c r="CK21" s="450"/>
    </row>
    <row r="22" spans="1:89" ht="15" customHeight="1">
      <c r="A22" s="142">
        <v>18</v>
      </c>
      <c r="B22" s="142" t="s">
        <v>127</v>
      </c>
      <c r="C22" s="455"/>
      <c r="D22" s="14"/>
      <c r="E22" s="65"/>
      <c r="F22" s="14"/>
      <c r="G22" s="65"/>
      <c r="H22" s="14"/>
      <c r="I22" s="65"/>
      <c r="J22" s="14"/>
      <c r="K22" s="65"/>
      <c r="L22" s="14"/>
      <c r="M22" s="65"/>
      <c r="N22" s="14"/>
      <c r="O22" s="58"/>
      <c r="P22" s="14"/>
      <c r="Q22" s="65"/>
      <c r="R22" s="15"/>
      <c r="S22" s="65"/>
      <c r="T22" s="15"/>
      <c r="U22" s="65"/>
      <c r="V22" s="15"/>
      <c r="W22" s="65"/>
      <c r="X22" s="15" t="s">
        <v>41</v>
      </c>
      <c r="Y22" s="80"/>
      <c r="Z22" s="14"/>
      <c r="AA22" s="65"/>
      <c r="AB22" s="14"/>
      <c r="AC22" s="65"/>
      <c r="AD22" s="15"/>
      <c r="AE22" s="65"/>
      <c r="AF22" s="14"/>
      <c r="AG22" s="80"/>
      <c r="AH22" s="14"/>
      <c r="AI22" s="65"/>
      <c r="AJ22" s="14"/>
      <c r="AK22" s="65"/>
      <c r="AL22" s="14"/>
      <c r="AM22" s="65"/>
      <c r="AN22" s="14"/>
      <c r="AO22" s="65"/>
      <c r="AP22" s="523"/>
      <c r="AQ22" s="524"/>
      <c r="AR22" s="33"/>
      <c r="AS22" s="34"/>
      <c r="AT22" s="142">
        <v>18</v>
      </c>
      <c r="AU22" s="142" t="s">
        <v>127</v>
      </c>
      <c r="AV22" s="455"/>
      <c r="AW22" s="14"/>
      <c r="AX22" s="67"/>
      <c r="AY22" s="69"/>
      <c r="AZ22" s="67"/>
      <c r="BA22" s="69"/>
      <c r="BB22" s="69"/>
      <c r="BC22" s="97"/>
      <c r="BD22" s="67"/>
      <c r="BE22" s="14"/>
      <c r="BF22" s="67" t="s">
        <v>41</v>
      </c>
      <c r="BG22" s="69"/>
      <c r="BH22" s="67"/>
      <c r="BI22" s="69"/>
      <c r="BJ22" s="69"/>
      <c r="BK22" s="97"/>
      <c r="BL22" s="67"/>
      <c r="BM22" s="37"/>
      <c r="BN22" s="67" t="s">
        <v>34</v>
      </c>
      <c r="BO22" s="72"/>
      <c r="BP22" s="67" t="s">
        <v>34</v>
      </c>
      <c r="BQ22" s="72"/>
      <c r="BR22" s="72" t="s">
        <v>34</v>
      </c>
      <c r="BS22" s="15"/>
      <c r="BT22" s="67" t="s">
        <v>34</v>
      </c>
      <c r="BU22" s="37"/>
      <c r="BV22" s="74"/>
      <c r="BW22" s="72"/>
      <c r="BX22" s="74" t="s">
        <v>33</v>
      </c>
      <c r="BY22" s="72"/>
      <c r="BZ22" s="74" t="s">
        <v>33</v>
      </c>
      <c r="CA22" s="78"/>
      <c r="CB22" s="74" t="s">
        <v>33</v>
      </c>
      <c r="CC22" s="142">
        <v>18</v>
      </c>
      <c r="CD22" s="142" t="s">
        <v>127</v>
      </c>
      <c r="CE22" s="455"/>
      <c r="CF22" s="311">
        <f t="shared" si="0"/>
        <v>3</v>
      </c>
      <c r="CG22" s="76">
        <f t="shared" si="1"/>
        <v>4</v>
      </c>
      <c r="CH22" s="27"/>
      <c r="CI22" s="28"/>
      <c r="CJ22" s="449"/>
      <c r="CK22" s="450"/>
    </row>
    <row r="23" spans="1:89" ht="15" customHeight="1">
      <c r="A23" s="142">
        <v>19</v>
      </c>
      <c r="B23" s="142" t="s">
        <v>128</v>
      </c>
      <c r="C23" s="455"/>
      <c r="D23" s="14"/>
      <c r="E23" s="65"/>
      <c r="F23" s="14"/>
      <c r="G23" s="65"/>
      <c r="H23" s="14"/>
      <c r="I23" s="65"/>
      <c r="J23" s="14"/>
      <c r="K23" s="65"/>
      <c r="L23" s="14"/>
      <c r="M23" s="65"/>
      <c r="N23" s="14"/>
      <c r="O23" s="58"/>
      <c r="P23" s="14"/>
      <c r="Q23" s="65"/>
      <c r="R23" s="15"/>
      <c r="S23" s="65"/>
      <c r="T23" s="15"/>
      <c r="U23" s="65"/>
      <c r="V23" s="15"/>
      <c r="W23" s="65"/>
      <c r="X23" s="15" t="s">
        <v>41</v>
      </c>
      <c r="Y23" s="80"/>
      <c r="Z23" s="14"/>
      <c r="AA23" s="65"/>
      <c r="AB23" s="14"/>
      <c r="AC23" s="65"/>
      <c r="AD23" s="15"/>
      <c r="AE23" s="65"/>
      <c r="AF23" s="14"/>
      <c r="AG23" s="80"/>
      <c r="AH23" s="14"/>
      <c r="AI23" s="65"/>
      <c r="AJ23" s="14"/>
      <c r="AK23" s="65"/>
      <c r="AL23" s="14"/>
      <c r="AM23" s="65"/>
      <c r="AN23" s="14"/>
      <c r="AO23" s="65"/>
      <c r="AP23" s="523"/>
      <c r="AQ23" s="524"/>
      <c r="AR23" s="33"/>
      <c r="AS23" s="34"/>
      <c r="AT23" s="142">
        <v>19</v>
      </c>
      <c r="AU23" s="142" t="s">
        <v>128</v>
      </c>
      <c r="AV23" s="455"/>
      <c r="AW23" s="14"/>
      <c r="AX23" s="74" t="s">
        <v>33</v>
      </c>
      <c r="AY23" s="72"/>
      <c r="AZ23" s="74" t="s">
        <v>33</v>
      </c>
      <c r="BA23" s="72"/>
      <c r="BB23" s="74" t="s">
        <v>33</v>
      </c>
      <c r="BC23" s="78"/>
      <c r="BD23" s="74" t="s">
        <v>33</v>
      </c>
      <c r="BE23" s="14"/>
      <c r="BF23" s="67" t="s">
        <v>41</v>
      </c>
      <c r="BG23" s="69"/>
      <c r="BH23" s="67"/>
      <c r="BI23" s="69"/>
      <c r="BJ23" s="69"/>
      <c r="BK23" s="97"/>
      <c r="BL23" s="67"/>
      <c r="BM23" s="37"/>
      <c r="BN23" s="67"/>
      <c r="BO23" s="69"/>
      <c r="BP23" s="67"/>
      <c r="BQ23" s="69"/>
      <c r="BR23" s="69"/>
      <c r="BS23" s="97"/>
      <c r="BT23" s="67"/>
      <c r="BU23" s="37"/>
      <c r="BV23" s="67"/>
      <c r="BW23" s="72"/>
      <c r="BX23" s="67" t="s">
        <v>34</v>
      </c>
      <c r="BY23" s="72"/>
      <c r="BZ23" s="72" t="s">
        <v>34</v>
      </c>
      <c r="CA23" s="15"/>
      <c r="CB23" s="67" t="s">
        <v>34</v>
      </c>
      <c r="CC23" s="142">
        <v>19</v>
      </c>
      <c r="CD23" s="142" t="s">
        <v>128</v>
      </c>
      <c r="CE23" s="455"/>
      <c r="CF23" s="311">
        <f t="shared" si="0"/>
        <v>4</v>
      </c>
      <c r="CG23" s="76">
        <f t="shared" si="1"/>
        <v>3</v>
      </c>
      <c r="CH23" s="27"/>
      <c r="CI23" s="28"/>
      <c r="CJ23" s="545"/>
      <c r="CK23" s="546"/>
    </row>
    <row r="24" spans="1:89" ht="15" customHeight="1">
      <c r="A24" s="142">
        <v>20</v>
      </c>
      <c r="B24" s="142" t="s">
        <v>129</v>
      </c>
      <c r="C24" s="455"/>
      <c r="D24" s="14"/>
      <c r="E24" s="65"/>
      <c r="F24" s="14"/>
      <c r="G24" s="65"/>
      <c r="H24" s="14"/>
      <c r="I24" s="65"/>
      <c r="J24" s="14"/>
      <c r="K24" s="65"/>
      <c r="L24" s="14"/>
      <c r="M24" s="65"/>
      <c r="N24" s="14"/>
      <c r="O24" s="58"/>
      <c r="P24" s="14"/>
      <c r="Q24" s="65"/>
      <c r="R24" s="15"/>
      <c r="S24" s="65"/>
      <c r="T24" s="15"/>
      <c r="U24" s="65"/>
      <c r="V24" s="15"/>
      <c r="W24" s="65"/>
      <c r="X24" s="15" t="s">
        <v>41</v>
      </c>
      <c r="Y24" s="80"/>
      <c r="Z24" s="14"/>
      <c r="AA24" s="65"/>
      <c r="AB24" s="14"/>
      <c r="AC24" s="65"/>
      <c r="AD24" s="15"/>
      <c r="AE24" s="65"/>
      <c r="AF24" s="14"/>
      <c r="AG24" s="80"/>
      <c r="AH24" s="14"/>
      <c r="AI24" s="65"/>
      <c r="AJ24" s="14"/>
      <c r="AK24" s="65"/>
      <c r="AL24" s="14"/>
      <c r="AM24" s="65"/>
      <c r="AN24" s="14"/>
      <c r="AO24" s="65"/>
      <c r="AP24" s="523"/>
      <c r="AQ24" s="524"/>
      <c r="AR24" s="33"/>
      <c r="AS24" s="34"/>
      <c r="AT24" s="142">
        <v>20</v>
      </c>
      <c r="AU24" s="142" t="s">
        <v>129</v>
      </c>
      <c r="AV24" s="455"/>
      <c r="AW24" s="14"/>
      <c r="AX24" s="67" t="s">
        <v>34</v>
      </c>
      <c r="AY24" s="72"/>
      <c r="AZ24" s="67" t="s">
        <v>34</v>
      </c>
      <c r="BA24" s="72"/>
      <c r="BB24" s="72" t="s">
        <v>34</v>
      </c>
      <c r="BC24" s="15"/>
      <c r="BD24" s="67" t="s">
        <v>34</v>
      </c>
      <c r="BE24" s="14"/>
      <c r="BF24" s="67" t="s">
        <v>41</v>
      </c>
      <c r="BG24" s="72"/>
      <c r="BH24" s="74" t="s">
        <v>33</v>
      </c>
      <c r="BI24" s="72"/>
      <c r="BJ24" s="74" t="s">
        <v>33</v>
      </c>
      <c r="BK24" s="78"/>
      <c r="BL24" s="74" t="s">
        <v>33</v>
      </c>
      <c r="BM24" s="37"/>
      <c r="BN24" s="67"/>
      <c r="BO24" s="69"/>
      <c r="BP24" s="67"/>
      <c r="BQ24" s="69"/>
      <c r="BR24" s="69"/>
      <c r="BS24" s="97"/>
      <c r="BT24" s="67"/>
      <c r="BU24" s="96"/>
      <c r="BV24" s="67"/>
      <c r="BW24" s="69"/>
      <c r="BX24" s="67"/>
      <c r="BY24" s="69"/>
      <c r="BZ24" s="69"/>
      <c r="CA24" s="97"/>
      <c r="CB24" s="67"/>
      <c r="CC24" s="142">
        <v>20</v>
      </c>
      <c r="CD24" s="142" t="s">
        <v>129</v>
      </c>
      <c r="CE24" s="455"/>
      <c r="CF24" s="311">
        <f t="shared" si="0"/>
        <v>3</v>
      </c>
      <c r="CG24" s="76">
        <f t="shared" si="1"/>
        <v>4</v>
      </c>
      <c r="CH24" s="27"/>
      <c r="CI24" s="28"/>
      <c r="CJ24" s="449"/>
      <c r="CK24" s="450"/>
    </row>
    <row r="25" spans="1:89" ht="15" customHeight="1">
      <c r="A25" s="22">
        <v>21</v>
      </c>
      <c r="B25" s="22" t="s">
        <v>130</v>
      </c>
      <c r="C25" s="455"/>
      <c r="D25" s="16"/>
      <c r="E25" s="17"/>
      <c r="F25" s="16"/>
      <c r="G25" s="17"/>
      <c r="H25" s="16"/>
      <c r="I25" s="17"/>
      <c r="J25" s="16"/>
      <c r="K25" s="17"/>
      <c r="L25" s="16"/>
      <c r="M25" s="17"/>
      <c r="N25" s="16"/>
      <c r="O25" s="59"/>
      <c r="P25" s="16"/>
      <c r="Q25" s="17"/>
      <c r="R25" s="18"/>
      <c r="S25" s="17"/>
      <c r="T25" s="18"/>
      <c r="U25" s="17"/>
      <c r="V25" s="18"/>
      <c r="W25" s="17"/>
      <c r="X25" s="15" t="s">
        <v>41</v>
      </c>
      <c r="Y25" s="82"/>
      <c r="Z25" s="16"/>
      <c r="AA25" s="17"/>
      <c r="AB25" s="16"/>
      <c r="AC25" s="17"/>
      <c r="AD25" s="18"/>
      <c r="AE25" s="17"/>
      <c r="AF25" s="16"/>
      <c r="AG25" s="82"/>
      <c r="AH25" s="16"/>
      <c r="AI25" s="17"/>
      <c r="AJ25" s="16"/>
      <c r="AK25" s="17"/>
      <c r="AL25" s="16"/>
      <c r="AM25" s="17"/>
      <c r="AN25" s="16"/>
      <c r="AO25" s="17"/>
      <c r="AP25" s="529"/>
      <c r="AQ25" s="530"/>
      <c r="AR25" s="104"/>
      <c r="AS25" s="105"/>
      <c r="AT25" s="22">
        <v>21</v>
      </c>
      <c r="AU25" s="22" t="s">
        <v>130</v>
      </c>
      <c r="AV25" s="455"/>
      <c r="AW25" s="16"/>
      <c r="AX25" s="71"/>
      <c r="AY25" s="73"/>
      <c r="AZ25" s="71"/>
      <c r="BA25" s="73"/>
      <c r="BB25" s="73"/>
      <c r="BC25" s="59"/>
      <c r="BD25" s="71"/>
      <c r="BE25" s="16"/>
      <c r="BF25" s="67" t="s">
        <v>61</v>
      </c>
      <c r="BG25" s="73"/>
      <c r="BH25" s="66" t="s">
        <v>34</v>
      </c>
      <c r="BI25" s="73"/>
      <c r="BJ25" s="68" t="s">
        <v>34</v>
      </c>
      <c r="BK25" s="18"/>
      <c r="BL25" s="66" t="s">
        <v>34</v>
      </c>
      <c r="BM25" s="38"/>
      <c r="BN25" s="75" t="s">
        <v>33</v>
      </c>
      <c r="BO25" s="73"/>
      <c r="BP25" s="75" t="s">
        <v>33</v>
      </c>
      <c r="BQ25" s="73"/>
      <c r="BR25" s="75" t="s">
        <v>33</v>
      </c>
      <c r="BS25" s="79"/>
      <c r="BT25" s="71" t="s">
        <v>33</v>
      </c>
      <c r="BU25" s="108"/>
      <c r="BV25" s="66"/>
      <c r="BW25" s="68"/>
      <c r="BX25" s="66"/>
      <c r="BY25" s="68"/>
      <c r="BZ25" s="68"/>
      <c r="CA25" s="83"/>
      <c r="CB25" s="66"/>
      <c r="CC25" s="22">
        <v>21</v>
      </c>
      <c r="CD25" s="22" t="s">
        <v>130</v>
      </c>
      <c r="CE25" s="455"/>
      <c r="CF25" s="311">
        <f t="shared" si="0"/>
        <v>4</v>
      </c>
      <c r="CG25" s="76">
        <f t="shared" si="1"/>
        <v>3</v>
      </c>
      <c r="CH25" s="27"/>
      <c r="CI25" s="28"/>
      <c r="CJ25" s="449"/>
      <c r="CK25" s="450"/>
    </row>
    <row r="26" spans="1:89" ht="15" customHeight="1">
      <c r="A26" s="22">
        <v>22</v>
      </c>
      <c r="B26" s="22" t="s">
        <v>131</v>
      </c>
      <c r="C26" s="455"/>
      <c r="D26" s="16"/>
      <c r="E26" s="17"/>
      <c r="F26" s="16"/>
      <c r="G26" s="17"/>
      <c r="H26" s="109"/>
      <c r="I26" s="17"/>
      <c r="J26" s="16"/>
      <c r="K26" s="17"/>
      <c r="L26" s="109"/>
      <c r="M26" s="17"/>
      <c r="N26" s="16"/>
      <c r="O26" s="59"/>
      <c r="P26" s="16"/>
      <c r="Q26" s="17"/>
      <c r="R26" s="109"/>
      <c r="S26" s="17"/>
      <c r="T26" s="18"/>
      <c r="U26" s="17"/>
      <c r="V26" s="109"/>
      <c r="W26" s="17"/>
      <c r="X26" s="15" t="s">
        <v>41</v>
      </c>
      <c r="Y26" s="82"/>
      <c r="Z26" s="16"/>
      <c r="AA26" s="17"/>
      <c r="AB26" s="16"/>
      <c r="AC26" s="17"/>
      <c r="AD26" s="18"/>
      <c r="AE26" s="17"/>
      <c r="AF26" s="16"/>
      <c r="AG26" s="82"/>
      <c r="AH26" s="16"/>
      <c r="AI26" s="17"/>
      <c r="AJ26" s="16"/>
      <c r="AK26" s="17"/>
      <c r="AL26" s="16"/>
      <c r="AM26" s="17"/>
      <c r="AN26" s="16"/>
      <c r="AO26" s="17"/>
      <c r="AP26" s="529"/>
      <c r="AQ26" s="530"/>
      <c r="AR26" s="104"/>
      <c r="AS26" s="105"/>
      <c r="AT26" s="22">
        <v>22</v>
      </c>
      <c r="AU26" s="22" t="s">
        <v>131</v>
      </c>
      <c r="AV26" s="455"/>
      <c r="AW26" s="16"/>
      <c r="AX26" s="71"/>
      <c r="AY26" s="73"/>
      <c r="AZ26" s="71"/>
      <c r="BA26" s="73"/>
      <c r="BB26" s="73"/>
      <c r="BC26" s="59"/>
      <c r="BD26" s="71"/>
      <c r="BE26" s="16"/>
      <c r="BF26" s="71"/>
      <c r="BG26" s="73"/>
      <c r="BH26" s="71"/>
      <c r="BI26" s="73"/>
      <c r="BJ26" s="73"/>
      <c r="BK26" s="59"/>
      <c r="BL26" s="71"/>
      <c r="BM26" s="38"/>
      <c r="BN26" s="66" t="s">
        <v>34</v>
      </c>
      <c r="BO26" s="73"/>
      <c r="BP26" s="66" t="s">
        <v>34</v>
      </c>
      <c r="BQ26" s="73"/>
      <c r="BR26" s="73" t="s">
        <v>34</v>
      </c>
      <c r="BS26" s="18"/>
      <c r="BT26" s="75" t="s">
        <v>34</v>
      </c>
      <c r="BU26" s="38"/>
      <c r="BV26" s="75"/>
      <c r="BW26" s="73"/>
      <c r="BX26" s="75" t="s">
        <v>33</v>
      </c>
      <c r="BY26" s="73"/>
      <c r="BZ26" s="75" t="s">
        <v>33</v>
      </c>
      <c r="CA26" s="79"/>
      <c r="CB26" s="75" t="s">
        <v>33</v>
      </c>
      <c r="CC26" s="22">
        <v>22</v>
      </c>
      <c r="CD26" s="22" t="s">
        <v>131</v>
      </c>
      <c r="CE26" s="455"/>
      <c r="CF26" s="311">
        <f t="shared" si="0"/>
        <v>3</v>
      </c>
      <c r="CG26" s="76">
        <f t="shared" si="1"/>
        <v>4</v>
      </c>
      <c r="CH26" s="27"/>
      <c r="CI26" s="28"/>
      <c r="CJ26" s="449"/>
      <c r="CK26" s="450"/>
    </row>
    <row r="27" spans="1:89" ht="15" customHeight="1">
      <c r="A27" s="142">
        <v>23</v>
      </c>
      <c r="B27" s="142" t="s">
        <v>132</v>
      </c>
      <c r="C27" s="455">
        <v>35</v>
      </c>
      <c r="D27" s="215"/>
      <c r="E27" s="214"/>
      <c r="F27" s="215"/>
      <c r="G27" s="214"/>
      <c r="H27" s="215"/>
      <c r="I27" s="214"/>
      <c r="J27" s="215"/>
      <c r="K27" s="214"/>
      <c r="L27" s="215"/>
      <c r="M27" s="214"/>
      <c r="N27" s="215"/>
      <c r="O27" s="216"/>
      <c r="P27" s="215"/>
      <c r="Q27" s="214"/>
      <c r="R27" s="213"/>
      <c r="S27" s="214"/>
      <c r="T27" s="213"/>
      <c r="U27" s="214"/>
      <c r="V27" s="213"/>
      <c r="W27" s="214"/>
      <c r="X27" s="15" t="s">
        <v>41</v>
      </c>
      <c r="Y27" s="218"/>
      <c r="Z27" s="215"/>
      <c r="AA27" s="214"/>
      <c r="AB27" s="215"/>
      <c r="AC27" s="214"/>
      <c r="AD27" s="213"/>
      <c r="AE27" s="214"/>
      <c r="AF27" s="215"/>
      <c r="AG27" s="218"/>
      <c r="AH27" s="215"/>
      <c r="AI27" s="214"/>
      <c r="AJ27" s="215"/>
      <c r="AK27" s="214"/>
      <c r="AL27" s="215"/>
      <c r="AM27" s="214"/>
      <c r="AN27" s="217" t="s">
        <v>41</v>
      </c>
      <c r="AO27" s="214"/>
      <c r="AP27" s="587" t="s">
        <v>316</v>
      </c>
      <c r="AQ27" s="588"/>
      <c r="AR27" s="33"/>
      <c r="AS27" s="34"/>
      <c r="AT27" s="142">
        <v>23</v>
      </c>
      <c r="AU27" s="142" t="s">
        <v>132</v>
      </c>
      <c r="AV27" s="455">
        <v>35</v>
      </c>
      <c r="AW27" s="14"/>
      <c r="AX27" s="74" t="s">
        <v>33</v>
      </c>
      <c r="AY27" s="72"/>
      <c r="AZ27" s="74" t="s">
        <v>33</v>
      </c>
      <c r="BA27" s="72"/>
      <c r="BB27" s="74" t="s">
        <v>33</v>
      </c>
      <c r="BC27" s="78"/>
      <c r="BD27" s="74" t="s">
        <v>33</v>
      </c>
      <c r="BE27" s="14"/>
      <c r="BF27" s="70" t="s">
        <v>41</v>
      </c>
      <c r="BG27" s="72"/>
      <c r="BH27" s="70"/>
      <c r="BI27" s="72"/>
      <c r="BJ27" s="72"/>
      <c r="BK27" s="58"/>
      <c r="BL27" s="70"/>
      <c r="BM27" s="37"/>
      <c r="BN27" s="70"/>
      <c r="BO27" s="72"/>
      <c r="BP27" s="70"/>
      <c r="BQ27" s="72"/>
      <c r="BR27" s="72"/>
      <c r="BS27" s="15"/>
      <c r="BT27" s="70"/>
      <c r="BU27" s="37"/>
      <c r="BV27" s="67"/>
      <c r="BW27" s="72"/>
      <c r="BX27" s="67" t="s">
        <v>34</v>
      </c>
      <c r="BY27" s="72"/>
      <c r="BZ27" s="72" t="s">
        <v>34</v>
      </c>
      <c r="CA27" s="15"/>
      <c r="CB27" s="67" t="s">
        <v>34</v>
      </c>
      <c r="CC27" s="142">
        <v>23</v>
      </c>
      <c r="CD27" s="142" t="s">
        <v>132</v>
      </c>
      <c r="CE27" s="455">
        <v>34</v>
      </c>
      <c r="CF27" s="311">
        <f t="shared" si="0"/>
        <v>4</v>
      </c>
      <c r="CG27" s="76">
        <f t="shared" si="1"/>
        <v>3</v>
      </c>
      <c r="CH27" s="27"/>
      <c r="CI27" s="28"/>
      <c r="CJ27" s="449"/>
      <c r="CK27" s="450"/>
    </row>
    <row r="28" spans="1:89" ht="15" customHeight="1">
      <c r="A28" s="142">
        <v>24</v>
      </c>
      <c r="B28" s="142" t="s">
        <v>133</v>
      </c>
      <c r="C28" s="455"/>
      <c r="D28" s="14"/>
      <c r="E28" s="65"/>
      <c r="F28" s="14"/>
      <c r="G28" s="65"/>
      <c r="H28" s="14"/>
      <c r="I28" s="65"/>
      <c r="J28" s="14"/>
      <c r="K28" s="65"/>
      <c r="L28" s="14"/>
      <c r="M28" s="65"/>
      <c r="N28" s="14"/>
      <c r="O28" s="58"/>
      <c r="P28" s="14"/>
      <c r="Q28" s="65"/>
      <c r="R28" s="15"/>
      <c r="S28" s="65"/>
      <c r="T28" s="15"/>
      <c r="U28" s="65"/>
      <c r="V28" s="15"/>
      <c r="W28" s="65"/>
      <c r="X28" s="15" t="s">
        <v>41</v>
      </c>
      <c r="Y28" s="80"/>
      <c r="Z28" s="14"/>
      <c r="AA28" s="65"/>
      <c r="AB28" s="14"/>
      <c r="AC28" s="65"/>
      <c r="AD28" s="15"/>
      <c r="AE28" s="65"/>
      <c r="AF28" s="14"/>
      <c r="AG28" s="80"/>
      <c r="AH28" s="14"/>
      <c r="AI28" s="65"/>
      <c r="AJ28" s="14"/>
      <c r="AK28" s="65"/>
      <c r="AL28" s="14"/>
      <c r="AM28" s="65"/>
      <c r="AN28" s="33" t="s">
        <v>41</v>
      </c>
      <c r="AO28" s="65"/>
      <c r="AP28" s="523"/>
      <c r="AQ28" s="524"/>
      <c r="AR28" s="33"/>
      <c r="AS28" s="34"/>
      <c r="AT28" s="142">
        <v>24</v>
      </c>
      <c r="AU28" s="142" t="s">
        <v>133</v>
      </c>
      <c r="AV28" s="455"/>
      <c r="AW28" s="14"/>
      <c r="AX28" s="67" t="s">
        <v>34</v>
      </c>
      <c r="AY28" s="72"/>
      <c r="AZ28" s="67" t="s">
        <v>34</v>
      </c>
      <c r="BA28" s="72"/>
      <c r="BB28" s="72" t="s">
        <v>34</v>
      </c>
      <c r="BC28" s="15"/>
      <c r="BD28" s="67" t="s">
        <v>34</v>
      </c>
      <c r="BE28" s="14"/>
      <c r="BF28" s="74" t="s">
        <v>41</v>
      </c>
      <c r="BG28" s="72"/>
      <c r="BH28" s="74" t="s">
        <v>33</v>
      </c>
      <c r="BI28" s="72"/>
      <c r="BJ28" s="74" t="s">
        <v>33</v>
      </c>
      <c r="BK28" s="78"/>
      <c r="BL28" s="74" t="s">
        <v>33</v>
      </c>
      <c r="BM28" s="37"/>
      <c r="BN28" s="70"/>
      <c r="BO28" s="72"/>
      <c r="BP28" s="70"/>
      <c r="BQ28" s="72"/>
      <c r="BR28" s="72"/>
      <c r="BS28" s="15"/>
      <c r="BT28" s="70"/>
      <c r="BU28" s="96"/>
      <c r="BV28" s="67"/>
      <c r="BW28" s="69"/>
      <c r="BX28" s="67"/>
      <c r="BY28" s="69"/>
      <c r="BZ28" s="69"/>
      <c r="CA28" s="97"/>
      <c r="CB28" s="67"/>
      <c r="CC28" s="142">
        <v>24</v>
      </c>
      <c r="CD28" s="142" t="s">
        <v>133</v>
      </c>
      <c r="CE28" s="455"/>
      <c r="CF28" s="311">
        <f t="shared" si="0"/>
        <v>3</v>
      </c>
      <c r="CG28" s="76">
        <f t="shared" si="1"/>
        <v>4</v>
      </c>
      <c r="CH28" s="27"/>
      <c r="CI28" s="28"/>
      <c r="CJ28" s="449"/>
      <c r="CK28" s="450"/>
    </row>
    <row r="29" spans="1:89" ht="15" customHeight="1">
      <c r="A29" s="142">
        <v>25</v>
      </c>
      <c r="B29" s="142" t="s">
        <v>127</v>
      </c>
      <c r="C29" s="455"/>
      <c r="D29" s="14"/>
      <c r="E29" s="65"/>
      <c r="F29" s="14"/>
      <c r="G29" s="65"/>
      <c r="H29" s="14"/>
      <c r="I29" s="65"/>
      <c r="J29" s="14"/>
      <c r="K29" s="65"/>
      <c r="L29" s="14"/>
      <c r="M29" s="65"/>
      <c r="N29" s="14"/>
      <c r="O29" s="58"/>
      <c r="P29" s="14"/>
      <c r="Q29" s="65"/>
      <c r="R29" s="15"/>
      <c r="S29" s="65"/>
      <c r="T29" s="15"/>
      <c r="U29" s="65"/>
      <c r="V29" s="15"/>
      <c r="W29" s="65"/>
      <c r="X29" s="15"/>
      <c r="Y29" s="80"/>
      <c r="Z29" s="14"/>
      <c r="AA29" s="65"/>
      <c r="AB29" s="14"/>
      <c r="AC29" s="65"/>
      <c r="AD29" s="15"/>
      <c r="AE29" s="65"/>
      <c r="AF29" s="14"/>
      <c r="AG29" s="80"/>
      <c r="AH29" s="14"/>
      <c r="AI29" s="65"/>
      <c r="AJ29" s="14"/>
      <c r="AK29" s="65"/>
      <c r="AL29" s="14"/>
      <c r="AM29" s="65"/>
      <c r="AN29" s="33" t="s">
        <v>41</v>
      </c>
      <c r="AO29" s="65"/>
      <c r="AP29" s="523"/>
      <c r="AQ29" s="524"/>
      <c r="AR29" s="33"/>
      <c r="AS29" s="34"/>
      <c r="AT29" s="142">
        <v>25</v>
      </c>
      <c r="AU29" s="142" t="s">
        <v>127</v>
      </c>
      <c r="AV29" s="455"/>
      <c r="AW29" s="14"/>
      <c r="AX29" s="70"/>
      <c r="AY29" s="72"/>
      <c r="AZ29" s="70"/>
      <c r="BA29" s="72"/>
      <c r="BB29" s="72"/>
      <c r="BC29" s="58"/>
      <c r="BD29" s="70"/>
      <c r="BE29" s="14"/>
      <c r="BF29" s="67" t="s">
        <v>41</v>
      </c>
      <c r="BG29" s="72"/>
      <c r="BH29" s="67" t="s">
        <v>34</v>
      </c>
      <c r="BI29" s="72"/>
      <c r="BJ29" s="69" t="s">
        <v>34</v>
      </c>
      <c r="BK29" s="15"/>
      <c r="BL29" s="67" t="s">
        <v>34</v>
      </c>
      <c r="BM29" s="37"/>
      <c r="BN29" s="74" t="s">
        <v>33</v>
      </c>
      <c r="BO29" s="72"/>
      <c r="BP29" s="74" t="s">
        <v>33</v>
      </c>
      <c r="BQ29" s="72"/>
      <c r="BR29" s="74" t="s">
        <v>33</v>
      </c>
      <c r="BS29" s="78"/>
      <c r="BT29" s="70" t="s">
        <v>61</v>
      </c>
      <c r="BU29" s="96"/>
      <c r="BV29" s="67"/>
      <c r="BW29" s="69"/>
      <c r="BX29" s="67"/>
      <c r="BY29" s="69"/>
      <c r="BZ29" s="69"/>
      <c r="CA29" s="97"/>
      <c r="CB29" s="67"/>
      <c r="CC29" s="142">
        <v>25</v>
      </c>
      <c r="CD29" s="142" t="s">
        <v>127</v>
      </c>
      <c r="CE29" s="455"/>
      <c r="CF29" s="311">
        <f t="shared" si="0"/>
        <v>3</v>
      </c>
      <c r="CG29" s="76">
        <f t="shared" si="1"/>
        <v>3</v>
      </c>
      <c r="CH29" s="27"/>
      <c r="CI29" s="28"/>
      <c r="CJ29" s="449"/>
      <c r="CK29" s="450"/>
    </row>
    <row r="30" spans="1:89" ht="15" customHeight="1">
      <c r="A30" s="142">
        <v>26</v>
      </c>
      <c r="B30" s="142" t="s">
        <v>128</v>
      </c>
      <c r="C30" s="455"/>
      <c r="D30" s="113"/>
      <c r="E30" s="65"/>
      <c r="F30" s="113"/>
      <c r="G30" s="65"/>
      <c r="H30" s="113"/>
      <c r="I30" s="65"/>
      <c r="J30" s="113"/>
      <c r="K30" s="65"/>
      <c r="L30" s="113"/>
      <c r="M30" s="65"/>
      <c r="N30" s="14"/>
      <c r="O30" s="58"/>
      <c r="P30" s="14"/>
      <c r="Q30" s="65"/>
      <c r="R30" s="113"/>
      <c r="S30" s="65"/>
      <c r="T30" s="113"/>
      <c r="U30" s="65"/>
      <c r="V30" s="15"/>
      <c r="W30" s="65"/>
      <c r="X30" s="113"/>
      <c r="Y30" s="80"/>
      <c r="Z30" s="113"/>
      <c r="AA30" s="65"/>
      <c r="AB30" s="113"/>
      <c r="AC30" s="65"/>
      <c r="AD30" s="113"/>
      <c r="AE30" s="65"/>
      <c r="AF30" s="113"/>
      <c r="AG30" s="80"/>
      <c r="AH30" s="113"/>
      <c r="AI30" s="65"/>
      <c r="AJ30" s="14"/>
      <c r="AK30" s="65"/>
      <c r="AL30" s="223" t="s">
        <v>41</v>
      </c>
      <c r="AM30" s="65"/>
      <c r="AN30" s="223" t="s">
        <v>41</v>
      </c>
      <c r="AO30" s="65"/>
      <c r="AP30" s="523"/>
      <c r="AQ30" s="524"/>
      <c r="AR30" s="33"/>
      <c r="AS30" s="34"/>
      <c r="AT30" s="142">
        <v>26</v>
      </c>
      <c r="AU30" s="142" t="s">
        <v>128</v>
      </c>
      <c r="AV30" s="455"/>
      <c r="AW30" s="14"/>
      <c r="AX30" s="70"/>
      <c r="AY30" s="72"/>
      <c r="AZ30" s="70"/>
      <c r="BA30" s="72"/>
      <c r="BB30" s="72"/>
      <c r="BC30" s="58"/>
      <c r="BD30" s="70"/>
      <c r="BE30" s="14"/>
      <c r="BF30" s="70" t="s">
        <v>41</v>
      </c>
      <c r="BG30" s="72"/>
      <c r="BH30" s="70"/>
      <c r="BI30" s="72"/>
      <c r="BJ30" s="72"/>
      <c r="BK30" s="58"/>
      <c r="BL30" s="70"/>
      <c r="BM30" s="37"/>
      <c r="BN30" s="67" t="s">
        <v>34</v>
      </c>
      <c r="BO30" s="72"/>
      <c r="BP30" s="67" t="s">
        <v>34</v>
      </c>
      <c r="BQ30" s="72"/>
      <c r="BR30" s="72" t="s">
        <v>34</v>
      </c>
      <c r="BS30" s="15"/>
      <c r="BT30" s="67" t="s">
        <v>34</v>
      </c>
      <c r="BU30" s="37"/>
      <c r="BV30" s="74"/>
      <c r="BW30" s="72"/>
      <c r="BX30" s="74" t="s">
        <v>33</v>
      </c>
      <c r="BY30" s="72"/>
      <c r="BZ30" s="74" t="s">
        <v>33</v>
      </c>
      <c r="CA30" s="78"/>
      <c r="CB30" s="74" t="s">
        <v>33</v>
      </c>
      <c r="CC30" s="142">
        <v>26</v>
      </c>
      <c r="CD30" s="142" t="s">
        <v>128</v>
      </c>
      <c r="CE30" s="455"/>
      <c r="CF30" s="311">
        <f t="shared" si="0"/>
        <v>3</v>
      </c>
      <c r="CG30" s="76">
        <f t="shared" si="1"/>
        <v>4</v>
      </c>
      <c r="CH30" s="27"/>
      <c r="CI30" s="28"/>
      <c r="CJ30" s="449"/>
      <c r="CK30" s="450"/>
    </row>
    <row r="31" spans="1:89" ht="15" customHeight="1">
      <c r="A31" s="142">
        <v>27</v>
      </c>
      <c r="B31" s="142" t="s">
        <v>129</v>
      </c>
      <c r="C31" s="455"/>
      <c r="D31" s="14"/>
      <c r="E31" s="65"/>
      <c r="F31" s="14"/>
      <c r="G31" s="65"/>
      <c r="H31" s="14"/>
      <c r="I31" s="65"/>
      <c r="J31" s="14"/>
      <c r="K31" s="65"/>
      <c r="L31" s="14"/>
      <c r="M31" s="65"/>
      <c r="N31" s="14"/>
      <c r="O31" s="58"/>
      <c r="P31" s="14"/>
      <c r="Q31" s="65"/>
      <c r="R31" s="15"/>
      <c r="S31" s="65"/>
      <c r="T31" s="15"/>
      <c r="U31" s="65"/>
      <c r="V31" s="15"/>
      <c r="W31" s="65"/>
      <c r="X31" s="15"/>
      <c r="Y31" s="80"/>
      <c r="Z31" s="14"/>
      <c r="AA31" s="65"/>
      <c r="AB31" s="14"/>
      <c r="AC31" s="65"/>
      <c r="AD31" s="15"/>
      <c r="AE31" s="65"/>
      <c r="AF31" s="14"/>
      <c r="AG31" s="80"/>
      <c r="AH31" s="14"/>
      <c r="AI31" s="65"/>
      <c r="AJ31" s="14"/>
      <c r="AK31" s="65"/>
      <c r="AL31" s="217" t="s">
        <v>41</v>
      </c>
      <c r="AM31" s="65"/>
      <c r="AN31" s="33" t="s">
        <v>41</v>
      </c>
      <c r="AO31" s="65"/>
      <c r="AP31" s="523"/>
      <c r="AQ31" s="524"/>
      <c r="AR31" s="33"/>
      <c r="AS31" s="34"/>
      <c r="AT31" s="142">
        <v>27</v>
      </c>
      <c r="AU31" s="142" t="s">
        <v>129</v>
      </c>
      <c r="AV31" s="455"/>
      <c r="AW31" s="14"/>
      <c r="AX31" s="74" t="s">
        <v>33</v>
      </c>
      <c r="AY31" s="72"/>
      <c r="AZ31" s="74" t="s">
        <v>33</v>
      </c>
      <c r="BA31" s="72"/>
      <c r="BB31" s="74" t="s">
        <v>33</v>
      </c>
      <c r="BC31" s="78"/>
      <c r="BD31" s="74" t="s">
        <v>33</v>
      </c>
      <c r="BE31" s="14"/>
      <c r="BF31" s="70" t="s">
        <v>41</v>
      </c>
      <c r="BG31" s="72"/>
      <c r="BH31" s="70"/>
      <c r="BI31" s="72"/>
      <c r="BJ31" s="72"/>
      <c r="BK31" s="58"/>
      <c r="BL31" s="70"/>
      <c r="BM31" s="37"/>
      <c r="BN31" s="70"/>
      <c r="BO31" s="72"/>
      <c r="BP31" s="70"/>
      <c r="BQ31" s="72"/>
      <c r="BR31" s="72"/>
      <c r="BS31" s="15"/>
      <c r="BT31" s="70"/>
      <c r="BU31" s="37"/>
      <c r="BV31" s="67"/>
      <c r="BW31" s="72"/>
      <c r="BX31" s="67" t="s">
        <v>34</v>
      </c>
      <c r="BY31" s="72"/>
      <c r="BZ31" s="72" t="s">
        <v>34</v>
      </c>
      <c r="CA31" s="15"/>
      <c r="CB31" s="67" t="s">
        <v>34</v>
      </c>
      <c r="CC31" s="142">
        <v>27</v>
      </c>
      <c r="CD31" s="142" t="s">
        <v>129</v>
      </c>
      <c r="CE31" s="455"/>
      <c r="CF31" s="311">
        <f t="shared" si="0"/>
        <v>4</v>
      </c>
      <c r="CG31" s="76">
        <f t="shared" si="1"/>
        <v>3</v>
      </c>
      <c r="CH31" s="27"/>
      <c r="CI31" s="28"/>
      <c r="CJ31" s="449"/>
      <c r="CK31" s="450"/>
    </row>
    <row r="32" spans="1:89" ht="15" customHeight="1">
      <c r="A32" s="22">
        <v>28</v>
      </c>
      <c r="B32" s="22" t="s">
        <v>130</v>
      </c>
      <c r="C32" s="455"/>
      <c r="D32" s="16"/>
      <c r="E32" s="17"/>
      <c r="F32" s="16"/>
      <c r="G32" s="17"/>
      <c r="H32" s="16"/>
      <c r="I32" s="17"/>
      <c r="J32" s="16"/>
      <c r="K32" s="17"/>
      <c r="L32" s="16"/>
      <c r="M32" s="17"/>
      <c r="N32" s="16"/>
      <c r="O32" s="59"/>
      <c r="P32" s="16"/>
      <c r="Q32" s="17"/>
      <c r="R32" s="18"/>
      <c r="S32" s="17"/>
      <c r="T32" s="18"/>
      <c r="U32" s="17"/>
      <c r="V32" s="18"/>
      <c r="W32" s="17"/>
      <c r="X32" s="18"/>
      <c r="Y32" s="82"/>
      <c r="Z32" s="16"/>
      <c r="AA32" s="17"/>
      <c r="AB32" s="16"/>
      <c r="AC32" s="17"/>
      <c r="AD32" s="18"/>
      <c r="AE32" s="17"/>
      <c r="AF32" s="16"/>
      <c r="AG32" s="82"/>
      <c r="AH32" s="16"/>
      <c r="AI32" s="17"/>
      <c r="AJ32" s="16"/>
      <c r="AK32" s="17"/>
      <c r="AL32" s="217" t="s">
        <v>41</v>
      </c>
      <c r="AM32" s="17"/>
      <c r="AN32" s="16"/>
      <c r="AO32" s="17"/>
      <c r="AP32" s="525"/>
      <c r="AQ32" s="526"/>
      <c r="AR32" s="104"/>
      <c r="AS32" s="105"/>
      <c r="AT32" s="22">
        <v>28</v>
      </c>
      <c r="AU32" s="22" t="s">
        <v>130</v>
      </c>
      <c r="AV32" s="455"/>
      <c r="AW32" s="16"/>
      <c r="AX32" s="66" t="s">
        <v>34</v>
      </c>
      <c r="AY32" s="73"/>
      <c r="AZ32" s="66" t="s">
        <v>34</v>
      </c>
      <c r="BA32" s="73"/>
      <c r="BB32" s="73" t="s">
        <v>34</v>
      </c>
      <c r="BC32" s="18"/>
      <c r="BD32" s="66" t="s">
        <v>34</v>
      </c>
      <c r="BE32" s="16"/>
      <c r="BF32" s="74" t="s">
        <v>61</v>
      </c>
      <c r="BG32" s="73"/>
      <c r="BH32" s="75" t="s">
        <v>33</v>
      </c>
      <c r="BI32" s="73"/>
      <c r="BJ32" s="75" t="s">
        <v>33</v>
      </c>
      <c r="BK32" s="79"/>
      <c r="BL32" s="75" t="s">
        <v>33</v>
      </c>
      <c r="BM32" s="38"/>
      <c r="BN32" s="71"/>
      <c r="BO32" s="73"/>
      <c r="BP32" s="71"/>
      <c r="BQ32" s="73"/>
      <c r="BR32" s="73"/>
      <c r="BS32" s="18"/>
      <c r="BT32" s="71"/>
      <c r="BU32" s="108"/>
      <c r="BV32" s="66"/>
      <c r="BW32" s="68"/>
      <c r="BX32" s="66"/>
      <c r="BY32" s="68"/>
      <c r="BZ32" s="68"/>
      <c r="CA32" s="83"/>
      <c r="CB32" s="66"/>
      <c r="CC32" s="22">
        <v>28</v>
      </c>
      <c r="CD32" s="22" t="s">
        <v>130</v>
      </c>
      <c r="CE32" s="455"/>
      <c r="CF32" s="311">
        <f t="shared" si="0"/>
        <v>3</v>
      </c>
      <c r="CG32" s="76">
        <f t="shared" si="1"/>
        <v>4</v>
      </c>
      <c r="CH32" s="27"/>
      <c r="CI32" s="28"/>
      <c r="CJ32" s="449"/>
      <c r="CK32" s="450"/>
    </row>
    <row r="33" spans="1:89" ht="15" customHeight="1">
      <c r="A33" s="22">
        <v>29</v>
      </c>
      <c r="B33" s="22" t="s">
        <v>131</v>
      </c>
      <c r="C33" s="455"/>
      <c r="D33" s="16"/>
      <c r="E33" s="17"/>
      <c r="F33" s="16"/>
      <c r="G33" s="17"/>
      <c r="H33" s="16"/>
      <c r="I33" s="17"/>
      <c r="J33" s="16"/>
      <c r="K33" s="17"/>
      <c r="L33" s="16"/>
      <c r="M33" s="17"/>
      <c r="N33" s="16"/>
      <c r="O33" s="59"/>
      <c r="P33" s="16"/>
      <c r="Q33" s="17"/>
      <c r="R33" s="18"/>
      <c r="S33" s="17"/>
      <c r="T33" s="18"/>
      <c r="U33" s="17"/>
      <c r="V33" s="18"/>
      <c r="W33" s="17"/>
      <c r="X33" s="18"/>
      <c r="Y33" s="82"/>
      <c r="Z33" s="16"/>
      <c r="AA33" s="17"/>
      <c r="AB33" s="16"/>
      <c r="AC33" s="17"/>
      <c r="AD33" s="18"/>
      <c r="AE33" s="17"/>
      <c r="AF33" s="16"/>
      <c r="AG33" s="82"/>
      <c r="AH33" s="16"/>
      <c r="AI33" s="17"/>
      <c r="AJ33" s="16"/>
      <c r="AK33" s="17"/>
      <c r="AL33" s="217" t="s">
        <v>41</v>
      </c>
      <c r="AM33" s="17"/>
      <c r="AN33" s="16"/>
      <c r="AO33" s="17"/>
      <c r="AP33" s="525"/>
      <c r="AQ33" s="526"/>
      <c r="AR33" s="104"/>
      <c r="AS33" s="105"/>
      <c r="AT33" s="22">
        <v>29</v>
      </c>
      <c r="AU33" s="22" t="s">
        <v>131</v>
      </c>
      <c r="AV33" s="455"/>
      <c r="AW33" s="16"/>
      <c r="AX33" s="71"/>
      <c r="AY33" s="73"/>
      <c r="AZ33" s="71"/>
      <c r="BA33" s="73"/>
      <c r="BB33" s="73"/>
      <c r="BC33" s="59"/>
      <c r="BD33" s="71"/>
      <c r="BE33" s="16"/>
      <c r="BF33" s="67" t="s">
        <v>61</v>
      </c>
      <c r="BG33" s="73"/>
      <c r="BH33" s="66" t="s">
        <v>34</v>
      </c>
      <c r="BI33" s="73"/>
      <c r="BJ33" s="68" t="s">
        <v>34</v>
      </c>
      <c r="BK33" s="18"/>
      <c r="BL33" s="66" t="s">
        <v>34</v>
      </c>
      <c r="BM33" s="38"/>
      <c r="BN33" s="75" t="s">
        <v>33</v>
      </c>
      <c r="BO33" s="73"/>
      <c r="BP33" s="75" t="s">
        <v>33</v>
      </c>
      <c r="BQ33" s="73"/>
      <c r="BR33" s="75" t="s">
        <v>33</v>
      </c>
      <c r="BS33" s="79"/>
      <c r="BT33" s="70" t="s">
        <v>61</v>
      </c>
      <c r="BU33" s="108"/>
      <c r="BV33" s="66"/>
      <c r="BW33" s="68"/>
      <c r="BX33" s="66"/>
      <c r="BY33" s="68"/>
      <c r="BZ33" s="68"/>
      <c r="CA33" s="83"/>
      <c r="CB33" s="66"/>
      <c r="CC33" s="22">
        <v>29</v>
      </c>
      <c r="CD33" s="22" t="s">
        <v>131</v>
      </c>
      <c r="CE33" s="455"/>
      <c r="CF33" s="311">
        <f t="shared" si="0"/>
        <v>3</v>
      </c>
      <c r="CG33" s="76">
        <f t="shared" si="1"/>
        <v>3</v>
      </c>
      <c r="CH33" s="27"/>
      <c r="CI33" s="28"/>
      <c r="CJ33" s="449"/>
      <c r="CK33" s="450"/>
    </row>
    <row r="34" spans="1:89" ht="15" customHeight="1">
      <c r="A34" s="142">
        <v>30</v>
      </c>
      <c r="B34" s="142" t="s">
        <v>132</v>
      </c>
      <c r="C34" s="455">
        <v>36</v>
      </c>
      <c r="D34" s="14"/>
      <c r="E34" s="65"/>
      <c r="F34" s="14"/>
      <c r="G34" s="65"/>
      <c r="H34" s="14"/>
      <c r="I34" s="65"/>
      <c r="J34" s="14"/>
      <c r="K34" s="65"/>
      <c r="L34" s="14"/>
      <c r="M34" s="65"/>
      <c r="N34" s="14"/>
      <c r="O34" s="58"/>
      <c r="P34" s="14"/>
      <c r="Q34" s="65"/>
      <c r="R34" s="15"/>
      <c r="S34" s="65"/>
      <c r="T34" s="15"/>
      <c r="U34" s="65"/>
      <c r="V34" s="15"/>
      <c r="W34" s="65"/>
      <c r="X34" s="15"/>
      <c r="Y34" s="80"/>
      <c r="Z34" s="14"/>
      <c r="AA34" s="65"/>
      <c r="AB34" s="14"/>
      <c r="AC34" s="65"/>
      <c r="AD34" s="15"/>
      <c r="AE34" s="65"/>
      <c r="AF34" s="14"/>
      <c r="AG34" s="80"/>
      <c r="AH34" s="14"/>
      <c r="AI34" s="65"/>
      <c r="AJ34" s="14"/>
      <c r="AK34" s="65"/>
      <c r="AL34" s="217" t="s">
        <v>41</v>
      </c>
      <c r="AM34" s="65"/>
      <c r="AN34" s="14"/>
      <c r="AO34" s="65"/>
      <c r="AP34" s="523"/>
      <c r="AQ34" s="524"/>
      <c r="AR34" s="100"/>
      <c r="AS34" s="101"/>
      <c r="AT34" s="142">
        <v>30</v>
      </c>
      <c r="AU34" s="142" t="s">
        <v>132</v>
      </c>
      <c r="AV34" s="455">
        <v>36</v>
      </c>
      <c r="AW34" s="14"/>
      <c r="AX34" s="70"/>
      <c r="AY34" s="72"/>
      <c r="AZ34" s="70"/>
      <c r="BA34" s="72"/>
      <c r="BB34" s="72"/>
      <c r="BC34" s="58"/>
      <c r="BD34" s="65"/>
      <c r="BE34" s="264"/>
      <c r="BF34" s="15" t="s">
        <v>41</v>
      </c>
      <c r="BG34" s="72"/>
      <c r="BH34" s="70"/>
      <c r="BI34" s="72"/>
      <c r="BJ34" s="72"/>
      <c r="BK34" s="58"/>
      <c r="BL34" s="70"/>
      <c r="BM34" s="37"/>
      <c r="BN34" s="67" t="s">
        <v>34</v>
      </c>
      <c r="BO34" s="72"/>
      <c r="BP34" s="67" t="s">
        <v>34</v>
      </c>
      <c r="BQ34" s="72"/>
      <c r="BR34" s="72" t="s">
        <v>34</v>
      </c>
      <c r="BS34" s="15"/>
      <c r="BT34" s="67" t="s">
        <v>34</v>
      </c>
      <c r="BU34" s="37"/>
      <c r="BV34" s="74"/>
      <c r="BW34" s="72"/>
      <c r="BX34" s="74" t="s">
        <v>33</v>
      </c>
      <c r="BY34" s="72"/>
      <c r="BZ34" s="74" t="s">
        <v>33</v>
      </c>
      <c r="CA34" s="78"/>
      <c r="CB34" s="74" t="s">
        <v>33</v>
      </c>
      <c r="CC34" s="142">
        <v>30</v>
      </c>
      <c r="CD34" s="142" t="s">
        <v>132</v>
      </c>
      <c r="CE34" s="455">
        <v>35</v>
      </c>
      <c r="CF34" s="311">
        <f t="shared" ref="CF34" si="2">COUNTIF(AX34:CB34,"י")+COUNTIF(AX34:CB34,"Y")+COUNTIF(AX34:CB34,"2")</f>
        <v>3</v>
      </c>
      <c r="CG34" s="76">
        <f t="shared" ref="CG34" si="3">COUNTIF(AW34:CB34,"ל")+COUNTIF(AW34:CB34,"L")+COUNTIF(AW34:CB34,"ל2")</f>
        <v>4</v>
      </c>
      <c r="CH34" s="102"/>
      <c r="CI34" s="103"/>
      <c r="CJ34" s="551"/>
      <c r="CK34" s="552"/>
    </row>
    <row r="35" spans="1:89" ht="15" customHeight="1" thickBot="1">
      <c r="A35" s="142">
        <v>31</v>
      </c>
      <c r="B35" s="142" t="s">
        <v>133</v>
      </c>
      <c r="C35" s="455"/>
      <c r="D35" s="14"/>
      <c r="E35" s="65"/>
      <c r="F35" s="14"/>
      <c r="G35" s="65"/>
      <c r="H35" s="14"/>
      <c r="I35" s="65"/>
      <c r="J35" s="14"/>
      <c r="K35" s="65"/>
      <c r="L35" s="14"/>
      <c r="M35" s="65"/>
      <c r="N35" s="14"/>
      <c r="O35" s="58"/>
      <c r="P35" s="14"/>
      <c r="Q35" s="65"/>
      <c r="R35" s="15"/>
      <c r="S35" s="65"/>
      <c r="T35" s="15"/>
      <c r="U35" s="65"/>
      <c r="V35" s="15"/>
      <c r="W35" s="65"/>
      <c r="X35" s="15"/>
      <c r="Y35" s="80"/>
      <c r="Z35" s="14"/>
      <c r="AA35" s="65"/>
      <c r="AB35" s="14"/>
      <c r="AC35" s="65"/>
      <c r="AD35" s="15"/>
      <c r="AE35" s="65"/>
      <c r="AF35" s="14"/>
      <c r="AG35" s="80"/>
      <c r="AH35" s="14"/>
      <c r="AI35" s="65"/>
      <c r="AJ35" s="14"/>
      <c r="AK35" s="65"/>
      <c r="AL35" s="217" t="s">
        <v>41</v>
      </c>
      <c r="AM35" s="65"/>
      <c r="AN35" s="14"/>
      <c r="AO35" s="65"/>
      <c r="AP35" s="547"/>
      <c r="AQ35" s="548"/>
      <c r="AR35" s="35"/>
      <c r="AS35" s="36"/>
      <c r="AT35" s="142">
        <v>31</v>
      </c>
      <c r="AU35" s="142" t="s">
        <v>133</v>
      </c>
      <c r="AV35" s="455"/>
      <c r="AW35" s="14"/>
      <c r="AX35" s="74" t="s">
        <v>33</v>
      </c>
      <c r="AY35" s="72"/>
      <c r="AZ35" s="74" t="s">
        <v>33</v>
      </c>
      <c r="BA35" s="72"/>
      <c r="BB35" s="74" t="s">
        <v>33</v>
      </c>
      <c r="BC35" s="78"/>
      <c r="BD35" s="74" t="s">
        <v>33</v>
      </c>
      <c r="BE35" s="14"/>
      <c r="BF35" s="70" t="s">
        <v>41</v>
      </c>
      <c r="BG35" s="72"/>
      <c r="BH35" s="70"/>
      <c r="BI35" s="72"/>
      <c r="BJ35" s="72"/>
      <c r="BK35" s="58"/>
      <c r="BL35" s="70"/>
      <c r="BM35" s="37"/>
      <c r="BN35" s="70"/>
      <c r="BO35" s="72"/>
      <c r="BP35" s="70"/>
      <c r="BQ35" s="72"/>
      <c r="BR35" s="72"/>
      <c r="BS35" s="15"/>
      <c r="BT35" s="70"/>
      <c r="BU35" s="37"/>
      <c r="BV35" s="67"/>
      <c r="BW35" s="72"/>
      <c r="BX35" s="67" t="s">
        <v>34</v>
      </c>
      <c r="BY35" s="72"/>
      <c r="BZ35" s="72" t="s">
        <v>34</v>
      </c>
      <c r="CA35" s="15"/>
      <c r="CB35" s="67" t="s">
        <v>34</v>
      </c>
      <c r="CC35" s="142">
        <v>31</v>
      </c>
      <c r="CD35" s="142" t="s">
        <v>133</v>
      </c>
      <c r="CE35" s="455"/>
      <c r="CF35" s="312">
        <f t="shared" si="0"/>
        <v>4</v>
      </c>
      <c r="CG35" s="77">
        <f t="shared" si="1"/>
        <v>3</v>
      </c>
      <c r="CH35" s="26"/>
      <c r="CI35" s="21"/>
      <c r="CJ35" s="549"/>
      <c r="CK35" s="550"/>
    </row>
    <row r="36" spans="1:89" ht="15" customHeight="1" thickBot="1">
      <c r="D36" s="8">
        <f>(COUNTIF(D1:D35,"הרצליה")+COUNTIF(D1:D35,"חיפה")+COUNTIF(D1:D35,"רמון")+COUNTIF(D1:D35,"ראש פינה")+COUNTIF(D1:D35,"ה.ב"))</f>
        <v>0</v>
      </c>
      <c r="E36" s="9">
        <f>(COUNTIF(E1:E35,"כ")+COUNTIF(E1:E35,"כמ"))*6+(COUNTIF(E1:E35,"כש")+COUNTIF(E1:E35,"כמש"))*10</f>
        <v>0</v>
      </c>
      <c r="F36" s="8">
        <f t="shared" ref="F36" si="4">(COUNTIF(F1:F35,"הרצליה")+COUNTIF(F1:F35,"חיפה")+COUNTIF(F1:F35,"רמון")+COUNTIF(F1:F35,"ראש פינה")+COUNTIF(F1:F35,"ה.ב"))</f>
        <v>0</v>
      </c>
      <c r="G36" s="9">
        <f t="shared" ref="G36" si="5">(COUNTIF(G1:G35,"כ")+COUNTIF(G1:G35,"כמ"))*6+(COUNTIF(G1:G35,"כש")+COUNTIF(G1:G35,"כמש"))*10</f>
        <v>0</v>
      </c>
      <c r="H36" s="8">
        <f t="shared" ref="H36" si="6">(COUNTIF(H1:H35,"הרצליה")+COUNTIF(H1:H35,"חיפה")+COUNTIF(H1:H35,"רמון")+COUNTIF(H1:H35,"ראש פינה")+COUNTIF(H1:H35,"ה.ב"))</f>
        <v>0</v>
      </c>
      <c r="I36" s="9">
        <f t="shared" ref="I36" si="7">(COUNTIF(I1:I35,"כ")+COUNTIF(I1:I35,"כמ"))*6+(COUNTIF(I1:I35,"כש")+COUNTIF(I1:I35,"כמש"))*10</f>
        <v>0</v>
      </c>
      <c r="J36" s="8">
        <f t="shared" ref="J36" si="8">(COUNTIF(J1:J35,"הרצליה")+COUNTIF(J1:J35,"חיפה")+COUNTIF(J1:J35,"רמון")+COUNTIF(J1:J35,"ראש פינה")+COUNTIF(J1:J35,"ה.ב"))</f>
        <v>0</v>
      </c>
      <c r="K36" s="9">
        <f t="shared" ref="K36" si="9">(COUNTIF(K1:K35,"כ")+COUNTIF(K1:K35,"כמ"))*6+(COUNTIF(K1:K35,"כש")+COUNTIF(K1:K35,"כמש"))*10</f>
        <v>0</v>
      </c>
      <c r="L36" s="8">
        <f t="shared" ref="L36" si="10">(COUNTIF(L1:L35,"הרצליה")+COUNTIF(L1:L35,"חיפה")+COUNTIF(L1:L35,"רמון")+COUNTIF(L1:L35,"ראש פינה")+COUNTIF(L1:L35,"ה.ב"))</f>
        <v>0</v>
      </c>
      <c r="M36" s="9">
        <f t="shared" ref="M36" si="11">(COUNTIF(M1:M35,"כ")+COUNTIF(M1:M35,"כמ"))*6+(COUNTIF(M1:M35,"כש")+COUNTIF(M1:M35,"כמש"))*10</f>
        <v>0</v>
      </c>
      <c r="N36" s="8">
        <f t="shared" ref="N36" si="12">(COUNTIF(N1:N35,"הרצליה")+COUNTIF(N1:N35,"חיפה")+COUNTIF(N1:N35,"רמון")+COUNTIF(N1:N35,"ראש פינה")+COUNTIF(N1:N35,"ה.ב"))</f>
        <v>0</v>
      </c>
      <c r="O36" s="9">
        <f t="shared" ref="O36" si="13">(COUNTIF(O1:O35,"כ")+COUNTIF(O1:O35,"כמ"))*6+(COUNTIF(O1:O35,"כש")+COUNTIF(O1:O35,"כמש"))*10</f>
        <v>0</v>
      </c>
      <c r="P36" s="8">
        <f t="shared" ref="P36" si="14">(COUNTIF(P1:P35,"הרצליה")+COUNTIF(P1:P35,"חיפה")+COUNTIF(P1:P35,"רמון")+COUNTIF(P1:P35,"ראש פינה")+COUNTIF(P1:P35,"ה.ב"))</f>
        <v>0</v>
      </c>
      <c r="Q36" s="9">
        <f t="shared" ref="Q36" si="15">(COUNTIF(Q1:Q35,"כ")+COUNTIF(Q1:Q35,"כמ"))*6+(COUNTIF(Q1:Q35,"כש")+COUNTIF(Q1:Q35,"כמש"))*10</f>
        <v>0</v>
      </c>
      <c r="R36" s="8">
        <f t="shared" ref="R36" si="16">(COUNTIF(R1:R35,"הרצליה")+COUNTIF(R1:R35,"חיפה")+COUNTIF(R1:R35,"רמון")+COUNTIF(R1:R35,"ראש פינה")+COUNTIF(R1:R35,"ה.ב"))</f>
        <v>0</v>
      </c>
      <c r="S36" s="9">
        <f t="shared" ref="S36" si="17">(COUNTIF(S1:S35,"כ")+COUNTIF(S1:S35,"כמ"))*6+(COUNTIF(S1:S35,"כש")+COUNTIF(S1:S35,"כמש"))*10</f>
        <v>0</v>
      </c>
      <c r="T36" s="8">
        <f t="shared" ref="T36" si="18">(COUNTIF(T1:T35,"הרצליה")+COUNTIF(T1:T35,"חיפה")+COUNTIF(T1:T35,"רמון")+COUNTIF(T1:T35,"ראש פינה")+COUNTIF(T1:T35,"ה.ב"))</f>
        <v>0</v>
      </c>
      <c r="U36" s="9">
        <f t="shared" ref="U36" si="19">(COUNTIF(U1:U35,"כ")+COUNTIF(U1:U35,"כמ"))*6+(COUNTIF(U1:U35,"כש")+COUNTIF(U1:U35,"כמש"))*10</f>
        <v>0</v>
      </c>
      <c r="V36" s="8">
        <f t="shared" ref="V36" si="20">(COUNTIF(V1:V35,"הרצליה")+COUNTIF(V1:V35,"חיפה")+COUNTIF(V1:V35,"רמון")+COUNTIF(V1:V35,"ראש פינה")+COUNTIF(V1:V35,"ה.ב"))</f>
        <v>0</v>
      </c>
      <c r="W36" s="9">
        <f t="shared" ref="W36" si="21">(COUNTIF(W1:W35,"כ")+COUNTIF(W1:W35,"כמ"))*6+(COUNTIF(W1:W35,"כש")+COUNTIF(W1:W35,"כמש"))*10</f>
        <v>0</v>
      </c>
      <c r="X36" s="8">
        <f t="shared" ref="X36" si="22">(COUNTIF(X1:X35,"הרצליה")+COUNTIF(X1:X35,"חיפה")+COUNTIF(X1:X35,"רמון")+COUNTIF(X1:X35,"ראש פינה")+COUNTIF(X1:X35,"ה.ב"))</f>
        <v>1</v>
      </c>
      <c r="Y36" s="9">
        <f t="shared" ref="Y36" si="23">(COUNTIF(Y1:Y35,"כ")+COUNTIF(Y1:Y35,"כמ"))*6+(COUNTIF(Y1:Y35,"כש")+COUNTIF(Y1:Y35,"כמש"))*10</f>
        <v>0</v>
      </c>
      <c r="Z36" s="8">
        <f t="shared" ref="Z36" si="24">(COUNTIF(Z1:Z35,"הרצליה")+COUNTIF(Z1:Z35,"חיפה")+COUNTIF(Z1:Z35,"רמון")+COUNTIF(Z1:Z35,"ראש פינה")+COUNTIF(Z1:Z35,"ה.ב"))</f>
        <v>0</v>
      </c>
      <c r="AA36" s="9">
        <f t="shared" ref="AA36" si="25">(COUNTIF(AA1:AA35,"כ")+COUNTIF(AA1:AA35,"כמ"))*6+(COUNTIF(AA1:AA35,"כש")+COUNTIF(AA1:AA35,"כמש"))*10</f>
        <v>0</v>
      </c>
      <c r="AB36" s="8">
        <f t="shared" ref="AB36" si="26">(COUNTIF(AB1:AB35,"הרצליה")+COUNTIF(AB1:AB35,"חיפה")+COUNTIF(AB1:AB35,"רמון")+COUNTIF(AB1:AB35,"ראש פינה")+COUNTIF(AB1:AB35,"ה.ב"))</f>
        <v>0</v>
      </c>
      <c r="AC36" s="9">
        <f t="shared" ref="AC36" si="27">(COUNTIF(AC1:AC35,"כ")+COUNTIF(AC1:AC35,"כמ"))*6+(COUNTIF(AC1:AC35,"כש")+COUNTIF(AC1:AC35,"כמש"))*10</f>
        <v>0</v>
      </c>
      <c r="AD36" s="8">
        <f t="shared" ref="AD36" si="28">(COUNTIF(AD1:AD35,"הרצליה")+COUNTIF(AD1:AD35,"חיפה")+COUNTIF(AD1:AD35,"רמון")+COUNTIF(AD1:AD35,"ראש פינה")+COUNTIF(AD1:AD35,"ה.ב"))</f>
        <v>0</v>
      </c>
      <c r="AE36" s="9">
        <f t="shared" ref="AE36" si="29">(COUNTIF(AE1:AE35,"כ")+COUNTIF(AE1:AE35,"כמ"))*6+(COUNTIF(AE1:AE35,"כש")+COUNTIF(AE1:AE35,"כמש"))*10</f>
        <v>0</v>
      </c>
      <c r="AF36" s="8">
        <f t="shared" ref="AF36" si="30">(COUNTIF(AF1:AF35,"הרצליה")+COUNTIF(AF1:AF35,"חיפה")+COUNTIF(AF1:AF35,"רמון")+COUNTIF(AF1:AF35,"ראש פינה")+COUNTIF(AF1:AF35,"ה.ב"))</f>
        <v>0</v>
      </c>
      <c r="AG36" s="9">
        <f t="shared" ref="AG36" si="31">(COUNTIF(AG1:AG35,"כ")+COUNTIF(AG1:AG35,"כמ"))*6+(COUNTIF(AG1:AG35,"כש")+COUNTIF(AG1:AG35,"כמש"))*10</f>
        <v>0</v>
      </c>
      <c r="AH36" s="8">
        <f t="shared" ref="AH36" si="32">(COUNTIF(AH1:AH35,"הרצליה")+COUNTIF(AH1:AH35,"חיפה")+COUNTIF(AH1:AH35,"רמון")+COUNTIF(AH1:AH35,"ראש פינה")+COUNTIF(AH1:AH35,"ה.ב"))</f>
        <v>0</v>
      </c>
      <c r="AI36" s="9">
        <f t="shared" ref="AI36" si="33">(COUNTIF(AI1:AI35,"כ")+COUNTIF(AI1:AI35,"כמ"))*6+(COUNTIF(AI1:AI35,"כש")+COUNTIF(AI1:AI35,"כמש"))*10</f>
        <v>0</v>
      </c>
      <c r="AJ36" s="8">
        <f t="shared" ref="AJ36" si="34">(COUNTIF(AJ1:AJ35,"הרצליה")+COUNTIF(AJ1:AJ35,"חיפה")+COUNTIF(AJ1:AJ35,"רמון")+COUNTIF(AJ1:AJ35,"ראש פינה")+COUNTIF(AJ1:AJ35,"ה.ב"))</f>
        <v>0</v>
      </c>
      <c r="AK36" s="9">
        <f t="shared" ref="AK36" si="35">(COUNTIF(AK1:AK35,"כ")+COUNTIF(AK1:AK35,"כמ"))*6+(COUNTIF(AK1:AK35,"כש")+COUNTIF(AK1:AK35,"כמש"))*10</f>
        <v>0</v>
      </c>
      <c r="AL36" s="8">
        <f t="shared" ref="AL36" si="36">(COUNTIF(AL1:AL35,"הרצליה")+COUNTIF(AL1:AL35,"חיפה")+COUNTIF(AL1:AL35,"רמון")+COUNTIF(AL1:AL35,"ראש פינה")+COUNTIF(AL1:AL35,"ה.ב"))</f>
        <v>0</v>
      </c>
      <c r="AM36" s="9">
        <f t="shared" ref="AM36" si="37">(COUNTIF(AM1:AM35,"כ")+COUNTIF(AM1:AM35,"כמ"))*6+(COUNTIF(AM1:AM35,"כש")+COUNTIF(AM1:AM35,"כמש"))*10</f>
        <v>0</v>
      </c>
      <c r="AN36" s="8">
        <f t="shared" ref="AN36" si="38">(COUNTIF(AN1:AN35,"הרצליה")+COUNTIF(AN1:AN35,"חיפה")+COUNTIF(AN1:AN35,"רמון")+COUNTIF(AN1:AN35,"ראש פינה")+COUNTIF(AN1:AN35,"ה.ב"))</f>
        <v>0</v>
      </c>
      <c r="AO36" s="9">
        <f t="shared" ref="AO36" si="39">(COUNTIF(AO1:AO35,"כ")+COUNTIF(AO1:AO35,"כמ"))*6+(COUNTIF(AO1:AO35,"כש")+COUNTIF(AO1:AO35,"כמש"))*10</f>
        <v>0</v>
      </c>
      <c r="AT36" s="482" t="s">
        <v>38</v>
      </c>
      <c r="AU36" s="483"/>
      <c r="AV36" s="484"/>
      <c r="AW36" s="485">
        <f>COUNTIF(AX4:AX35,"י")+COUNTIF(AX4:AX35,"Y")+COUNTIF(AX4:AX35,"2")</f>
        <v>8</v>
      </c>
      <c r="AX36" s="465"/>
      <c r="AY36" s="464">
        <f>COUNTIF(AZ4:AZ35,"י")+COUNTIF(AZ4:AZ35,"Y")+COUNTIF(AZ4:AZ35,"2")</f>
        <v>8</v>
      </c>
      <c r="AZ36" s="465"/>
      <c r="BA36" s="464">
        <f>COUNTIF(BB4:BB35,"י")+COUNTIF(BB4:BB35,"Y")+COUNTIF(BB4:BB35,"2")</f>
        <v>8</v>
      </c>
      <c r="BB36" s="465"/>
      <c r="BC36" s="464">
        <f>COUNTIF(BD4:BD35,"י")+COUNTIF(BD4:BD35,"Y")+COUNTIF(BD4:BD35,"2")</f>
        <v>8</v>
      </c>
      <c r="BD36" s="465"/>
      <c r="BE36" s="464">
        <f>COUNTIF(BF4:BF35,"י")+COUNTIF(BF4:BF35,"Y")+COUNTIF(BF4:BF35,"2")</f>
        <v>3</v>
      </c>
      <c r="BF36" s="465"/>
      <c r="BG36" s="464">
        <f>COUNTIF(BH4:BH35,"י")+COUNTIF(BH4:BH35,"Y")+COUNTIF(BH4:BH35,"2")</f>
        <v>7</v>
      </c>
      <c r="BH36" s="465"/>
      <c r="BI36" s="464">
        <f>COUNTIF(BJ4:BJ35,"י")+COUNTIF(BJ4:BJ35,"Y")+COUNTIF(BJ4:BJ35,"2")</f>
        <v>7</v>
      </c>
      <c r="BJ36" s="465"/>
      <c r="BK36" s="464">
        <f>COUNTIF(BL4:BL35,"י")+COUNTIF(BL4:BL35,"Y")+COUNTIF(BL4:BL35,"2")</f>
        <v>7</v>
      </c>
      <c r="BL36" s="465"/>
      <c r="BM36" s="464">
        <f>COUNTIF(BN4:BN35,"י")+COUNTIF(BN4:BN35,"Y")+COUNTIF(BN4:BN35,"2")</f>
        <v>6</v>
      </c>
      <c r="BN36" s="465"/>
      <c r="BO36" s="464">
        <f>COUNTIF(BP4:BP35,"י")+COUNTIF(BP4:BP35,"Y")+COUNTIF(BP4:BP35,"2")</f>
        <v>8</v>
      </c>
      <c r="BP36" s="465"/>
      <c r="BQ36" s="464">
        <f>COUNTIF(BR4:BR35,"י")+COUNTIF(BR4:BR35,"Y")+COUNTIF(BR4:BR35,"2")</f>
        <v>8</v>
      </c>
      <c r="BR36" s="465"/>
      <c r="BS36" s="464">
        <f>COUNTIF(BT4:BT35,"י")+COUNTIF(BT4:BT35,"Y")+COUNTIF(BT4:BT35,"2")</f>
        <v>6</v>
      </c>
      <c r="BT36" s="465"/>
      <c r="BU36" s="464">
        <f>COUNTIF(BV4:BV35,"י")+COUNTIF(BV4:BV35,"Y")+COUNTIF(BV4:BV35,"2")</f>
        <v>0</v>
      </c>
      <c r="BV36" s="465"/>
      <c r="BW36" s="464">
        <f>COUNTIF(BX4:BX35,"י")+COUNTIF(BX4:BX35,"Y")+COUNTIF(BX4:BX35,"2")</f>
        <v>8</v>
      </c>
      <c r="BX36" s="465"/>
      <c r="BY36" s="464">
        <f>COUNTIF(BZ4:BZ35,"י")+COUNTIF(BZ4:BZ35,"Y")+COUNTIF(BZ4:BZ35,"2")</f>
        <v>8</v>
      </c>
      <c r="BZ36" s="465"/>
      <c r="CA36" s="466">
        <f>COUNTIF(CB4:CB35,"י")+COUNTIF(CB4:CB35,"Y")+COUNTIF(CB4:CB35,"2")</f>
        <v>8</v>
      </c>
      <c r="CB36" s="467"/>
      <c r="CC36" s="468" t="s">
        <v>140</v>
      </c>
      <c r="CD36" s="469"/>
      <c r="CE36" s="470"/>
    </row>
    <row r="37" spans="1:89" ht="15" customHeight="1" thickBot="1">
      <c r="C37" t="s">
        <v>322</v>
      </c>
      <c r="D37" s="234">
        <f>D36+יולי!D37</f>
        <v>8</v>
      </c>
      <c r="E37" s="234">
        <f>E36+יולי!E37</f>
        <v>94</v>
      </c>
      <c r="F37" s="234">
        <f>F36+יולי!F37</f>
        <v>9</v>
      </c>
      <c r="G37" s="234">
        <f>G36+יולי!G37</f>
        <v>108</v>
      </c>
      <c r="H37" s="234">
        <f>H36+יולי!H37</f>
        <v>7</v>
      </c>
      <c r="I37" s="234">
        <f>I36+יולי!I37</f>
        <v>98</v>
      </c>
      <c r="J37" s="234">
        <f>J36+יולי!J37</f>
        <v>6</v>
      </c>
      <c r="K37" s="234">
        <f>K36+יולי!K37</f>
        <v>54</v>
      </c>
      <c r="L37" s="234">
        <f>L36+יולי!L37</f>
        <v>5</v>
      </c>
      <c r="M37" s="234">
        <f>M36+יולי!M37</f>
        <v>110</v>
      </c>
      <c r="N37" s="234">
        <f>N36+יולי!N37</f>
        <v>12</v>
      </c>
      <c r="O37" s="234">
        <f>O36+יולי!O37</f>
        <v>178</v>
      </c>
      <c r="P37" s="234">
        <f>P36+יולי!P37</f>
        <v>9</v>
      </c>
      <c r="Q37" s="234">
        <f>Q36+יולי!Q37</f>
        <v>104</v>
      </c>
      <c r="R37" s="234">
        <f>R36+יולי!R37</f>
        <v>4</v>
      </c>
      <c r="S37" s="234">
        <f>S36+יולי!S37</f>
        <v>90</v>
      </c>
      <c r="T37" s="234">
        <f>T36+יולי!T37</f>
        <v>9</v>
      </c>
      <c r="U37" s="234">
        <f>U36+יולי!U37</f>
        <v>94</v>
      </c>
      <c r="V37" s="234">
        <f>V36+יולי!V37</f>
        <v>2</v>
      </c>
      <c r="W37" s="234">
        <f>W36+יולי!W37</f>
        <v>90</v>
      </c>
      <c r="X37" s="234">
        <f>X36+יולי!X37</f>
        <v>17</v>
      </c>
      <c r="Y37" s="234">
        <f>Y36+יולי!Y37</f>
        <v>246</v>
      </c>
      <c r="Z37" s="234">
        <f>Z36+יולי!Z37</f>
        <v>2</v>
      </c>
      <c r="AA37" s="234">
        <f>AA36+יולי!AA37</f>
        <v>0</v>
      </c>
      <c r="AB37" s="234">
        <f>AB36+יולי!AB37</f>
        <v>4</v>
      </c>
      <c r="AC37" s="234">
        <f>AC36+יולי!AC37</f>
        <v>164</v>
      </c>
      <c r="AD37" s="234">
        <f>AD36+יולי!AD37</f>
        <v>1</v>
      </c>
      <c r="AE37" s="234">
        <f>AE36+יולי!AE37</f>
        <v>180</v>
      </c>
      <c r="AF37" s="234">
        <f>AF36+יולי!AF37</f>
        <v>10</v>
      </c>
      <c r="AG37" s="234">
        <f>AG36+יולי!AG37</f>
        <v>200</v>
      </c>
      <c r="AH37" s="234">
        <f>AH36+יולי!AH37</f>
        <v>2</v>
      </c>
      <c r="AI37" s="234">
        <f>AI36+יולי!AI37</f>
        <v>168</v>
      </c>
      <c r="AJ37" s="234">
        <f>AJ36+יולי!AJ37</f>
        <v>6</v>
      </c>
      <c r="AK37" s="234">
        <f>AK36+יולי!AK37</f>
        <v>102</v>
      </c>
      <c r="AL37" s="234">
        <f>AL36+יולי!AL37</f>
        <v>9</v>
      </c>
      <c r="AM37" s="234">
        <f>AM36+יולי!AM37</f>
        <v>90</v>
      </c>
      <c r="AN37" s="234">
        <f>AN36+יולי!AN37</f>
        <v>1</v>
      </c>
      <c r="AO37" s="234">
        <f>AO36+יולי!AO37</f>
        <v>42</v>
      </c>
      <c r="AT37" s="478" t="s">
        <v>39</v>
      </c>
      <c r="AU37" s="479"/>
      <c r="AV37" s="480"/>
      <c r="AW37" s="481">
        <f>COUNTIF(AX4:AX35,"ל")+COUNTIF(AX4:AX35,"L")+COUNTIF(AX4:AX35,"ל2")</f>
        <v>7</v>
      </c>
      <c r="AX37" s="475"/>
      <c r="AY37" s="474">
        <f>COUNTIF(AZ4:AZ35,"ל")+COUNTIF(AZ4:AZ35,"L")+COUNTIF(AZ4:AZ35,"ל2")</f>
        <v>7</v>
      </c>
      <c r="AZ37" s="475"/>
      <c r="BA37" s="474">
        <f>COUNTIF(BB4:BB35,"ל")+COUNTIF(BB4:BB35,"L")+COUNTIF(BB4:BB35,"ל2")</f>
        <v>7</v>
      </c>
      <c r="BB37" s="475"/>
      <c r="BC37" s="474">
        <f>COUNTIF(BD4:BD35,"ל")+COUNTIF(BD4:BD35,"L")+COUNTIF(BD4:BD35,"ל2")</f>
        <v>7</v>
      </c>
      <c r="BD37" s="475"/>
      <c r="BE37" s="474">
        <f>COUNTIF(BF4:BF35,"ל")+COUNTIF(BF4:BF35,"L")+COUNTIF(BF4:BF35,"ל2")</f>
        <v>4</v>
      </c>
      <c r="BF37" s="475"/>
      <c r="BG37" s="474">
        <f>COUNTIF(BH4:BH35,"ל")+COUNTIF(BH4:BH35,"L")+COUNTIF(BH4:BH35,"ל2")</f>
        <v>8</v>
      </c>
      <c r="BH37" s="475"/>
      <c r="BI37" s="474">
        <f>COUNTIF(BJ4:BJ35,"ל")+COUNTIF(BJ4:BJ35,"L")+COUNTIF(BJ4:BJ35,"ל2")</f>
        <v>8</v>
      </c>
      <c r="BJ37" s="475"/>
      <c r="BK37" s="474">
        <f>COUNTIF(BL4:BL35,"ל")+COUNTIF(BL4:BL35,"L")+COUNTIF(BL4:BL35,"ל2")</f>
        <v>8</v>
      </c>
      <c r="BL37" s="475"/>
      <c r="BM37" s="474">
        <f>COUNTIF(BN4:BN35,"ל")+COUNTIF(BN4:BN35,"L")+COUNTIF(BN4:BN35,"ל2")</f>
        <v>5</v>
      </c>
      <c r="BN37" s="475"/>
      <c r="BO37" s="474">
        <f>COUNTIF(BP4:BP35,"ל")+COUNTIF(BP4:BP35,"L")+COUNTIF(BP4:BP35,"ל2")</f>
        <v>8</v>
      </c>
      <c r="BP37" s="475"/>
      <c r="BQ37" s="474">
        <f>COUNTIF(BR4:BR35,"ל")+COUNTIF(BR4:BR35,"L")+COUNTIF(BR4:BR35,"ל2")</f>
        <v>8</v>
      </c>
      <c r="BR37" s="475"/>
      <c r="BS37" s="474">
        <f>COUNTIF(BT4:BT35,"ל")+COUNTIF(BT4:BT35,"L")+COUNTIF(BT4:BT35,"ל2")</f>
        <v>7</v>
      </c>
      <c r="BT37" s="475"/>
      <c r="BU37" s="474">
        <f>COUNTIF(BV4:BV35,"ל")+COUNTIF(BV4:BV35,"L")+COUNTIF(BV4:BV35,"ל2")</f>
        <v>0</v>
      </c>
      <c r="BV37" s="475"/>
      <c r="BW37" s="474">
        <f>COUNTIF(BX4:BX35,"ל")+COUNTIF(BX4:BX35,"L")+COUNTIF(BX4:BX35,"ל2")</f>
        <v>8</v>
      </c>
      <c r="BX37" s="475"/>
      <c r="BY37" s="474">
        <f>COUNTIF(BZ4:BZ35,"ל")+COUNTIF(BZ4:BZ35,"L")+COUNTIF(BZ4:BZ35,"ל2")</f>
        <v>8</v>
      </c>
      <c r="BZ37" s="475"/>
      <c r="CA37" s="476">
        <f>COUNTIF(CB4:CB35,"ל")+COUNTIF(CB4:CB35,"L")+COUNTIF(CB4:CB35,"ל2")</f>
        <v>8</v>
      </c>
      <c r="CB37" s="477"/>
      <c r="CC37" s="471"/>
      <c r="CD37" s="472"/>
      <c r="CE37" s="473"/>
    </row>
    <row r="38" spans="1:89" s="63" customFormat="1" ht="15" customHeight="1" thickBot="1">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W38" s="488">
        <f>(AW36*12)+(AW37*12)+(COUNTIF(AX4:AX35,"ק")*8)+(COUNTIF(AX4:AX35,"ח")*8)+(COUNTIF(AX4:AX35,"מ")*8)+(COUNTIF(AX4:AX35,"מיל")*8)</f>
        <v>180</v>
      </c>
      <c r="AX38" s="487"/>
      <c r="AY38" s="486">
        <f>(AY36*12)+(AY37*12)+(COUNTIF(AZ4:AZ35,"ק")*8)+(COUNTIF(AZ4:AZ35,"ח")*8)+(COUNTIF(AZ4:AZ35,"מ")*8)+(COUNTIF(AZ4:AZ35,"מיל")*8)</f>
        <v>180</v>
      </c>
      <c r="AZ38" s="487"/>
      <c r="BA38" s="486">
        <f>(BA36*12)+(BA37*12)+(COUNTIF(BB4:BB35,"ק")*8)+(COUNTIF(BB4:BB35,"ח")*8)+(COUNTIF(BB4:BB35,"מ")*8)+(COUNTIF(BB4:BB35,"מיל")*8)</f>
        <v>180</v>
      </c>
      <c r="BB38" s="487"/>
      <c r="BC38" s="486">
        <f>(BC36*12)+(BC37*12)+(COUNTIF(BD4:BD35,"ק")*8)+(COUNTIF(BD4:BD35,"ח")*8)+(COUNTIF(BD4:BD35,"מ")*8)+(COUNTIF(BD4:BD35,"מיל")*8)</f>
        <v>180</v>
      </c>
      <c r="BD38" s="487"/>
      <c r="BE38" s="486">
        <f>(BE36*12)+(BE37*12)+(COUNTIF(BF4:BF35,"ק")*8)+(COUNTIF(BF4:BF35,"ח")*8)+(COUNTIF(BF4:BF35,"מ")*8)+(COUNTIF(BF4:BF35,"מיל")*8)</f>
        <v>180</v>
      </c>
      <c r="BF38" s="487"/>
      <c r="BG38" s="486">
        <f>(BG36*12)+(BG37*12)+(COUNTIF(BH4:BH35,"ק")*8)+(COUNTIF(BH4:BH35,"ח")*8)+(COUNTIF(BH4:BH35,"מ")*8)+(COUNTIF(BH4:BH35,"מיל")*8)</f>
        <v>180</v>
      </c>
      <c r="BH38" s="487"/>
      <c r="BI38" s="486">
        <f>(BI36*12)+(BI37*12)+(COUNTIF(BJ4:BJ35,"ק")*8)+(COUNTIF(BJ4:BJ35,"ח")*8)+(COUNTIF(BJ4:BJ35,"מ")*8)+(COUNTIF(BJ4:BJ35,"מיל")*8)</f>
        <v>180</v>
      </c>
      <c r="BJ38" s="487"/>
      <c r="BK38" s="486">
        <f>(BK36*12)+(BK37*12)+(COUNTIF(BL4:BL35,"ק")*8)+(COUNTIF(BL4:BL35,"ח")*8)+(COUNTIF(BL4:BL35,"מ")*8)+(COUNTIF(BL4:BL35,"מיל")*8)</f>
        <v>180</v>
      </c>
      <c r="BL38" s="487"/>
      <c r="BM38" s="486">
        <f>(BM36*12)+(BM37*12)+(COUNTIF(BN4:BN35,"ק")*8)+(COUNTIF(BN4:BN35,"ח")*8)+(COUNTIF(BN4:BN35,"מ")*8)+(COUNTIF(BN4:BN35,"מיל")*8)</f>
        <v>188</v>
      </c>
      <c r="BN38" s="487"/>
      <c r="BO38" s="486">
        <f>(BO36*12)+(BO37*12)+(COUNTIF(BP4:BP35,"ק")*8)+(COUNTIF(BP4:BP35,"ח")*8)+(COUNTIF(BP4:BP35,"מ")*8)+(COUNTIF(BP4:BP35,"מיל")*8)</f>
        <v>192</v>
      </c>
      <c r="BP38" s="487"/>
      <c r="BQ38" s="486">
        <f>(BQ36*12)+(BQ37*12)+(COUNTIF(BR4:BR35,"ק")*8)+(COUNTIF(BR4:BR35,"ח")*8)+(COUNTIF(BR4:BR35,"מ")*8)+(COUNTIF(BR4:BR35,"מיל")*8)</f>
        <v>192</v>
      </c>
      <c r="BR38" s="487"/>
      <c r="BS38" s="486">
        <f>(BS36*12)+(BS37*12)+(COUNTIF(BT4:BT35,"ק")*8)+(COUNTIF(BT4:BT35,"ח")*8)+(COUNTIF(BT4:BT35,"מ")*8)+(COUNTIF(BT4:BT35,"מיל")*8)</f>
        <v>156</v>
      </c>
      <c r="BT38" s="487"/>
      <c r="BU38" s="486">
        <f>(BU36*12)+(BU37*12)+(COUNTIF(BV4:BV35,"ק")*8)+(COUNTIF(BV4:BV35,"ח")*8)+(COUNTIF(BV4:BV35,"מ")*8)+(COUNTIF(BV4:BV35,"מיל")*8)</f>
        <v>0</v>
      </c>
      <c r="BV38" s="487"/>
      <c r="BW38" s="486">
        <f>(BW36*12)+(BW37*12)+(COUNTIF(BX4:BX35,"ק")*8)+(COUNTIF(BX4:BX35,"ח")*8)+(COUNTIF(BX4:BX35,"מ")*8)+(COUNTIF(BX4:BX35,"מיל")*8)</f>
        <v>192</v>
      </c>
      <c r="BX38" s="487"/>
      <c r="BY38" s="486">
        <f>(BY36*12)+(BY37*12)+(COUNTIF(BZ4:BZ35,"ק")*8)+(COUNTIF(BZ4:BZ35,"ח")*8)+(COUNTIF(BZ4:BZ35,"מ")*8)+(COUNTIF(BZ4:BZ35,"מיל")*8)</f>
        <v>192</v>
      </c>
      <c r="BZ38" s="487"/>
      <c r="CA38" s="486">
        <f>(CA36*12)+(CA37*12)+(COUNTIF(CB4:CB35,"ק")*8)+(COUNTIF(CB4:CB35,"ח")*8)+(COUNTIF(CB4:CB35,"מ")*8)+(COUNTIF(CB4:CB35,"מיל")*8)</f>
        <v>192</v>
      </c>
      <c r="CB38" s="496"/>
      <c r="CC38" s="497">
        <v>176</v>
      </c>
      <c r="CD38" s="498"/>
      <c r="CE38" s="499"/>
    </row>
    <row r="39" spans="1:89" ht="15" customHeight="1" thickBot="1">
      <c r="AW39" s="500">
        <f>AW38-CC38</f>
        <v>4</v>
      </c>
      <c r="AX39" s="491"/>
      <c r="AY39" s="490">
        <f>AY38-CC38</f>
        <v>4</v>
      </c>
      <c r="AZ39" s="491"/>
      <c r="BA39" s="490">
        <f>BA38-CC38</f>
        <v>4</v>
      </c>
      <c r="BB39" s="491"/>
      <c r="BC39" s="490">
        <f>BC38-CC38</f>
        <v>4</v>
      </c>
      <c r="BD39" s="491"/>
      <c r="BE39" s="490">
        <f>BE38-CC38</f>
        <v>4</v>
      </c>
      <c r="BF39" s="491"/>
      <c r="BG39" s="490">
        <f>BG38-CC38</f>
        <v>4</v>
      </c>
      <c r="BH39" s="491"/>
      <c r="BI39" s="490">
        <f>BI38-CC38</f>
        <v>4</v>
      </c>
      <c r="BJ39" s="491"/>
      <c r="BK39" s="490">
        <f>BK38-CC38</f>
        <v>4</v>
      </c>
      <c r="BL39" s="491"/>
      <c r="BM39" s="490">
        <f>BM38-CC38</f>
        <v>12</v>
      </c>
      <c r="BN39" s="491"/>
      <c r="BO39" s="490">
        <f>BO38-CC38</f>
        <v>16</v>
      </c>
      <c r="BP39" s="491"/>
      <c r="BQ39" s="490">
        <f>BQ38-CC38</f>
        <v>16</v>
      </c>
      <c r="BR39" s="491"/>
      <c r="BS39" s="490">
        <f>BS38-CC38</f>
        <v>-20</v>
      </c>
      <c r="BT39" s="491"/>
      <c r="BU39" s="490">
        <f>BU38-CC38</f>
        <v>-176</v>
      </c>
      <c r="BV39" s="491"/>
      <c r="BW39" s="490">
        <f>BW38-CC38</f>
        <v>16</v>
      </c>
      <c r="BX39" s="491"/>
      <c r="BY39" s="490">
        <f>BY38-CC38</f>
        <v>16</v>
      </c>
      <c r="BZ39" s="491"/>
      <c r="CA39" s="492">
        <f>CA38-CC38</f>
        <v>16</v>
      </c>
      <c r="CB39" s="493"/>
      <c r="CC39" s="494" t="s">
        <v>222</v>
      </c>
      <c r="CD39" s="494"/>
      <c r="CE39" s="495"/>
    </row>
  </sheetData>
  <customSheetViews>
    <customSheetView guid="{C6961C98-214A-4770-9A2D-B399A95C6C8B}" scale="80">
      <pane ySplit="4" topLeftCell="A5" activePane="bottomLeft" state="frozen"/>
      <selection pane="bottomLeft" activeCell="D5" sqref="D5"/>
      <pageMargins left="0.7" right="0.7" top="0.75" bottom="0.75" header="0.3" footer="0.3"/>
      <pageSetup paperSize="9" orientation="portrait" r:id="rId1"/>
    </customSheetView>
    <customSheetView guid="{A704065A-5B6F-476C-AE5F-F67C013164B0}" scale="80">
      <pane ySplit="4" topLeftCell="A5" activePane="bottomLeft" state="frozen"/>
      <selection pane="bottomLeft" activeCell="W26" sqref="W26"/>
      <pageMargins left="0.7" right="0.7" top="0.75" bottom="0.75" header="0.3" footer="0.3"/>
      <pageSetup paperSize="9" orientation="portrait" r:id="rId2"/>
    </customSheetView>
    <customSheetView guid="{319CE2B6-D20C-48B8-B7D9-15D19162A7CD}" scale="80">
      <pane ySplit="4" topLeftCell="A5" activePane="bottomLeft" state="frozen"/>
      <selection pane="bottomLeft" activeCell="D5" sqref="D5"/>
      <pageMargins left="0.7" right="0.7" top="0.75" bottom="0.75" header="0.3" footer="0.3"/>
      <pageSetup paperSize="9" orientation="portrait" r:id="rId3"/>
    </customSheetView>
    <customSheetView guid="{C5360886-767B-4F33-B24F-A6512AA390CC}" scale="80" topLeftCell="AK1">
      <pane ySplit="4" topLeftCell="A5" activePane="bottomLeft" state="frozen"/>
      <selection pane="bottomLeft" activeCell="BM42" sqref="BM42"/>
      <pageMargins left="0.7" right="0.7" top="0.75" bottom="0.75" header="0.3" footer="0.3"/>
      <pageSetup paperSize="9" orientation="portrait" r:id="rId4"/>
    </customSheetView>
    <customSheetView guid="{9C777CA9-4E1C-4A90-9032-5D0586052FC8}" scale="80">
      <pane ySplit="4" topLeftCell="A5" activePane="bottomLeft" state="frozen"/>
      <selection pane="bottomLeft" activeCell="D5" sqref="D5"/>
      <pageMargins left="0.7" right="0.7" top="0.75" bottom="0.75" header="0.3" footer="0.3"/>
      <pageSetup paperSize="9" orientation="portrait" r:id="rId5"/>
    </customSheetView>
    <customSheetView guid="{FEBD343F-EB1E-4B3A-B093-25A74DB60DAB}" scale="80">
      <selection activeCell="D5" sqref="D5"/>
      <pageMargins left="0.7" right="0.7" top="0.75" bottom="0.75" header="0.3" footer="0.3"/>
      <pageSetup paperSize="9" orientation="portrait" r:id="rId6"/>
    </customSheetView>
    <customSheetView guid="{1D39CB39-D8E6-4DA4-ABBA-40E2E6F11928}" scale="80">
      <pane ySplit="3" topLeftCell="A5" activePane="bottomLeft" state="frozen"/>
      <selection pane="bottomLeft" activeCell="D5" sqref="D5"/>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AP24" sqref="AP24:AQ24"/>
      <pageMargins left="0.7" right="0.7" top="0.75" bottom="0.75" header="0.3" footer="0.3"/>
      <pageSetup paperSize="9" orientation="portrait" r:id="rId8"/>
    </customSheetView>
    <customSheetView guid="{03543009-41DE-4C7D-B8BE-69526021AF29}" scale="80">
      <pane ySplit="4" topLeftCell="A5" activePane="bottomLeft" state="frozen"/>
      <selection pane="bottomLeft" activeCell="D5" sqref="D5"/>
      <pageMargins left="0.7" right="0.7" top="0.75" bottom="0.75" header="0.3" footer="0.3"/>
      <pageSetup paperSize="9" orientation="portrait" r:id="rId9"/>
    </customSheetView>
    <customSheetView guid="{03CD1AFD-FDA7-4904-966E-FB90CD2C490F}" scale="80">
      <pane ySplit="2" topLeftCell="A4" activePane="bottomLeft" state="frozen"/>
      <selection pane="bottomLeft" activeCell="AB4" sqref="AB4:AC4"/>
      <pageMargins left="0.7" right="0.7" top="0.75" bottom="0.75" header="0.3" footer="0.3"/>
      <pageSetup paperSize="9" orientation="portrait" r:id="rId10"/>
    </customSheetView>
  </customSheetViews>
  <mergeCells count="235">
    <mergeCell ref="CA38:CB38"/>
    <mergeCell ref="BQ38:BR38"/>
    <mergeCell ref="BS38:BT38"/>
    <mergeCell ref="BU38:BV38"/>
    <mergeCell ref="BW38:BX38"/>
    <mergeCell ref="BY38:BZ38"/>
    <mergeCell ref="CE27:CE33"/>
    <mergeCell ref="CE34:CE35"/>
    <mergeCell ref="CC39:CE39"/>
    <mergeCell ref="BQ39:BR39"/>
    <mergeCell ref="BS39:BT39"/>
    <mergeCell ref="BU39:BV39"/>
    <mergeCell ref="BW39:BX39"/>
    <mergeCell ref="CC38:CE38"/>
    <mergeCell ref="BY39:BZ39"/>
    <mergeCell ref="CA39:CB39"/>
    <mergeCell ref="AT36:AV36"/>
    <mergeCell ref="AW36:AX36"/>
    <mergeCell ref="AT37:AV37"/>
    <mergeCell ref="AW37:AX37"/>
    <mergeCell ref="AY37:AZ37"/>
    <mergeCell ref="BA37:BB37"/>
    <mergeCell ref="BC37:BD37"/>
    <mergeCell ref="BE37:BF37"/>
    <mergeCell ref="AY36:AZ36"/>
    <mergeCell ref="BA36:BB36"/>
    <mergeCell ref="BC36:BD36"/>
    <mergeCell ref="BE36:BF36"/>
    <mergeCell ref="AW39:AX39"/>
    <mergeCell ref="AY39:AZ39"/>
    <mergeCell ref="BA39:BB39"/>
    <mergeCell ref="BC39:BD39"/>
    <mergeCell ref="BE39:BF39"/>
    <mergeCell ref="BG39:BH39"/>
    <mergeCell ref="BI39:BJ39"/>
    <mergeCell ref="BK39:BL39"/>
    <mergeCell ref="BO38:BP38"/>
    <mergeCell ref="AW38:AX38"/>
    <mergeCell ref="AY38:AZ38"/>
    <mergeCell ref="BA38:BB38"/>
    <mergeCell ref="BC38:BD38"/>
    <mergeCell ref="BE38:BF38"/>
    <mergeCell ref="BG38:BH38"/>
    <mergeCell ref="BI38:BJ38"/>
    <mergeCell ref="BK38:BL38"/>
    <mergeCell ref="BM38:BN38"/>
    <mergeCell ref="BM39:BN39"/>
    <mergeCell ref="BO39:BP39"/>
    <mergeCell ref="BG37:BH37"/>
    <mergeCell ref="BI37:BJ37"/>
    <mergeCell ref="BQ37:BR37"/>
    <mergeCell ref="BY36:BZ36"/>
    <mergeCell ref="CA36:CB36"/>
    <mergeCell ref="CC36:CE37"/>
    <mergeCell ref="BS37:BT37"/>
    <mergeCell ref="BU37:BV37"/>
    <mergeCell ref="BW37:BX37"/>
    <mergeCell ref="BY37:BZ37"/>
    <mergeCell ref="BG36:BH36"/>
    <mergeCell ref="BI36:BJ36"/>
    <mergeCell ref="BK36:BL36"/>
    <mergeCell ref="BM36:BN36"/>
    <mergeCell ref="BO36:BP36"/>
    <mergeCell ref="BQ36:BR36"/>
    <mergeCell ref="CA37:CB37"/>
    <mergeCell ref="BS36:BT36"/>
    <mergeCell ref="BU36:BV36"/>
    <mergeCell ref="BW36:BX36"/>
    <mergeCell ref="BK37:BL37"/>
    <mergeCell ref="BM37:BN37"/>
    <mergeCell ref="BO37:BP37"/>
    <mergeCell ref="CJ31:CK31"/>
    <mergeCell ref="AP32:AQ32"/>
    <mergeCell ref="CJ32:CK32"/>
    <mergeCell ref="AP33:AQ33"/>
    <mergeCell ref="CJ33:CK33"/>
    <mergeCell ref="AP35:AQ35"/>
    <mergeCell ref="CJ35:CK35"/>
    <mergeCell ref="AP26:AQ26"/>
    <mergeCell ref="CJ26:CK26"/>
    <mergeCell ref="CJ27:CK27"/>
    <mergeCell ref="CJ28:CK28"/>
    <mergeCell ref="CJ29:CK29"/>
    <mergeCell ref="CJ30:CK30"/>
    <mergeCell ref="AP31:AQ31"/>
    <mergeCell ref="CJ34:CK34"/>
    <mergeCell ref="AP27:AQ27"/>
    <mergeCell ref="AP28:AQ28"/>
    <mergeCell ref="AP29:AQ29"/>
    <mergeCell ref="AP30:AQ30"/>
    <mergeCell ref="AV20:AV26"/>
    <mergeCell ref="AV27:AV33"/>
    <mergeCell ref="AV34:AV35"/>
    <mergeCell ref="CE20:CE26"/>
    <mergeCell ref="CJ22:CK22"/>
    <mergeCell ref="AP23:AQ23"/>
    <mergeCell ref="CJ23:CK23"/>
    <mergeCell ref="CJ24:CK24"/>
    <mergeCell ref="AP25:AQ25"/>
    <mergeCell ref="CJ25:CK25"/>
    <mergeCell ref="AP18:AQ18"/>
    <mergeCell ref="CJ18:CK18"/>
    <mergeCell ref="AP15:AQ15"/>
    <mergeCell ref="AP16:AQ16"/>
    <mergeCell ref="AP19:AQ19"/>
    <mergeCell ref="CJ19:CK19"/>
    <mergeCell ref="AP20:AQ20"/>
    <mergeCell ref="CJ20:CK20"/>
    <mergeCell ref="AP21:AQ21"/>
    <mergeCell ref="CJ15:CK15"/>
    <mergeCell ref="CJ16:CK16"/>
    <mergeCell ref="AP17:AQ17"/>
    <mergeCell ref="CJ17:CK17"/>
    <mergeCell ref="CJ21:CK21"/>
    <mergeCell ref="CJ10:CK10"/>
    <mergeCell ref="AP11:AQ11"/>
    <mergeCell ref="CJ11:CK11"/>
    <mergeCell ref="CC1:CE4"/>
    <mergeCell ref="AP12:AQ12"/>
    <mergeCell ref="CJ12:CK12"/>
    <mergeCell ref="AP13:AQ13"/>
    <mergeCell ref="CJ13:CK13"/>
    <mergeCell ref="CJ5:CK5"/>
    <mergeCell ref="AP6:AQ6"/>
    <mergeCell ref="CJ6:CK6"/>
    <mergeCell ref="AP7:AQ7"/>
    <mergeCell ref="CJ7:CK7"/>
    <mergeCell ref="AP8:AQ8"/>
    <mergeCell ref="CJ8:CK8"/>
    <mergeCell ref="AP9:AQ9"/>
    <mergeCell ref="CJ9:CK9"/>
    <mergeCell ref="AV6:AV12"/>
    <mergeCell ref="AV13:AV19"/>
    <mergeCell ref="CE6:CE12"/>
    <mergeCell ref="CE13:CE19"/>
    <mergeCell ref="AP14:AQ14"/>
    <mergeCell ref="CJ14:CK14"/>
    <mergeCell ref="BW4:BX4"/>
    <mergeCell ref="BY4:BZ4"/>
    <mergeCell ref="CA4:CB4"/>
    <mergeCell ref="AP5:AQ5"/>
    <mergeCell ref="AP10:AQ10"/>
    <mergeCell ref="BG4:BH4"/>
    <mergeCell ref="BI4:BJ4"/>
    <mergeCell ref="BK4:BL4"/>
    <mergeCell ref="BM4:BN4"/>
    <mergeCell ref="BO4:BP4"/>
    <mergeCell ref="BQ4:BR4"/>
    <mergeCell ref="AW4:AX4"/>
    <mergeCell ref="AY4:AZ4"/>
    <mergeCell ref="BA4:BB4"/>
    <mergeCell ref="BC4:BD4"/>
    <mergeCell ref="BE4:BF4"/>
    <mergeCell ref="AT1:AV4"/>
    <mergeCell ref="AW1:CB1"/>
    <mergeCell ref="BO3:BP3"/>
    <mergeCell ref="CF2:CG3"/>
    <mergeCell ref="CH2:CI3"/>
    <mergeCell ref="CJ2:CK4"/>
    <mergeCell ref="AD3:AE3"/>
    <mergeCell ref="D3:E3"/>
    <mergeCell ref="F3:G3"/>
    <mergeCell ref="H3:I3"/>
    <mergeCell ref="J3:K3"/>
    <mergeCell ref="L3:M3"/>
    <mergeCell ref="N3:O3"/>
    <mergeCell ref="AP2:AQ4"/>
    <mergeCell ref="AR2:AS3"/>
    <mergeCell ref="AW2:BD2"/>
    <mergeCell ref="BE2:BL2"/>
    <mergeCell ref="BM2:BT2"/>
    <mergeCell ref="BU2:CB2"/>
    <mergeCell ref="AW3:AX3"/>
    <mergeCell ref="AY3:AZ3"/>
    <mergeCell ref="BA3:BB3"/>
    <mergeCell ref="BC3:BD3"/>
    <mergeCell ref="BW3:BX3"/>
    <mergeCell ref="BY3:BZ3"/>
    <mergeCell ref="CA3:CB3"/>
    <mergeCell ref="BE3:BF3"/>
    <mergeCell ref="D2:W2"/>
    <mergeCell ref="X2:Y2"/>
    <mergeCell ref="Z2:AA2"/>
    <mergeCell ref="AF2:AG2"/>
    <mergeCell ref="AH2:AO2"/>
    <mergeCell ref="BG3:BH3"/>
    <mergeCell ref="BI3:BJ3"/>
    <mergeCell ref="BK3:BL3"/>
    <mergeCell ref="BM3:BN3"/>
    <mergeCell ref="AF3:AG3"/>
    <mergeCell ref="AH3:AI3"/>
    <mergeCell ref="AD4:AE4"/>
    <mergeCell ref="D4:E4"/>
    <mergeCell ref="F4:G4"/>
    <mergeCell ref="H4:I4"/>
    <mergeCell ref="J4:K4"/>
    <mergeCell ref="L4:M4"/>
    <mergeCell ref="BQ3:BR3"/>
    <mergeCell ref="BS3:BT3"/>
    <mergeCell ref="BU3:BV3"/>
    <mergeCell ref="AJ3:AK3"/>
    <mergeCell ref="AL3:AM3"/>
    <mergeCell ref="BS4:BT4"/>
    <mergeCell ref="BU4:BV4"/>
    <mergeCell ref="AN4:AO4"/>
    <mergeCell ref="Z4:AA4"/>
    <mergeCell ref="AB4:AC4"/>
    <mergeCell ref="AF4:AG4"/>
    <mergeCell ref="AH4:AI4"/>
    <mergeCell ref="AJ4:AK4"/>
    <mergeCell ref="AL4:AM4"/>
    <mergeCell ref="AP34:AQ34"/>
    <mergeCell ref="AP22:AQ22"/>
    <mergeCell ref="AP24:AQ24"/>
    <mergeCell ref="C6:C12"/>
    <mergeCell ref="C13:C19"/>
    <mergeCell ref="C20:C26"/>
    <mergeCell ref="C27:C33"/>
    <mergeCell ref="C34:C35"/>
    <mergeCell ref="A1:C4"/>
    <mergeCell ref="D1:AS1"/>
    <mergeCell ref="AN3:AO3"/>
    <mergeCell ref="P3:Q3"/>
    <mergeCell ref="R3:S3"/>
    <mergeCell ref="T3:U3"/>
    <mergeCell ref="V3:W3"/>
    <mergeCell ref="X3:Y3"/>
    <mergeCell ref="Z3:AA3"/>
    <mergeCell ref="N4:O4"/>
    <mergeCell ref="P4:Q4"/>
    <mergeCell ref="R4:S4"/>
    <mergeCell ref="T4:U4"/>
    <mergeCell ref="V4:W4"/>
    <mergeCell ref="X4:Y4"/>
    <mergeCell ref="AB3:AC3"/>
  </mergeCells>
  <phoneticPr fontId="27" type="noConversion"/>
  <conditionalFormatting sqref="A1:C4 X2:AH2 AP2 AR2 D3:N3 AD3:AE24 D4:Q4 AR4:AS4 C5 AH5:AS11 D5:X13 A5:B35 D14:P15 R14:X15 D16:X35 AH17:AO17 AI18:AO18 AH19:AH20 AJ19:AQ20 AH21:AP22 AH23:AO23 AI24:AP25 AD25 AH26:AP31 AD26:AE35 AH32:AQ32 AH33:AS33 AH34:AP34 AR34:AS34 AH35:AS35">
    <cfRule type="cellIs" dxfId="5463" priority="1758" operator="equal">
      <formula>"כמ"</formula>
    </cfRule>
    <cfRule type="cellIs" dxfId="5462" priority="1759" operator="equal">
      <formula>"ק"</formula>
    </cfRule>
    <cfRule type="cellIs" dxfId="5461" priority="1760" operator="equal">
      <formula>"מ"</formula>
    </cfRule>
    <cfRule type="cellIs" dxfId="5460" priority="1765" operator="equal">
      <formula>"כ"</formula>
    </cfRule>
    <cfRule type="cellIs" dxfId="5459" priority="1761" operator="equal">
      <formula>"מנוחה"</formula>
    </cfRule>
    <cfRule type="cellIs" dxfId="5458" priority="1762" operator="equal">
      <formula>"מיל"</formula>
    </cfRule>
    <cfRule type="cellIs" dxfId="5457" priority="1764" operator="equal">
      <formula>"כש"</formula>
    </cfRule>
    <cfRule type="cellIs" dxfId="5456" priority="1754" operator="equal">
      <formula>"ל"</formula>
    </cfRule>
    <cfRule type="cellIs" dxfId="5455" priority="1757" operator="equal">
      <formula>"כמש"</formula>
    </cfRule>
    <cfRule type="cellIs" dxfId="5454" priority="1755" operator="equal">
      <formula>"י"</formula>
    </cfRule>
  </conditionalFormatting>
  <conditionalFormatting sqref="D3:N3 AD3:AE4 D4:S4">
    <cfRule type="cellIs" dxfId="5453" priority="1495" operator="equal">
      <formula>"ח"</formula>
    </cfRule>
  </conditionalFormatting>
  <conditionalFormatting sqref="P3:Q3">
    <cfRule type="cellIs" dxfId="5452" priority="1493" operator="equal">
      <formula>"מנוחה"</formula>
    </cfRule>
    <cfRule type="cellIs" dxfId="5451" priority="1492" operator="equal">
      <formula>"מ"</formula>
    </cfRule>
    <cfRule type="cellIs" dxfId="5450" priority="1491" operator="equal">
      <formula>"ק"</formula>
    </cfRule>
    <cfRule type="cellIs" dxfId="5449" priority="1490" operator="equal">
      <formula>"כמ"</formula>
    </cfRule>
    <cfRule type="cellIs" dxfId="5448" priority="1488" operator="equal">
      <formula>"י"</formula>
    </cfRule>
    <cfRule type="cellIs" dxfId="5447" priority="1487" operator="equal">
      <formula>"ל"</formula>
    </cfRule>
    <cfRule type="cellIs" dxfId="5446" priority="1494" operator="equal">
      <formula>"מיל"</formula>
    </cfRule>
    <cfRule type="cellIs" dxfId="5445" priority="1489" operator="equal">
      <formula>"כמש"</formula>
    </cfRule>
    <cfRule type="cellIs" dxfId="5444" priority="1497" operator="equal">
      <formula>"כ"</formula>
    </cfRule>
    <cfRule type="cellIs" dxfId="5443" priority="1496" operator="equal">
      <formula>"כש"</formula>
    </cfRule>
  </conditionalFormatting>
  <conditionalFormatting sqref="P3:W3">
    <cfRule type="cellIs" dxfId="5442" priority="1462" operator="equal">
      <formula>"ח"</formula>
    </cfRule>
  </conditionalFormatting>
  <conditionalFormatting sqref="R3:AO4">
    <cfRule type="cellIs" dxfId="5441" priority="1372" operator="equal">
      <formula>"מנוחה"</formula>
    </cfRule>
    <cfRule type="cellIs" dxfId="5440" priority="1367" operator="equal">
      <formula>"י"</formula>
    </cfRule>
    <cfRule type="cellIs" dxfId="5439" priority="1370" operator="equal">
      <formula>"ק"</formula>
    </cfRule>
    <cfRule type="cellIs" dxfId="5438" priority="1369" operator="equal">
      <formula>"כמ"</formula>
    </cfRule>
    <cfRule type="cellIs" dxfId="5437" priority="1368" operator="equal">
      <formula>"כמש"</formula>
    </cfRule>
    <cfRule type="cellIs" dxfId="5436" priority="1366" operator="equal">
      <formula>"ל"</formula>
    </cfRule>
    <cfRule type="cellIs" dxfId="5435" priority="1371" operator="equal">
      <formula>"מ"</formula>
    </cfRule>
    <cfRule type="cellIs" dxfId="5434" priority="1376" operator="equal">
      <formula>"כ"</formula>
    </cfRule>
    <cfRule type="cellIs" dxfId="5433" priority="1375" operator="equal">
      <formula>"כש"</formula>
    </cfRule>
    <cfRule type="cellIs" dxfId="5432" priority="1373" operator="equal">
      <formula>"מיל"</formula>
    </cfRule>
  </conditionalFormatting>
  <conditionalFormatting sqref="T4:W4">
    <cfRule type="cellIs" dxfId="5431" priority="1396" operator="equal">
      <formula>"ח"</formula>
    </cfRule>
  </conditionalFormatting>
  <conditionalFormatting sqref="X4:Y4">
    <cfRule type="cellIs" dxfId="5430" priority="1506" operator="equal">
      <formula>"ח"</formula>
    </cfRule>
  </conditionalFormatting>
  <conditionalFormatting sqref="Y5:AG35">
    <cfRule type="cellIs" dxfId="5429" priority="1322" operator="equal">
      <formula>"ל"</formula>
    </cfRule>
    <cfRule type="cellIs" dxfId="5428" priority="1324" operator="equal">
      <formula>"כמש"</formula>
    </cfRule>
    <cfRule type="cellIs" dxfId="5427" priority="1325" operator="equal">
      <formula>"כמ"</formula>
    </cfRule>
    <cfRule type="cellIs" dxfId="5426" priority="1326" operator="equal">
      <formula>"ק"</formula>
    </cfRule>
    <cfRule type="cellIs" dxfId="5425" priority="1328" operator="equal">
      <formula>"מנוחה"</formula>
    </cfRule>
    <cfRule type="cellIs" dxfId="5424" priority="1332" operator="equal">
      <formula>"כ"</formula>
    </cfRule>
    <cfRule type="cellIs" dxfId="5423" priority="1331" operator="equal">
      <formula>"כש"</formula>
    </cfRule>
    <cfRule type="cellIs" dxfId="5422" priority="1330" operator="equal">
      <formula>"ח"</formula>
    </cfRule>
    <cfRule type="cellIs" dxfId="5421" priority="1329" operator="equal">
      <formula>"מיל"</formula>
    </cfRule>
    <cfRule type="cellIs" dxfId="5420" priority="1323" operator="equal">
      <formula>"י"</formula>
    </cfRule>
    <cfRule type="cellIs" dxfId="5419" priority="1327" operator="equal">
      <formula>"מ"</formula>
    </cfRule>
  </conditionalFormatting>
  <conditionalFormatting sqref="AH12:AP16 AR12:AS32">
    <cfRule type="cellIs" dxfId="5418" priority="1742" operator="equal">
      <formula>"ל"</formula>
    </cfRule>
    <cfRule type="cellIs" dxfId="5417" priority="1743" operator="equal">
      <formula>"י"</formula>
    </cfRule>
    <cfRule type="cellIs" dxfId="5416" priority="1745" operator="equal">
      <formula>"כמש"</formula>
    </cfRule>
    <cfRule type="cellIs" dxfId="5415" priority="1746" operator="equal">
      <formula>"כמ"</formula>
    </cfRule>
    <cfRule type="cellIs" dxfId="5414" priority="1747" operator="equal">
      <formula>"ק"</formula>
    </cfRule>
    <cfRule type="cellIs" dxfId="5413" priority="1748" operator="equal">
      <formula>"מ"</formula>
    </cfRule>
    <cfRule type="cellIs" dxfId="5412" priority="1750" operator="equal">
      <formula>"מיל"</formula>
    </cfRule>
    <cfRule type="cellIs" dxfId="5411" priority="1752" operator="equal">
      <formula>"כש"</formula>
    </cfRule>
    <cfRule type="cellIs" dxfId="5410" priority="1753" operator="equal">
      <formula>"כ"</formula>
    </cfRule>
    <cfRule type="cellIs" dxfId="5409" priority="1749" operator="equal">
      <formula>"מנוחה"</formula>
    </cfRule>
  </conditionalFormatting>
  <conditionalFormatting sqref="AL4:AO4">
    <cfRule type="cellIs" dxfId="5408" priority="1374" operator="equal">
      <formula>"ח"</formula>
    </cfRule>
  </conditionalFormatting>
  <conditionalFormatting sqref="AP14:AP16 AR14:AS17">
    <cfRule type="cellIs" dxfId="5407" priority="1751" operator="equal">
      <formula>"ח"</formula>
    </cfRule>
  </conditionalFormatting>
  <conditionalFormatting sqref="AP17:AQ18">
    <cfRule type="cellIs" dxfId="5406" priority="1740" operator="equal">
      <formula>"כש"</formula>
    </cfRule>
    <cfRule type="cellIs" dxfId="5405" priority="1738" operator="equal">
      <formula>"מיל"</formula>
    </cfRule>
    <cfRule type="cellIs" dxfId="5404" priority="1737" operator="equal">
      <formula>"מנוחה"</formula>
    </cfRule>
    <cfRule type="cellIs" dxfId="5403" priority="1736" operator="equal">
      <formula>"מ"</formula>
    </cfRule>
    <cfRule type="cellIs" dxfId="5402" priority="1735" operator="equal">
      <formula>"ק"</formula>
    </cfRule>
    <cfRule type="cellIs" dxfId="5401" priority="1734" operator="equal">
      <formula>"כמ"</formula>
    </cfRule>
    <cfRule type="cellIs" dxfId="5400" priority="1733" operator="equal">
      <formula>"כמש"</formula>
    </cfRule>
    <cfRule type="cellIs" dxfId="5399" priority="1732" operator="equal">
      <formula>"י"</formula>
    </cfRule>
    <cfRule type="cellIs" dxfId="5398" priority="1731" operator="equal">
      <formula>"ל"</formula>
    </cfRule>
    <cfRule type="cellIs" dxfId="5397" priority="1739" operator="equal">
      <formula>"ח"</formula>
    </cfRule>
    <cfRule type="cellIs" dxfId="5396" priority="1741" operator="equal">
      <formula>"כ"</formula>
    </cfRule>
  </conditionalFormatting>
  <conditionalFormatting sqref="AT1:AV4">
    <cfRule type="cellIs" dxfId="5395" priority="1357" operator="equal">
      <formula>"כמש"</formula>
    </cfRule>
    <cfRule type="cellIs" dxfId="5394" priority="1363" operator="equal">
      <formula>"ח"</formula>
    </cfRule>
    <cfRule type="cellIs" dxfId="5393" priority="1362" operator="equal">
      <formula>"מיל"</formula>
    </cfRule>
    <cfRule type="cellIs" dxfId="5392" priority="1361" operator="equal">
      <formula>"מנוחה"</formula>
    </cfRule>
    <cfRule type="cellIs" dxfId="5391" priority="1360" operator="equal">
      <formula>"מ"</formula>
    </cfRule>
    <cfRule type="cellIs" dxfId="5390" priority="1359" operator="equal">
      <formula>"ק"</formula>
    </cfRule>
    <cfRule type="cellIs" dxfId="5389" priority="1358" operator="equal">
      <formula>"כמ"</formula>
    </cfRule>
    <cfRule type="cellIs" dxfId="5388" priority="1364" operator="equal">
      <formula>"כש"</formula>
    </cfRule>
    <cfRule type="cellIs" dxfId="5387" priority="1365" operator="equal">
      <formula>"כ"</formula>
    </cfRule>
    <cfRule type="cellIs" dxfId="5386" priority="1356" operator="equal">
      <formula>"י"</formula>
    </cfRule>
    <cfRule type="cellIs" dxfId="5385" priority="1355" operator="equal">
      <formula>"ל"</formula>
    </cfRule>
  </conditionalFormatting>
  <conditionalFormatting sqref="AV5 AT5:AU35">
    <cfRule type="cellIs" dxfId="5384" priority="1311" operator="equal">
      <formula>"ל"</formula>
    </cfRule>
    <cfRule type="cellIs" dxfId="5383" priority="1321" operator="equal">
      <formula>"כ"</formula>
    </cfRule>
    <cfRule type="cellIs" dxfId="5382" priority="1320" operator="equal">
      <formula>"כש"</formula>
    </cfRule>
    <cfRule type="cellIs" dxfId="5381" priority="1319" operator="equal">
      <formula>"ח"</formula>
    </cfRule>
    <cfRule type="cellIs" dxfId="5380" priority="1318" operator="equal">
      <formula>"מיל"</formula>
    </cfRule>
    <cfRule type="cellIs" dxfId="5379" priority="1317" operator="equal">
      <formula>"מנוחה"</formula>
    </cfRule>
    <cfRule type="cellIs" dxfId="5378" priority="1316" operator="equal">
      <formula>"מ"</formula>
    </cfRule>
    <cfRule type="cellIs" dxfId="5377" priority="1315" operator="equal">
      <formula>"ק"</formula>
    </cfRule>
    <cfRule type="cellIs" dxfId="5376" priority="1314" operator="equal">
      <formula>"כמ"</formula>
    </cfRule>
    <cfRule type="cellIs" dxfId="5375" priority="1313" operator="equal">
      <formula>"כמש"</formula>
    </cfRule>
    <cfRule type="cellIs" dxfId="5374" priority="1312" operator="equal">
      <formula>"י"</formula>
    </cfRule>
  </conditionalFormatting>
  <conditionalFormatting sqref="AW39 AY39 BA39 BC39 BE39 BG39 BI39 BK39 BM39 BO39 BQ39 BS39 BU39 BW39 BY39 CA39:CB39">
    <cfRule type="cellIs" dxfId="5373" priority="1509" operator="lessThan">
      <formula>$CE$39</formula>
    </cfRule>
    <cfRule type="cellIs" dxfId="5372" priority="1510" operator="greaterThan">
      <formula>$CE$39</formula>
    </cfRule>
  </conditionalFormatting>
  <conditionalFormatting sqref="AW5:BL33 AW34:BD34">
    <cfRule type="cellIs" dxfId="5371" priority="1619" operator="equal">
      <formula>"כש"</formula>
    </cfRule>
    <cfRule type="cellIs" dxfId="5370" priority="1620" operator="equal">
      <formula>"כ"</formula>
    </cfRule>
  </conditionalFormatting>
  <conditionalFormatting sqref="AW35:BL35">
    <cfRule type="cellIs" dxfId="5369" priority="21" operator="equal">
      <formula>"כ"</formula>
    </cfRule>
    <cfRule type="cellIs" dxfId="5368" priority="20" operator="equal">
      <formula>"כש"</formula>
    </cfRule>
  </conditionalFormatting>
  <conditionalFormatting sqref="AW2:CB2 AW3:AZ3 BE3:BO3 AW4:AY4 BE4 BG4 BI4 BK4:BM4 BO4 BS4:BU4 BW4 BY4 CA4">
    <cfRule type="cellIs" dxfId="5367" priority="1422" operator="equal">
      <formula>"י"</formula>
    </cfRule>
    <cfRule type="cellIs" dxfId="5366" priority="1421" operator="equal">
      <formula>"ל"</formula>
    </cfRule>
    <cfRule type="cellIs" dxfId="5365" priority="1428" operator="equal">
      <formula>"מיל"</formula>
    </cfRule>
    <cfRule type="cellIs" dxfId="5364" priority="1423" operator="equal">
      <formula>"כמש"</formula>
    </cfRule>
    <cfRule type="cellIs" dxfId="5363" priority="1424" operator="equal">
      <formula>"כמ"</formula>
    </cfRule>
    <cfRule type="cellIs" dxfId="5362" priority="1431" operator="equal">
      <formula>"כ"</formula>
    </cfRule>
    <cfRule type="cellIs" dxfId="5361" priority="1430" operator="equal">
      <formula>"כש"</formula>
    </cfRule>
    <cfRule type="cellIs" dxfId="5360" priority="1429" operator="equal">
      <formula>"ח"</formula>
    </cfRule>
    <cfRule type="cellIs" dxfId="5359" priority="1427" operator="equal">
      <formula>"מנוחה"</formula>
    </cfRule>
    <cfRule type="cellIs" dxfId="5358" priority="1426" operator="equal">
      <formula>"מ"</formula>
    </cfRule>
    <cfRule type="cellIs" dxfId="5357" priority="1425" operator="equal">
      <formula>"ק"</formula>
    </cfRule>
  </conditionalFormatting>
  <conditionalFormatting sqref="AW5:CD33 BF34:CD34 AW35:CD35 CE5 AW34:BD34">
    <cfRule type="cellIs" dxfId="5356" priority="1306" operator="equal">
      <formula>"מנוחה"</formula>
    </cfRule>
    <cfRule type="cellIs" dxfId="5355" priority="1305" operator="equal">
      <formula>"מ"</formula>
    </cfRule>
    <cfRule type="cellIs" dxfId="5354" priority="1304" operator="equal">
      <formula>"ק"</formula>
    </cfRule>
    <cfRule type="cellIs" dxfId="5353" priority="1303" operator="equal">
      <formula>"כמ"</formula>
    </cfRule>
    <cfRule type="cellIs" dxfId="5352" priority="1302" operator="equal">
      <formula>"כמש"</formula>
    </cfRule>
    <cfRule type="cellIs" dxfId="5351" priority="1301" operator="equal">
      <formula>"י"</formula>
    </cfRule>
    <cfRule type="cellIs" dxfId="5350" priority="1300" operator="equal">
      <formula>"ל"</formula>
    </cfRule>
    <cfRule type="cellIs" dxfId="5349" priority="1307" operator="equal">
      <formula>"מיל"</formula>
    </cfRule>
  </conditionalFormatting>
  <conditionalFormatting sqref="AX5:AX35">
    <cfRule type="cellIs" dxfId="5348" priority="1706" operator="equal">
      <formula>"ח"</formula>
    </cfRule>
  </conditionalFormatting>
  <conditionalFormatting sqref="AX7">
    <cfRule type="cellIs" dxfId="5347" priority="528" stopIfTrue="1" operator="equal">
      <formula>"ח"</formula>
    </cfRule>
  </conditionalFormatting>
  <conditionalFormatting sqref="AX8">
    <cfRule type="cellIs" dxfId="5346" priority="505" operator="equal">
      <formula>"כש"</formula>
    </cfRule>
    <cfRule type="cellIs" dxfId="5345" priority="506" operator="equal">
      <formula>"כ"</formula>
    </cfRule>
    <cfRule type="cellIs" dxfId="5344" priority="503" operator="equal">
      <formula>"ח"</formula>
    </cfRule>
  </conditionalFormatting>
  <conditionalFormatting sqref="AX11">
    <cfRule type="cellIs" dxfId="5343" priority="488" stopIfTrue="1" operator="equal">
      <formula>"ח"</formula>
    </cfRule>
  </conditionalFormatting>
  <conditionalFormatting sqref="AX12">
    <cfRule type="cellIs" dxfId="5342" priority="466" operator="equal">
      <formula>"כ"</formula>
    </cfRule>
    <cfRule type="cellIs" dxfId="5341" priority="465" operator="equal">
      <formula>"כש"</formula>
    </cfRule>
    <cfRule type="cellIs" dxfId="5340" priority="463" operator="equal">
      <formula>"ח"</formula>
    </cfRule>
  </conditionalFormatting>
  <conditionalFormatting sqref="AX15">
    <cfRule type="cellIs" dxfId="5339" priority="448" stopIfTrue="1" operator="equal">
      <formula>"ח"</formula>
    </cfRule>
  </conditionalFormatting>
  <conditionalFormatting sqref="AX16">
    <cfRule type="cellIs" dxfId="5338" priority="426" operator="equal">
      <formula>"כ"</formula>
    </cfRule>
    <cfRule type="cellIs" dxfId="5337" priority="425" operator="equal">
      <formula>"כש"</formula>
    </cfRule>
    <cfRule type="cellIs" dxfId="5336" priority="423" operator="equal">
      <formula>"ח"</formula>
    </cfRule>
  </conditionalFormatting>
  <conditionalFormatting sqref="AX19">
    <cfRule type="cellIs" dxfId="5335" priority="408" stopIfTrue="1" operator="equal">
      <formula>"ח"</formula>
    </cfRule>
  </conditionalFormatting>
  <conditionalFormatting sqref="AX20">
    <cfRule type="cellIs" dxfId="5334" priority="383" operator="equal">
      <formula>"ח"</formula>
    </cfRule>
    <cfRule type="cellIs" dxfId="5333" priority="385" operator="equal">
      <formula>"כש"</formula>
    </cfRule>
    <cfRule type="cellIs" dxfId="5332" priority="386" operator="equal">
      <formula>"כ"</formula>
    </cfRule>
  </conditionalFormatting>
  <conditionalFormatting sqref="AX23">
    <cfRule type="cellIs" dxfId="5331" priority="368" stopIfTrue="1" operator="equal">
      <formula>"ח"</formula>
    </cfRule>
  </conditionalFormatting>
  <conditionalFormatting sqref="AX24">
    <cfRule type="cellIs" dxfId="5330" priority="346" operator="equal">
      <formula>"כ"</formula>
    </cfRule>
    <cfRule type="cellIs" dxfId="5329" priority="345" operator="equal">
      <formula>"כש"</formula>
    </cfRule>
    <cfRule type="cellIs" dxfId="5328" priority="343" operator="equal">
      <formula>"ח"</formula>
    </cfRule>
  </conditionalFormatting>
  <conditionalFormatting sqref="AX27">
    <cfRule type="cellIs" dxfId="5327" priority="321" stopIfTrue="1" operator="equal">
      <formula>"ח"</formula>
    </cfRule>
  </conditionalFormatting>
  <conditionalFormatting sqref="AX28">
    <cfRule type="cellIs" dxfId="5326" priority="296" operator="equal">
      <formula>"ח"</formula>
    </cfRule>
    <cfRule type="cellIs" dxfId="5325" priority="298" operator="equal">
      <formula>"כש"</formula>
    </cfRule>
    <cfRule type="cellIs" dxfId="5324" priority="299" operator="equal">
      <formula>"כ"</formula>
    </cfRule>
  </conditionalFormatting>
  <conditionalFormatting sqref="AX31">
    <cfRule type="cellIs" dxfId="5323" priority="274" stopIfTrue="1" operator="equal">
      <formula>"ח"</formula>
    </cfRule>
  </conditionalFormatting>
  <conditionalFormatting sqref="AX32">
    <cfRule type="cellIs" dxfId="5322" priority="249" operator="equal">
      <formula>"ח"</formula>
    </cfRule>
    <cfRule type="cellIs" dxfId="5321" priority="252" operator="equal">
      <formula>"כ"</formula>
    </cfRule>
    <cfRule type="cellIs" dxfId="5320" priority="251" operator="equal">
      <formula>"כש"</formula>
    </cfRule>
  </conditionalFormatting>
  <conditionalFormatting sqref="AX35">
    <cfRule type="cellIs" dxfId="5319" priority="19" stopIfTrue="1" operator="equal">
      <formula>"ח"</formula>
    </cfRule>
  </conditionalFormatting>
  <conditionalFormatting sqref="AX6:AY24 AX27:AY28 AX31:AY32 AX35:AY35 BF7:BG25 BF28:BG29 BF32:BG33 BF34 X3:AO3 Z4:AK4 BM6:BO35 BU5:BW35 A1:C4 X2:AH2 AP2 AR2 AR4:AS4 C5 BM5 BO5 AH5:AS11 D5:X13 AD5:AE24 BE5:BE33 A5:B35 AW5:AW35 AY5:AY35 BA5:BA35 BC5:BC35 BG5:BG35 BI5:BI35 BK5:BK35 BQ5:BQ35 BS5:BS35 BY5:BY35 CA5:CA35 AP12:AP13 AR12:AS13 AH12:AO17 D14:P15 R14:X15 D16:X35 AI18:AO18 AR18:AS32 AH19:AH20 AJ19:AQ20 AH21:AP22 AH23:AO23 AI24:AP25 AD25 AH26:AP31 AD26:AE35 AH32:AQ32 AH33:AS33 AH34:AP34 AR34:AS34 AH35:AS35 BE35">
    <cfRule type="cellIs" dxfId="5318" priority="1763" operator="equal">
      <formula>"ח"</formula>
    </cfRule>
  </conditionalFormatting>
  <conditionalFormatting sqref="AX11:AY12">
    <cfRule type="cellIs" dxfId="5317" priority="489" operator="equal">
      <formula>"כש"</formula>
    </cfRule>
    <cfRule type="cellIs" dxfId="5316" priority="490" operator="equal">
      <formula>"כ"</formula>
    </cfRule>
  </conditionalFormatting>
  <conditionalFormatting sqref="AX15:AY16">
    <cfRule type="cellIs" dxfId="5315" priority="450" operator="equal">
      <formula>"כ"</formula>
    </cfRule>
    <cfRule type="cellIs" dxfId="5314" priority="449" operator="equal">
      <formula>"כש"</formula>
    </cfRule>
  </conditionalFormatting>
  <conditionalFormatting sqref="AX19:AY20">
    <cfRule type="cellIs" dxfId="5313" priority="410" operator="equal">
      <formula>"כ"</formula>
    </cfRule>
    <cfRule type="cellIs" dxfId="5312" priority="409" operator="equal">
      <formula>"כש"</formula>
    </cfRule>
  </conditionalFormatting>
  <conditionalFormatting sqref="AX23:AY24">
    <cfRule type="cellIs" dxfId="5311" priority="369" operator="equal">
      <formula>"כש"</formula>
    </cfRule>
    <cfRule type="cellIs" dxfId="5310" priority="370" operator="equal">
      <formula>"כ"</formula>
    </cfRule>
  </conditionalFormatting>
  <conditionalFormatting sqref="AX6:BD24">
    <cfRule type="cellIs" dxfId="5309" priority="529" operator="equal">
      <formula>"כש"</formula>
    </cfRule>
    <cfRule type="cellIs" dxfId="5308" priority="530" operator="equal">
      <formula>"כ"</formula>
    </cfRule>
  </conditionalFormatting>
  <conditionalFormatting sqref="AX27:BD28">
    <cfRule type="cellIs" dxfId="5307" priority="322" operator="equal">
      <formula>"כש"</formula>
    </cfRule>
    <cfRule type="cellIs" dxfId="5306" priority="323" operator="equal">
      <formula>"כ"</formula>
    </cfRule>
  </conditionalFormatting>
  <conditionalFormatting sqref="AX31:BD32">
    <cfRule type="cellIs" dxfId="5305" priority="276" operator="equal">
      <formula>"כ"</formula>
    </cfRule>
    <cfRule type="cellIs" dxfId="5304" priority="275" operator="equal">
      <formula>"כש"</formula>
    </cfRule>
  </conditionalFormatting>
  <conditionalFormatting sqref="AZ5:AZ35">
    <cfRule type="cellIs" dxfId="5303" priority="1673" operator="equal">
      <formula>"ח"</formula>
    </cfRule>
  </conditionalFormatting>
  <conditionalFormatting sqref="AZ6:AZ24">
    <cfRule type="cellIs" dxfId="5302" priority="527" operator="equal">
      <formula>"ח"</formula>
    </cfRule>
  </conditionalFormatting>
  <conditionalFormatting sqref="AZ7">
    <cfRule type="cellIs" dxfId="5301" priority="524" stopIfTrue="1" operator="equal">
      <formula>"ח"</formula>
    </cfRule>
    <cfRule type="cellIs" dxfId="5300" priority="513" stopIfTrue="1" operator="equal">
      <formula>"ח"</formula>
    </cfRule>
    <cfRule type="cellIs" dxfId="5299" priority="515" operator="equal">
      <formula>"כ"</formula>
    </cfRule>
    <cfRule type="cellIs" dxfId="5298" priority="514" operator="equal">
      <formula>"כש"</formula>
    </cfRule>
  </conditionalFormatting>
  <conditionalFormatting sqref="AZ8">
    <cfRule type="cellIs" dxfId="5297" priority="501" operator="equal">
      <formula>"כש"</formula>
    </cfRule>
    <cfRule type="cellIs" dxfId="5296" priority="499" operator="equal">
      <formula>"ח"</formula>
    </cfRule>
    <cfRule type="cellIs" dxfId="5295" priority="502" operator="equal">
      <formula>"כ"</formula>
    </cfRule>
  </conditionalFormatting>
  <conditionalFormatting sqref="AZ11">
    <cfRule type="cellIs" dxfId="5294" priority="474" operator="equal">
      <formula>"כש"</formula>
    </cfRule>
    <cfRule type="cellIs" dxfId="5293" priority="475" operator="equal">
      <formula>"כ"</formula>
    </cfRule>
    <cfRule type="cellIs" dxfId="5292" priority="484" stopIfTrue="1" operator="equal">
      <formula>"ח"</formula>
    </cfRule>
    <cfRule type="cellIs" dxfId="5291" priority="473" stopIfTrue="1" operator="equal">
      <formula>"ח"</formula>
    </cfRule>
  </conditionalFormatting>
  <conditionalFormatting sqref="AZ12">
    <cfRule type="cellIs" dxfId="5290" priority="487" operator="equal">
      <formula>"ח"</formula>
    </cfRule>
    <cfRule type="cellIs" dxfId="5289" priority="459" operator="equal">
      <formula>"ח"</formula>
    </cfRule>
    <cfRule type="cellIs" dxfId="5288" priority="461" operator="equal">
      <formula>"כש"</formula>
    </cfRule>
    <cfRule type="cellIs" dxfId="5287" priority="462" operator="equal">
      <formula>"כ"</formula>
    </cfRule>
  </conditionalFormatting>
  <conditionalFormatting sqref="AZ15">
    <cfRule type="cellIs" dxfId="5286" priority="434" operator="equal">
      <formula>"כש"</formula>
    </cfRule>
    <cfRule type="cellIs" dxfId="5285" priority="444" stopIfTrue="1" operator="equal">
      <formula>"ח"</formula>
    </cfRule>
    <cfRule type="cellIs" dxfId="5284" priority="435" operator="equal">
      <formula>"כ"</formula>
    </cfRule>
    <cfRule type="cellIs" dxfId="5283" priority="433" stopIfTrue="1" operator="equal">
      <formula>"ח"</formula>
    </cfRule>
  </conditionalFormatting>
  <conditionalFormatting sqref="AZ16">
    <cfRule type="cellIs" dxfId="5282" priority="419" operator="equal">
      <formula>"ח"</formula>
    </cfRule>
    <cfRule type="cellIs" dxfId="5281" priority="447" operator="equal">
      <formula>"ח"</formula>
    </cfRule>
    <cfRule type="cellIs" dxfId="5280" priority="422" operator="equal">
      <formula>"כ"</formula>
    </cfRule>
    <cfRule type="cellIs" dxfId="5279" priority="421" operator="equal">
      <formula>"כש"</formula>
    </cfRule>
  </conditionalFormatting>
  <conditionalFormatting sqref="AZ19">
    <cfRule type="cellIs" dxfId="5278" priority="394" operator="equal">
      <formula>"כש"</formula>
    </cfRule>
    <cfRule type="cellIs" dxfId="5277" priority="393" stopIfTrue="1" operator="equal">
      <formula>"ח"</formula>
    </cfRule>
    <cfRule type="cellIs" dxfId="5276" priority="395" operator="equal">
      <formula>"כ"</formula>
    </cfRule>
    <cfRule type="cellIs" dxfId="5275" priority="404" stopIfTrue="1" operator="equal">
      <formula>"ח"</formula>
    </cfRule>
  </conditionalFormatting>
  <conditionalFormatting sqref="AZ20">
    <cfRule type="cellIs" dxfId="5274" priority="407" operator="equal">
      <formula>"ח"</formula>
    </cfRule>
    <cfRule type="cellIs" dxfId="5273" priority="381" operator="equal">
      <formula>"כש"</formula>
    </cfRule>
    <cfRule type="cellIs" dxfId="5272" priority="382" operator="equal">
      <formula>"כ"</formula>
    </cfRule>
    <cfRule type="cellIs" dxfId="5271" priority="379" operator="equal">
      <formula>"ח"</formula>
    </cfRule>
  </conditionalFormatting>
  <conditionalFormatting sqref="AZ23">
    <cfRule type="cellIs" dxfId="5270" priority="364" stopIfTrue="1" operator="equal">
      <formula>"ח"</formula>
    </cfRule>
    <cfRule type="cellIs" dxfId="5269" priority="353" stopIfTrue="1" operator="equal">
      <formula>"ח"</formula>
    </cfRule>
    <cfRule type="cellIs" dxfId="5268" priority="354" operator="equal">
      <formula>"כש"</formula>
    </cfRule>
    <cfRule type="cellIs" dxfId="5267" priority="355" operator="equal">
      <formula>"כ"</formula>
    </cfRule>
  </conditionalFormatting>
  <conditionalFormatting sqref="AZ24">
    <cfRule type="cellIs" dxfId="5266" priority="339" operator="equal">
      <formula>"ח"</formula>
    </cfRule>
    <cfRule type="cellIs" dxfId="5265" priority="341" operator="equal">
      <formula>"כש"</formula>
    </cfRule>
    <cfRule type="cellIs" dxfId="5264" priority="342" operator="equal">
      <formula>"כ"</formula>
    </cfRule>
    <cfRule type="cellIs" dxfId="5263" priority="367" operator="equal">
      <formula>"ח"</formula>
    </cfRule>
  </conditionalFormatting>
  <conditionalFormatting sqref="AZ27">
    <cfRule type="cellIs" dxfId="5262" priority="307" operator="equal">
      <formula>"כש"</formula>
    </cfRule>
    <cfRule type="cellIs" dxfId="5261" priority="317" stopIfTrue="1" operator="equal">
      <formula>"ח"</formula>
    </cfRule>
    <cfRule type="cellIs" dxfId="5260" priority="308" operator="equal">
      <formula>"כ"</formula>
    </cfRule>
    <cfRule type="cellIs" dxfId="5259" priority="306" stopIfTrue="1" operator="equal">
      <formula>"ח"</formula>
    </cfRule>
  </conditionalFormatting>
  <conditionalFormatting sqref="AZ27:AZ28">
    <cfRule type="cellIs" dxfId="5258" priority="320" operator="equal">
      <formula>"ח"</formula>
    </cfRule>
  </conditionalFormatting>
  <conditionalFormatting sqref="AZ28">
    <cfRule type="cellIs" dxfId="5257" priority="295" operator="equal">
      <formula>"כ"</formula>
    </cfRule>
    <cfRule type="cellIs" dxfId="5256" priority="294" operator="equal">
      <formula>"כש"</formula>
    </cfRule>
    <cfRule type="cellIs" dxfId="5255" priority="292" operator="equal">
      <formula>"ח"</formula>
    </cfRule>
  </conditionalFormatting>
  <conditionalFormatting sqref="AZ31">
    <cfRule type="cellIs" dxfId="5254" priority="260" operator="equal">
      <formula>"כש"</formula>
    </cfRule>
    <cfRule type="cellIs" dxfId="5253" priority="259" stopIfTrue="1" operator="equal">
      <formula>"ח"</formula>
    </cfRule>
    <cfRule type="cellIs" dxfId="5252" priority="261" operator="equal">
      <formula>"כ"</formula>
    </cfRule>
    <cfRule type="cellIs" dxfId="5251" priority="270" stopIfTrue="1" operator="equal">
      <formula>"ח"</formula>
    </cfRule>
  </conditionalFormatting>
  <conditionalFormatting sqref="AZ31:AZ32">
    <cfRule type="cellIs" dxfId="5250" priority="273" operator="equal">
      <formula>"ח"</formula>
    </cfRule>
  </conditionalFormatting>
  <conditionalFormatting sqref="AZ32">
    <cfRule type="cellIs" dxfId="5249" priority="245" operator="equal">
      <formula>"ח"</formula>
    </cfRule>
    <cfRule type="cellIs" dxfId="5248" priority="248" operator="equal">
      <formula>"כ"</formula>
    </cfRule>
    <cfRule type="cellIs" dxfId="5247" priority="247" operator="equal">
      <formula>"כש"</formula>
    </cfRule>
  </conditionalFormatting>
  <conditionalFormatting sqref="AZ35">
    <cfRule type="cellIs" dxfId="5246" priority="26" operator="equal">
      <formula>"ח"</formula>
    </cfRule>
    <cfRule type="cellIs" dxfId="5245" priority="16" stopIfTrue="1" operator="equal">
      <formula>"ח"</formula>
    </cfRule>
    <cfRule type="cellIs" dxfId="5244" priority="9" operator="equal">
      <formula>"כ"</formula>
    </cfRule>
    <cfRule type="cellIs" dxfId="5243" priority="8" operator="equal">
      <formula>"כש"</formula>
    </cfRule>
    <cfRule type="cellIs" dxfId="5242" priority="7" stopIfTrue="1" operator="equal">
      <formula>"ח"</formula>
    </cfRule>
  </conditionalFormatting>
  <conditionalFormatting sqref="AZ7:BA8">
    <cfRule type="cellIs" dxfId="5241" priority="525" operator="equal">
      <formula>"כש"</formula>
    </cfRule>
    <cfRule type="cellIs" dxfId="5240" priority="526" operator="equal">
      <formula>"כ"</formula>
    </cfRule>
  </conditionalFormatting>
  <conditionalFormatting sqref="AZ11:BA12">
    <cfRule type="cellIs" dxfId="5239" priority="486" operator="equal">
      <formula>"כ"</formula>
    </cfRule>
    <cfRule type="cellIs" dxfId="5238" priority="485" operator="equal">
      <formula>"כש"</formula>
    </cfRule>
  </conditionalFormatting>
  <conditionalFormatting sqref="AZ15:BA16">
    <cfRule type="cellIs" dxfId="5237" priority="446" operator="equal">
      <formula>"כ"</formula>
    </cfRule>
    <cfRule type="cellIs" dxfId="5236" priority="445" operator="equal">
      <formula>"כש"</formula>
    </cfRule>
  </conditionalFormatting>
  <conditionalFormatting sqref="AZ19:BA20">
    <cfRule type="cellIs" dxfId="5235" priority="406" operator="equal">
      <formula>"כ"</formula>
    </cfRule>
    <cfRule type="cellIs" dxfId="5234" priority="405" operator="equal">
      <formula>"כש"</formula>
    </cfRule>
  </conditionalFormatting>
  <conditionalFormatting sqref="AZ23:BA24">
    <cfRule type="cellIs" dxfId="5233" priority="365" operator="equal">
      <formula>"כש"</formula>
    </cfRule>
    <cfRule type="cellIs" dxfId="5232" priority="366" operator="equal">
      <formula>"כ"</formula>
    </cfRule>
  </conditionalFormatting>
  <conditionalFormatting sqref="AZ27:BA28">
    <cfRule type="cellIs" dxfId="5231" priority="318" operator="equal">
      <formula>"כש"</formula>
    </cfRule>
    <cfRule type="cellIs" dxfId="5230" priority="319" operator="equal">
      <formula>"כ"</formula>
    </cfRule>
  </conditionalFormatting>
  <conditionalFormatting sqref="AZ31:BA32">
    <cfRule type="cellIs" dxfId="5229" priority="272" operator="equal">
      <formula>"כ"</formula>
    </cfRule>
    <cfRule type="cellIs" dxfId="5228" priority="271" operator="equal">
      <formula>"כש"</formula>
    </cfRule>
  </conditionalFormatting>
  <conditionalFormatting sqref="AZ35:BA35">
    <cfRule type="cellIs" dxfId="5227" priority="18" operator="equal">
      <formula>"כ"</formula>
    </cfRule>
    <cfRule type="cellIs" dxfId="5226" priority="17" operator="equal">
      <formula>"כש"</formula>
    </cfRule>
  </conditionalFormatting>
  <conditionalFormatting sqref="BB5:BB35">
    <cfRule type="cellIs" dxfId="5225" priority="1662" operator="equal">
      <formula>"ח"</formula>
    </cfRule>
  </conditionalFormatting>
  <conditionalFormatting sqref="BB6:BB24">
    <cfRule type="cellIs" dxfId="5224" priority="523" operator="equal">
      <formula>"ח"</formula>
    </cfRule>
  </conditionalFormatting>
  <conditionalFormatting sqref="BB7">
    <cfRule type="cellIs" dxfId="5223" priority="520" stopIfTrue="1" operator="equal">
      <formula>"ח"</formula>
    </cfRule>
    <cfRule type="cellIs" dxfId="5222" priority="510" stopIfTrue="1" operator="equal">
      <formula>"ח"</formula>
    </cfRule>
    <cfRule type="cellIs" dxfId="5221" priority="511" operator="equal">
      <formula>"כש"</formula>
    </cfRule>
    <cfRule type="cellIs" dxfId="5220" priority="512" operator="equal">
      <formula>"כ"</formula>
    </cfRule>
  </conditionalFormatting>
  <conditionalFormatting sqref="BB8">
    <cfRule type="cellIs" dxfId="5219" priority="495" operator="equal">
      <formula>"ח"</formula>
    </cfRule>
    <cfRule type="cellIs" dxfId="5218" priority="497" operator="equal">
      <formula>"כש"</formula>
    </cfRule>
    <cfRule type="cellIs" dxfId="5217" priority="498" operator="equal">
      <formula>"כ"</formula>
    </cfRule>
  </conditionalFormatting>
  <conditionalFormatting sqref="BB11">
    <cfRule type="cellIs" dxfId="5216" priority="471" operator="equal">
      <formula>"כש"</formula>
    </cfRule>
    <cfRule type="cellIs" dxfId="5215" priority="480" stopIfTrue="1" operator="equal">
      <formula>"ח"</formula>
    </cfRule>
    <cfRule type="cellIs" dxfId="5214" priority="472" operator="equal">
      <formula>"כ"</formula>
    </cfRule>
    <cfRule type="cellIs" dxfId="5213" priority="470" stopIfTrue="1" operator="equal">
      <formula>"ח"</formula>
    </cfRule>
  </conditionalFormatting>
  <conditionalFormatting sqref="BB12">
    <cfRule type="cellIs" dxfId="5212" priority="458" operator="equal">
      <formula>"כ"</formula>
    </cfRule>
    <cfRule type="cellIs" dxfId="5211" priority="457" operator="equal">
      <formula>"כש"</formula>
    </cfRule>
    <cfRule type="cellIs" dxfId="5210" priority="455" operator="equal">
      <formula>"ח"</formula>
    </cfRule>
    <cfRule type="cellIs" dxfId="5209" priority="483" operator="equal">
      <formula>"ח"</formula>
    </cfRule>
  </conditionalFormatting>
  <conditionalFormatting sqref="BB15">
    <cfRule type="cellIs" dxfId="5208" priority="431" operator="equal">
      <formula>"כש"</formula>
    </cfRule>
    <cfRule type="cellIs" dxfId="5207" priority="430" stopIfTrue="1" operator="equal">
      <formula>"ח"</formula>
    </cfRule>
    <cfRule type="cellIs" dxfId="5206" priority="432" operator="equal">
      <formula>"כ"</formula>
    </cfRule>
    <cfRule type="cellIs" dxfId="5205" priority="440" stopIfTrue="1" operator="equal">
      <formula>"ח"</formula>
    </cfRule>
  </conditionalFormatting>
  <conditionalFormatting sqref="BB16">
    <cfRule type="cellIs" dxfId="5204" priority="418" operator="equal">
      <formula>"כ"</formula>
    </cfRule>
    <cfRule type="cellIs" dxfId="5203" priority="417" operator="equal">
      <formula>"כש"</formula>
    </cfRule>
    <cfRule type="cellIs" dxfId="5202" priority="415" operator="equal">
      <formula>"ח"</formula>
    </cfRule>
    <cfRule type="cellIs" dxfId="5201" priority="443" operator="equal">
      <formula>"ח"</formula>
    </cfRule>
  </conditionalFormatting>
  <conditionalFormatting sqref="BB19">
    <cfRule type="cellIs" dxfId="5200" priority="391" operator="equal">
      <formula>"כש"</formula>
    </cfRule>
    <cfRule type="cellIs" dxfId="5199" priority="390" stopIfTrue="1" operator="equal">
      <formula>"ח"</formula>
    </cfRule>
    <cfRule type="cellIs" dxfId="5198" priority="400" stopIfTrue="1" operator="equal">
      <formula>"ח"</formula>
    </cfRule>
    <cfRule type="cellIs" dxfId="5197" priority="392" operator="equal">
      <formula>"כ"</formula>
    </cfRule>
  </conditionalFormatting>
  <conditionalFormatting sqref="BB20">
    <cfRule type="cellIs" dxfId="5196" priority="377" operator="equal">
      <formula>"כש"</formula>
    </cfRule>
    <cfRule type="cellIs" dxfId="5195" priority="375" operator="equal">
      <formula>"ח"</formula>
    </cfRule>
    <cfRule type="cellIs" dxfId="5194" priority="378" operator="equal">
      <formula>"כ"</formula>
    </cfRule>
    <cfRule type="cellIs" dxfId="5193" priority="403" operator="equal">
      <formula>"ח"</formula>
    </cfRule>
  </conditionalFormatting>
  <conditionalFormatting sqref="BB23">
    <cfRule type="cellIs" dxfId="5192" priority="360" stopIfTrue="1" operator="equal">
      <formula>"ח"</formula>
    </cfRule>
    <cfRule type="cellIs" dxfId="5191" priority="350" stopIfTrue="1" operator="equal">
      <formula>"ח"</formula>
    </cfRule>
    <cfRule type="cellIs" dxfId="5190" priority="351" operator="equal">
      <formula>"כש"</formula>
    </cfRule>
    <cfRule type="cellIs" dxfId="5189" priority="352" operator="equal">
      <formula>"כ"</formula>
    </cfRule>
  </conditionalFormatting>
  <conditionalFormatting sqref="BB24">
    <cfRule type="cellIs" dxfId="5188" priority="363" operator="equal">
      <formula>"ח"</formula>
    </cfRule>
    <cfRule type="cellIs" dxfId="5187" priority="338" operator="equal">
      <formula>"כ"</formula>
    </cfRule>
    <cfRule type="cellIs" dxfId="5186" priority="335" operator="equal">
      <formula>"ח"</formula>
    </cfRule>
    <cfRule type="cellIs" dxfId="5185" priority="337" operator="equal">
      <formula>"כש"</formula>
    </cfRule>
  </conditionalFormatting>
  <conditionalFormatting sqref="BB27">
    <cfRule type="cellIs" dxfId="5184" priority="304" operator="equal">
      <formula>"כש"</formula>
    </cfRule>
    <cfRule type="cellIs" dxfId="5183" priority="303" stopIfTrue="1" operator="equal">
      <formula>"ח"</formula>
    </cfRule>
    <cfRule type="cellIs" dxfId="5182" priority="313" stopIfTrue="1" operator="equal">
      <formula>"ח"</formula>
    </cfRule>
    <cfRule type="cellIs" dxfId="5181" priority="305" operator="equal">
      <formula>"כ"</formula>
    </cfRule>
  </conditionalFormatting>
  <conditionalFormatting sqref="BB27:BB28">
    <cfRule type="cellIs" dxfId="5180" priority="316" operator="equal">
      <formula>"ח"</formula>
    </cfRule>
  </conditionalFormatting>
  <conditionalFormatting sqref="BB28">
    <cfRule type="cellIs" dxfId="5179" priority="290" operator="equal">
      <formula>"כש"</formula>
    </cfRule>
    <cfRule type="cellIs" dxfId="5178" priority="288" operator="equal">
      <formula>"ח"</formula>
    </cfRule>
    <cfRule type="cellIs" dxfId="5177" priority="291" operator="equal">
      <formula>"כ"</formula>
    </cfRule>
  </conditionalFormatting>
  <conditionalFormatting sqref="BB31">
    <cfRule type="cellIs" dxfId="5176" priority="257" operator="equal">
      <formula>"כש"</formula>
    </cfRule>
    <cfRule type="cellIs" dxfId="5175" priority="256" stopIfTrue="1" operator="equal">
      <formula>"ח"</formula>
    </cfRule>
    <cfRule type="cellIs" dxfId="5174" priority="258" operator="equal">
      <formula>"כ"</formula>
    </cfRule>
    <cfRule type="cellIs" dxfId="5173" priority="266" stopIfTrue="1" operator="equal">
      <formula>"ח"</formula>
    </cfRule>
  </conditionalFormatting>
  <conditionalFormatting sqref="BB31:BB32">
    <cfRule type="cellIs" dxfId="5172" priority="269" operator="equal">
      <formula>"ח"</formula>
    </cfRule>
  </conditionalFormatting>
  <conditionalFormatting sqref="BB32">
    <cfRule type="cellIs" dxfId="5171" priority="241" operator="equal">
      <formula>"ח"</formula>
    </cfRule>
    <cfRule type="cellIs" dxfId="5170" priority="243" operator="equal">
      <formula>"כש"</formula>
    </cfRule>
    <cfRule type="cellIs" dxfId="5169" priority="244" operator="equal">
      <formula>"כ"</formula>
    </cfRule>
  </conditionalFormatting>
  <conditionalFormatting sqref="BB35">
    <cfRule type="cellIs" dxfId="5168" priority="5" operator="equal">
      <formula>"כש"</formula>
    </cfRule>
    <cfRule type="cellIs" dxfId="5167" priority="6" operator="equal">
      <formula>"כ"</formula>
    </cfRule>
    <cfRule type="cellIs" dxfId="5166" priority="13" stopIfTrue="1" operator="equal">
      <formula>"ח"</formula>
    </cfRule>
    <cfRule type="cellIs" dxfId="5165" priority="25" operator="equal">
      <formula>"ח"</formula>
    </cfRule>
    <cfRule type="cellIs" dxfId="5164" priority="4" stopIfTrue="1" operator="equal">
      <formula>"ח"</formula>
    </cfRule>
  </conditionalFormatting>
  <conditionalFormatting sqref="BB7:BC8">
    <cfRule type="cellIs" dxfId="5163" priority="522" operator="equal">
      <formula>"כ"</formula>
    </cfRule>
    <cfRule type="cellIs" dxfId="5162" priority="521" operator="equal">
      <formula>"כש"</formula>
    </cfRule>
  </conditionalFormatting>
  <conditionalFormatting sqref="BB11:BC12">
    <cfRule type="cellIs" dxfId="5161" priority="482" operator="equal">
      <formula>"כ"</formula>
    </cfRule>
    <cfRule type="cellIs" dxfId="5160" priority="481" operator="equal">
      <formula>"כש"</formula>
    </cfRule>
  </conditionalFormatting>
  <conditionalFormatting sqref="BB15:BC16">
    <cfRule type="cellIs" dxfId="5159" priority="442" operator="equal">
      <formula>"כ"</formula>
    </cfRule>
    <cfRule type="cellIs" dxfId="5158" priority="441" operator="equal">
      <formula>"כש"</formula>
    </cfRule>
  </conditionalFormatting>
  <conditionalFormatting sqref="BB19:BC20">
    <cfRule type="cellIs" dxfId="5157" priority="401" operator="equal">
      <formula>"כש"</formula>
    </cfRule>
    <cfRule type="cellIs" dxfId="5156" priority="402" operator="equal">
      <formula>"כ"</formula>
    </cfRule>
  </conditionalFormatting>
  <conditionalFormatting sqref="BB23:BC24">
    <cfRule type="cellIs" dxfId="5155" priority="361" operator="equal">
      <formula>"כש"</formula>
    </cfRule>
    <cfRule type="cellIs" dxfId="5154" priority="362" operator="equal">
      <formula>"כ"</formula>
    </cfRule>
  </conditionalFormatting>
  <conditionalFormatting sqref="BB27:BC28">
    <cfRule type="cellIs" dxfId="5153" priority="315" operator="equal">
      <formula>"כ"</formula>
    </cfRule>
    <cfRule type="cellIs" dxfId="5152" priority="314" operator="equal">
      <formula>"כש"</formula>
    </cfRule>
  </conditionalFormatting>
  <conditionalFormatting sqref="BB31:BC32">
    <cfRule type="cellIs" dxfId="5151" priority="267" operator="equal">
      <formula>"כש"</formula>
    </cfRule>
    <cfRule type="cellIs" dxfId="5150" priority="268" operator="equal">
      <formula>"כ"</formula>
    </cfRule>
  </conditionalFormatting>
  <conditionalFormatting sqref="BB35:BC35">
    <cfRule type="cellIs" dxfId="5149" priority="14" operator="equal">
      <formula>"כש"</formula>
    </cfRule>
    <cfRule type="cellIs" dxfId="5148" priority="15" operator="equal">
      <formula>"כ"</formula>
    </cfRule>
  </conditionalFormatting>
  <conditionalFormatting sqref="BC3:BC4">
    <cfRule type="cellIs" dxfId="5147" priority="1400" operator="equal">
      <formula>"י"</formula>
    </cfRule>
    <cfRule type="cellIs" dxfId="5146" priority="1401" operator="equal">
      <formula>"כמש"</formula>
    </cfRule>
    <cfRule type="cellIs" dxfId="5145" priority="1402" operator="equal">
      <formula>"כמ"</formula>
    </cfRule>
    <cfRule type="cellIs" dxfId="5144" priority="1399" operator="equal">
      <formula>"ל"</formula>
    </cfRule>
    <cfRule type="cellIs" dxfId="5143" priority="1407" operator="equal">
      <formula>"ח"</formula>
    </cfRule>
    <cfRule type="cellIs" dxfId="5142" priority="1408" operator="equal">
      <formula>"כש"</formula>
    </cfRule>
    <cfRule type="cellIs" dxfId="5141" priority="1409" operator="equal">
      <formula>"כ"</formula>
    </cfRule>
    <cfRule type="cellIs" dxfId="5140" priority="1403" operator="equal">
      <formula>"ק"</formula>
    </cfRule>
    <cfRule type="cellIs" dxfId="5139" priority="1404" operator="equal">
      <formula>"מ"</formula>
    </cfRule>
    <cfRule type="cellIs" dxfId="5138" priority="1405" operator="equal">
      <formula>"מנוחה"</formula>
    </cfRule>
    <cfRule type="cellIs" dxfId="5137" priority="1406" operator="equal">
      <formula>"מיל"</formula>
    </cfRule>
  </conditionalFormatting>
  <conditionalFormatting sqref="BD5:BD35">
    <cfRule type="cellIs" dxfId="5136" priority="1651" operator="equal">
      <formula>"ח"</formula>
    </cfRule>
  </conditionalFormatting>
  <conditionalFormatting sqref="BD6:BD24">
    <cfRule type="cellIs" dxfId="5135" priority="519" operator="equal">
      <formula>"ח"</formula>
    </cfRule>
  </conditionalFormatting>
  <conditionalFormatting sqref="BD7">
    <cfRule type="cellIs" dxfId="5134" priority="508" operator="equal">
      <formula>"כש"</formula>
    </cfRule>
    <cfRule type="cellIs" dxfId="5133" priority="507" stopIfTrue="1" operator="equal">
      <formula>"ח"</formula>
    </cfRule>
    <cfRule type="cellIs" dxfId="5132" priority="516" stopIfTrue="1" operator="equal">
      <formula>"ח"</formula>
    </cfRule>
    <cfRule type="cellIs" dxfId="5131" priority="509" operator="equal">
      <formula>"כ"</formula>
    </cfRule>
  </conditionalFormatting>
  <conditionalFormatting sqref="BD7:BD8">
    <cfRule type="cellIs" dxfId="5130" priority="517" operator="equal">
      <formula>"כש"</formula>
    </cfRule>
    <cfRule type="cellIs" dxfId="5129" priority="518" operator="equal">
      <formula>"כ"</formula>
    </cfRule>
  </conditionalFormatting>
  <conditionalFormatting sqref="BD8">
    <cfRule type="cellIs" dxfId="5128" priority="491" operator="equal">
      <formula>"ח"</formula>
    </cfRule>
    <cfRule type="cellIs" dxfId="5127" priority="493" operator="equal">
      <formula>"כש"</formula>
    </cfRule>
    <cfRule type="cellIs" dxfId="5126" priority="494" operator="equal">
      <formula>"כ"</formula>
    </cfRule>
  </conditionalFormatting>
  <conditionalFormatting sqref="BD11">
    <cfRule type="cellIs" dxfId="5125" priority="476" stopIfTrue="1" operator="equal">
      <formula>"ח"</formula>
    </cfRule>
    <cfRule type="cellIs" dxfId="5124" priority="469" operator="equal">
      <formula>"כ"</formula>
    </cfRule>
    <cfRule type="cellIs" dxfId="5123" priority="468" operator="equal">
      <formula>"כש"</formula>
    </cfRule>
    <cfRule type="cellIs" dxfId="5122" priority="467" stopIfTrue="1" operator="equal">
      <formula>"ח"</formula>
    </cfRule>
  </conditionalFormatting>
  <conditionalFormatting sqref="BD11:BD12">
    <cfRule type="cellIs" dxfId="5121" priority="478" operator="equal">
      <formula>"כ"</formula>
    </cfRule>
    <cfRule type="cellIs" dxfId="5120" priority="477" operator="equal">
      <formula>"כש"</formula>
    </cfRule>
  </conditionalFormatting>
  <conditionalFormatting sqref="BD12">
    <cfRule type="cellIs" dxfId="5119" priority="479" operator="equal">
      <formula>"ח"</formula>
    </cfRule>
    <cfRule type="cellIs" dxfId="5118" priority="451" operator="equal">
      <formula>"ח"</formula>
    </cfRule>
    <cfRule type="cellIs" dxfId="5117" priority="453" operator="equal">
      <formula>"כש"</formula>
    </cfRule>
    <cfRule type="cellIs" dxfId="5116" priority="454" operator="equal">
      <formula>"כ"</formula>
    </cfRule>
  </conditionalFormatting>
  <conditionalFormatting sqref="BD15">
    <cfRule type="cellIs" dxfId="5115" priority="427" stopIfTrue="1" operator="equal">
      <formula>"ח"</formula>
    </cfRule>
    <cfRule type="cellIs" dxfId="5114" priority="428" operator="equal">
      <formula>"כש"</formula>
    </cfRule>
    <cfRule type="cellIs" dxfId="5113" priority="429" operator="equal">
      <formula>"כ"</formula>
    </cfRule>
    <cfRule type="cellIs" dxfId="5112" priority="436" stopIfTrue="1" operator="equal">
      <formula>"ח"</formula>
    </cfRule>
  </conditionalFormatting>
  <conditionalFormatting sqref="BD15:BD16">
    <cfRule type="cellIs" dxfId="5111" priority="438" operator="equal">
      <formula>"כ"</formula>
    </cfRule>
    <cfRule type="cellIs" dxfId="5110" priority="437" operator="equal">
      <formula>"כש"</formula>
    </cfRule>
  </conditionalFormatting>
  <conditionalFormatting sqref="BD16">
    <cfRule type="cellIs" dxfId="5109" priority="439" operator="equal">
      <formula>"ח"</formula>
    </cfRule>
    <cfRule type="cellIs" dxfId="5108" priority="411" operator="equal">
      <formula>"ח"</formula>
    </cfRule>
    <cfRule type="cellIs" dxfId="5107" priority="413" operator="equal">
      <formula>"כש"</formula>
    </cfRule>
    <cfRule type="cellIs" dxfId="5106" priority="414" operator="equal">
      <formula>"כ"</formula>
    </cfRule>
  </conditionalFormatting>
  <conditionalFormatting sqref="BD19">
    <cfRule type="cellIs" dxfId="5105" priority="387" stopIfTrue="1" operator="equal">
      <formula>"ח"</formula>
    </cfRule>
    <cfRule type="cellIs" dxfId="5104" priority="388" operator="equal">
      <formula>"כש"</formula>
    </cfRule>
    <cfRule type="cellIs" dxfId="5103" priority="389" operator="equal">
      <formula>"כ"</formula>
    </cfRule>
    <cfRule type="cellIs" dxfId="5102" priority="396" stopIfTrue="1" operator="equal">
      <formula>"ח"</formula>
    </cfRule>
  </conditionalFormatting>
  <conditionalFormatting sqref="BD19:BD20">
    <cfRule type="cellIs" dxfId="5101" priority="397" operator="equal">
      <formula>"כש"</formula>
    </cfRule>
    <cfRule type="cellIs" dxfId="5100" priority="398" operator="equal">
      <formula>"כ"</formula>
    </cfRule>
  </conditionalFormatting>
  <conditionalFormatting sqref="BD20">
    <cfRule type="cellIs" dxfId="5099" priority="399" operator="equal">
      <formula>"ח"</formula>
    </cfRule>
    <cfRule type="cellIs" dxfId="5098" priority="371" operator="equal">
      <formula>"ח"</formula>
    </cfRule>
    <cfRule type="cellIs" dxfId="5097" priority="373" operator="equal">
      <formula>"כש"</formula>
    </cfRule>
    <cfRule type="cellIs" dxfId="5096" priority="374" operator="equal">
      <formula>"כ"</formula>
    </cfRule>
  </conditionalFormatting>
  <conditionalFormatting sqref="BD23">
    <cfRule type="cellIs" dxfId="5095" priority="347" stopIfTrue="1" operator="equal">
      <formula>"ח"</formula>
    </cfRule>
    <cfRule type="cellIs" dxfId="5094" priority="348" operator="equal">
      <formula>"כש"</formula>
    </cfRule>
    <cfRule type="cellIs" dxfId="5093" priority="349" operator="equal">
      <formula>"כ"</formula>
    </cfRule>
    <cfRule type="cellIs" dxfId="5092" priority="356" stopIfTrue="1" operator="equal">
      <formula>"ח"</formula>
    </cfRule>
  </conditionalFormatting>
  <conditionalFormatting sqref="BD23:BD24">
    <cfRule type="cellIs" dxfId="5091" priority="358" operator="equal">
      <formula>"כ"</formula>
    </cfRule>
    <cfRule type="cellIs" dxfId="5090" priority="357" operator="equal">
      <formula>"כש"</formula>
    </cfRule>
  </conditionalFormatting>
  <conditionalFormatting sqref="BD24">
    <cfRule type="cellIs" dxfId="5089" priority="331" operator="equal">
      <formula>"ח"</formula>
    </cfRule>
    <cfRule type="cellIs" dxfId="5088" priority="333" operator="equal">
      <formula>"כש"</formula>
    </cfRule>
    <cfRule type="cellIs" dxfId="5087" priority="334" operator="equal">
      <formula>"כ"</formula>
    </cfRule>
    <cfRule type="cellIs" dxfId="5086" priority="359" operator="equal">
      <formula>"ח"</formula>
    </cfRule>
  </conditionalFormatting>
  <conditionalFormatting sqref="BD27">
    <cfRule type="cellIs" dxfId="5085" priority="301" operator="equal">
      <formula>"כש"</formula>
    </cfRule>
    <cfRule type="cellIs" dxfId="5084" priority="302" operator="equal">
      <formula>"כ"</formula>
    </cfRule>
    <cfRule type="cellIs" dxfId="5083" priority="300" stopIfTrue="1" operator="equal">
      <formula>"ח"</formula>
    </cfRule>
    <cfRule type="cellIs" dxfId="5082" priority="309" stopIfTrue="1" operator="equal">
      <formula>"ח"</formula>
    </cfRule>
  </conditionalFormatting>
  <conditionalFormatting sqref="BD27:BD28">
    <cfRule type="cellIs" dxfId="5081" priority="312" operator="equal">
      <formula>"ח"</formula>
    </cfRule>
    <cfRule type="cellIs" dxfId="5080" priority="310" operator="equal">
      <formula>"כש"</formula>
    </cfRule>
    <cfRule type="cellIs" dxfId="5079" priority="311" operator="equal">
      <formula>"כ"</formula>
    </cfRule>
  </conditionalFormatting>
  <conditionalFormatting sqref="BD28">
    <cfRule type="cellIs" dxfId="5078" priority="284" operator="equal">
      <formula>"ח"</formula>
    </cfRule>
    <cfRule type="cellIs" dxfId="5077" priority="286" operator="equal">
      <formula>"כש"</formula>
    </cfRule>
    <cfRule type="cellIs" dxfId="5076" priority="287" operator="equal">
      <formula>"כ"</formula>
    </cfRule>
  </conditionalFormatting>
  <conditionalFormatting sqref="BD31">
    <cfRule type="cellIs" dxfId="5075" priority="262" stopIfTrue="1" operator="equal">
      <formula>"ח"</formula>
    </cfRule>
    <cfRule type="cellIs" dxfId="5074" priority="253" stopIfTrue="1" operator="equal">
      <formula>"ח"</formula>
    </cfRule>
    <cfRule type="cellIs" dxfId="5073" priority="254" operator="equal">
      <formula>"כש"</formula>
    </cfRule>
    <cfRule type="cellIs" dxfId="5072" priority="255" operator="equal">
      <formula>"כ"</formula>
    </cfRule>
  </conditionalFormatting>
  <conditionalFormatting sqref="BD31:BD32">
    <cfRule type="cellIs" dxfId="5071" priority="263" operator="equal">
      <formula>"כש"</formula>
    </cfRule>
    <cfRule type="cellIs" dxfId="5070" priority="264" operator="equal">
      <formula>"כ"</formula>
    </cfRule>
    <cfRule type="cellIs" dxfId="5069" priority="265" operator="equal">
      <formula>"ח"</formula>
    </cfRule>
  </conditionalFormatting>
  <conditionalFormatting sqref="BD32">
    <cfRule type="cellIs" dxfId="5068" priority="240" operator="equal">
      <formula>"כ"</formula>
    </cfRule>
    <cfRule type="cellIs" dxfId="5067" priority="237" operator="equal">
      <formula>"ח"</formula>
    </cfRule>
    <cfRule type="cellIs" dxfId="5066" priority="239" operator="equal">
      <formula>"כש"</formula>
    </cfRule>
  </conditionalFormatting>
  <conditionalFormatting sqref="BD35">
    <cfRule type="cellIs" dxfId="5065" priority="2" operator="equal">
      <formula>"כש"</formula>
    </cfRule>
    <cfRule type="cellIs" dxfId="5064" priority="3" operator="equal">
      <formula>"כ"</formula>
    </cfRule>
    <cfRule type="cellIs" dxfId="5063" priority="10" stopIfTrue="1" operator="equal">
      <formula>"ח"</formula>
    </cfRule>
    <cfRule type="cellIs" dxfId="5062" priority="11" operator="equal">
      <formula>"כש"</formula>
    </cfRule>
    <cfRule type="cellIs" dxfId="5061" priority="12" operator="equal">
      <formula>"כ"</formula>
    </cfRule>
    <cfRule type="cellIs" dxfId="5060" priority="24" operator="equal">
      <formula>"ח"</formula>
    </cfRule>
    <cfRule type="cellIs" dxfId="5059" priority="1" stopIfTrue="1" operator="equal">
      <formula>"ח"</formula>
    </cfRule>
  </conditionalFormatting>
  <conditionalFormatting sqref="BF5:BF35">
    <cfRule type="cellIs" dxfId="5058" priority="1695" operator="equal">
      <formula>"ח"</formula>
    </cfRule>
  </conditionalFormatting>
  <conditionalFormatting sqref="BF8">
    <cfRule type="cellIs" dxfId="5057" priority="735" stopIfTrue="1" operator="equal">
      <formula>"ח"</formula>
    </cfRule>
  </conditionalFormatting>
  <conditionalFormatting sqref="BF9">
    <cfRule type="cellIs" dxfId="5056" priority="712" operator="equal">
      <formula>"כש"</formula>
    </cfRule>
    <cfRule type="cellIs" dxfId="5055" priority="713" operator="equal">
      <formula>"כ"</formula>
    </cfRule>
    <cfRule type="cellIs" dxfId="5054" priority="710" operator="equal">
      <formula>"ח"</formula>
    </cfRule>
  </conditionalFormatting>
  <conditionalFormatting sqref="BF12">
    <cfRule type="cellIs" dxfId="5053" priority="695" stopIfTrue="1" operator="equal">
      <formula>"ח"</formula>
    </cfRule>
  </conditionalFormatting>
  <conditionalFormatting sqref="BF13">
    <cfRule type="cellIs" dxfId="5052" priority="673" operator="equal">
      <formula>"כ"</formula>
    </cfRule>
    <cfRule type="cellIs" dxfId="5051" priority="670" operator="equal">
      <formula>"ח"</formula>
    </cfRule>
    <cfRule type="cellIs" dxfId="5050" priority="672" operator="equal">
      <formula>"כש"</formula>
    </cfRule>
  </conditionalFormatting>
  <conditionalFormatting sqref="BF16">
    <cfRule type="cellIs" dxfId="5049" priority="655" stopIfTrue="1" operator="equal">
      <formula>"ח"</formula>
    </cfRule>
  </conditionalFormatting>
  <conditionalFormatting sqref="BF17">
    <cfRule type="cellIs" dxfId="5048" priority="633" operator="equal">
      <formula>"כ"</formula>
    </cfRule>
    <cfRule type="cellIs" dxfId="5047" priority="630" operator="equal">
      <formula>"ח"</formula>
    </cfRule>
    <cfRule type="cellIs" dxfId="5046" priority="632" operator="equal">
      <formula>"כש"</formula>
    </cfRule>
  </conditionalFormatting>
  <conditionalFormatting sqref="BF20">
    <cfRule type="cellIs" dxfId="5045" priority="615" stopIfTrue="1" operator="equal">
      <formula>"ח"</formula>
    </cfRule>
  </conditionalFormatting>
  <conditionalFormatting sqref="BF21">
    <cfRule type="cellIs" dxfId="5044" priority="590" operator="equal">
      <formula>"ח"</formula>
    </cfRule>
    <cfRule type="cellIs" dxfId="5043" priority="592" operator="equal">
      <formula>"כש"</formula>
    </cfRule>
    <cfRule type="cellIs" dxfId="5042" priority="593" operator="equal">
      <formula>"כ"</formula>
    </cfRule>
  </conditionalFormatting>
  <conditionalFormatting sqref="BF24">
    <cfRule type="cellIs" dxfId="5041" priority="575" stopIfTrue="1" operator="equal">
      <formula>"ח"</formula>
    </cfRule>
  </conditionalFormatting>
  <conditionalFormatting sqref="BF25">
    <cfRule type="cellIs" dxfId="5040" priority="550" operator="equal">
      <formula>"ח"</formula>
    </cfRule>
    <cfRule type="cellIs" dxfId="5039" priority="553" operator="equal">
      <formula>"כ"</formula>
    </cfRule>
    <cfRule type="cellIs" dxfId="5038" priority="552" operator="equal">
      <formula>"כש"</formula>
    </cfRule>
  </conditionalFormatting>
  <conditionalFormatting sqref="BF28">
    <cfRule type="cellIs" dxfId="5037" priority="223" stopIfTrue="1" operator="equal">
      <formula>"ח"</formula>
    </cfRule>
  </conditionalFormatting>
  <conditionalFormatting sqref="BF28:BF29">
    <cfRule type="cellIs" dxfId="5036" priority="236" operator="equal">
      <formula>"ח"</formula>
    </cfRule>
  </conditionalFormatting>
  <conditionalFormatting sqref="BF29">
    <cfRule type="cellIs" dxfId="5035" priority="198" operator="equal">
      <formula>"ח"</formula>
    </cfRule>
    <cfRule type="cellIs" dxfId="5034" priority="200" operator="equal">
      <formula>"כש"</formula>
    </cfRule>
    <cfRule type="cellIs" dxfId="5033" priority="201" operator="equal">
      <formula>"כ"</formula>
    </cfRule>
  </conditionalFormatting>
  <conditionalFormatting sqref="BF32">
    <cfRule type="cellIs" dxfId="5032" priority="172" stopIfTrue="1" operator="equal">
      <formula>"ח"</formula>
    </cfRule>
  </conditionalFormatting>
  <conditionalFormatting sqref="BF32:BF33">
    <cfRule type="cellIs" dxfId="5031" priority="185" operator="equal">
      <formula>"ח"</formula>
    </cfRule>
  </conditionalFormatting>
  <conditionalFormatting sqref="BF33">
    <cfRule type="cellIs" dxfId="5030" priority="150" operator="equal">
      <formula>"כ"</formula>
    </cfRule>
    <cfRule type="cellIs" dxfId="5029" priority="149" operator="equal">
      <formula>"כש"</formula>
    </cfRule>
    <cfRule type="cellIs" dxfId="5028" priority="147" operator="equal">
      <formula>"ח"</formula>
    </cfRule>
  </conditionalFormatting>
  <conditionalFormatting sqref="BF12:BG13">
    <cfRule type="cellIs" dxfId="5027" priority="696" operator="equal">
      <formula>"כש"</formula>
    </cfRule>
    <cfRule type="cellIs" dxfId="5026" priority="697" operator="equal">
      <formula>"כ"</formula>
    </cfRule>
  </conditionalFormatting>
  <conditionalFormatting sqref="BF16:BG17">
    <cfRule type="cellIs" dxfId="5025" priority="657" operator="equal">
      <formula>"כ"</formula>
    </cfRule>
    <cfRule type="cellIs" dxfId="5024" priority="656" operator="equal">
      <formula>"כש"</formula>
    </cfRule>
  </conditionalFormatting>
  <conditionalFormatting sqref="BF20:BG21">
    <cfRule type="cellIs" dxfId="5023" priority="617" operator="equal">
      <formula>"כ"</formula>
    </cfRule>
    <cfRule type="cellIs" dxfId="5022" priority="616" operator="equal">
      <formula>"כש"</formula>
    </cfRule>
  </conditionalFormatting>
  <conditionalFormatting sqref="BF24:BG25">
    <cfRule type="cellIs" dxfId="5021" priority="576" operator="equal">
      <formula>"כש"</formula>
    </cfRule>
    <cfRule type="cellIs" dxfId="5020" priority="577" operator="equal">
      <formula>"כ"</formula>
    </cfRule>
  </conditionalFormatting>
  <conditionalFormatting sqref="BF7:BL25">
    <cfRule type="cellIs" dxfId="5019" priority="736" operator="equal">
      <formula>"כש"</formula>
    </cfRule>
    <cfRule type="cellIs" dxfId="5018" priority="737" operator="equal">
      <formula>"כ"</formula>
    </cfRule>
  </conditionalFormatting>
  <conditionalFormatting sqref="BF28:BL29">
    <cfRule type="cellIs" dxfId="5017" priority="224" operator="equal">
      <formula>"כש"</formula>
    </cfRule>
    <cfRule type="cellIs" dxfId="5016" priority="225" operator="equal">
      <formula>"כ"</formula>
    </cfRule>
  </conditionalFormatting>
  <conditionalFormatting sqref="BF32:BL34">
    <cfRule type="cellIs" dxfId="5015" priority="173" operator="equal">
      <formula>"כש"</formula>
    </cfRule>
    <cfRule type="cellIs" dxfId="5014" priority="174" operator="equal">
      <formula>"כ"</formula>
    </cfRule>
  </conditionalFormatting>
  <conditionalFormatting sqref="BH5:BH35">
    <cfRule type="cellIs" dxfId="5013" priority="1299" operator="equal">
      <formula>"ח"</formula>
    </cfRule>
  </conditionalFormatting>
  <conditionalFormatting sqref="BH7:BH25">
    <cfRule type="cellIs" dxfId="5012" priority="734" operator="equal">
      <formula>"ח"</formula>
    </cfRule>
  </conditionalFormatting>
  <conditionalFormatting sqref="BH8">
    <cfRule type="cellIs" dxfId="5011" priority="721" operator="equal">
      <formula>"כש"</formula>
    </cfRule>
    <cfRule type="cellIs" dxfId="5010" priority="720" stopIfTrue="1" operator="equal">
      <formula>"ח"</formula>
    </cfRule>
    <cfRule type="cellIs" dxfId="5009" priority="731" stopIfTrue="1" operator="equal">
      <formula>"ח"</formula>
    </cfRule>
    <cfRule type="cellIs" dxfId="5008" priority="722" operator="equal">
      <formula>"כ"</formula>
    </cfRule>
  </conditionalFormatting>
  <conditionalFormatting sqref="BH9">
    <cfRule type="cellIs" dxfId="5007" priority="709" operator="equal">
      <formula>"כ"</formula>
    </cfRule>
    <cfRule type="cellIs" dxfId="5006" priority="708" operator="equal">
      <formula>"כש"</formula>
    </cfRule>
    <cfRule type="cellIs" dxfId="5005" priority="706" operator="equal">
      <formula>"ח"</formula>
    </cfRule>
  </conditionalFormatting>
  <conditionalFormatting sqref="BH12">
    <cfRule type="cellIs" dxfId="5004" priority="682" operator="equal">
      <formula>"כ"</formula>
    </cfRule>
    <cfRule type="cellIs" dxfId="5003" priority="680" stopIfTrue="1" operator="equal">
      <formula>"ח"</formula>
    </cfRule>
    <cfRule type="cellIs" dxfId="5002" priority="681" operator="equal">
      <formula>"כש"</formula>
    </cfRule>
    <cfRule type="cellIs" dxfId="5001" priority="691" stopIfTrue="1" operator="equal">
      <formula>"ח"</formula>
    </cfRule>
  </conditionalFormatting>
  <conditionalFormatting sqref="BH13">
    <cfRule type="cellIs" dxfId="5000" priority="666" operator="equal">
      <formula>"ח"</formula>
    </cfRule>
    <cfRule type="cellIs" dxfId="4999" priority="668" operator="equal">
      <formula>"כש"</formula>
    </cfRule>
    <cfRule type="cellIs" dxfId="4998" priority="669" operator="equal">
      <formula>"כ"</formula>
    </cfRule>
    <cfRule type="cellIs" dxfId="4997" priority="694" operator="equal">
      <formula>"ח"</formula>
    </cfRule>
  </conditionalFormatting>
  <conditionalFormatting sqref="BH16">
    <cfRule type="cellIs" dxfId="4996" priority="640" stopIfTrue="1" operator="equal">
      <formula>"ח"</formula>
    </cfRule>
    <cfRule type="cellIs" dxfId="4995" priority="641" operator="equal">
      <formula>"כש"</formula>
    </cfRule>
    <cfRule type="cellIs" dxfId="4994" priority="642" operator="equal">
      <formula>"כ"</formula>
    </cfRule>
    <cfRule type="cellIs" dxfId="4993" priority="651" stopIfTrue="1" operator="equal">
      <formula>"ח"</formula>
    </cfRule>
  </conditionalFormatting>
  <conditionalFormatting sqref="BH17">
    <cfRule type="cellIs" dxfId="4992" priority="628" operator="equal">
      <formula>"כש"</formula>
    </cfRule>
    <cfRule type="cellIs" dxfId="4991" priority="629" operator="equal">
      <formula>"כ"</formula>
    </cfRule>
    <cfRule type="cellIs" dxfId="4990" priority="654" operator="equal">
      <formula>"ח"</formula>
    </cfRule>
    <cfRule type="cellIs" dxfId="4989" priority="626" operator="equal">
      <formula>"ח"</formula>
    </cfRule>
  </conditionalFormatting>
  <conditionalFormatting sqref="BH20">
    <cfRule type="cellIs" dxfId="4988" priority="611" stopIfTrue="1" operator="equal">
      <formula>"ח"</formula>
    </cfRule>
    <cfRule type="cellIs" dxfId="4987" priority="600" stopIfTrue="1" operator="equal">
      <formula>"ח"</formula>
    </cfRule>
    <cfRule type="cellIs" dxfId="4986" priority="602" operator="equal">
      <formula>"כ"</formula>
    </cfRule>
    <cfRule type="cellIs" dxfId="4985" priority="601" operator="equal">
      <formula>"כש"</formula>
    </cfRule>
  </conditionalFormatting>
  <conditionalFormatting sqref="BH21">
    <cfRule type="cellIs" dxfId="4984" priority="614" operator="equal">
      <formula>"ח"</formula>
    </cfRule>
    <cfRule type="cellIs" dxfId="4983" priority="589" operator="equal">
      <formula>"כ"</formula>
    </cfRule>
    <cfRule type="cellIs" dxfId="4982" priority="588" operator="equal">
      <formula>"כש"</formula>
    </cfRule>
    <cfRule type="cellIs" dxfId="4981" priority="586" operator="equal">
      <formula>"ח"</formula>
    </cfRule>
  </conditionalFormatting>
  <conditionalFormatting sqref="BH24">
    <cfRule type="cellIs" dxfId="4980" priority="561" operator="equal">
      <formula>"כש"</formula>
    </cfRule>
    <cfRule type="cellIs" dxfId="4979" priority="562" operator="equal">
      <formula>"כ"</formula>
    </cfRule>
    <cfRule type="cellIs" dxfId="4978" priority="571" stopIfTrue="1" operator="equal">
      <formula>"ח"</formula>
    </cfRule>
    <cfRule type="cellIs" dxfId="4977" priority="560" stopIfTrue="1" operator="equal">
      <formula>"ח"</formula>
    </cfRule>
  </conditionalFormatting>
  <conditionalFormatting sqref="BH25">
    <cfRule type="cellIs" dxfId="4976" priority="549" operator="equal">
      <formula>"כ"</formula>
    </cfRule>
    <cfRule type="cellIs" dxfId="4975" priority="574" operator="equal">
      <formula>"ח"</formula>
    </cfRule>
    <cfRule type="cellIs" dxfId="4974" priority="548" operator="equal">
      <formula>"כש"</formula>
    </cfRule>
    <cfRule type="cellIs" dxfId="4973" priority="546" operator="equal">
      <formula>"ח"</formula>
    </cfRule>
  </conditionalFormatting>
  <conditionalFormatting sqref="BH28">
    <cfRule type="cellIs" dxfId="4972" priority="219" stopIfTrue="1" operator="equal">
      <formula>"ח"</formula>
    </cfRule>
    <cfRule type="cellIs" dxfId="4971" priority="209" operator="equal">
      <formula>"כש"</formula>
    </cfRule>
    <cfRule type="cellIs" dxfId="4970" priority="210" operator="equal">
      <formula>"כ"</formula>
    </cfRule>
    <cfRule type="cellIs" dxfId="4969" priority="208" stopIfTrue="1" operator="equal">
      <formula>"ח"</formula>
    </cfRule>
  </conditionalFormatting>
  <conditionalFormatting sqref="BH28:BH29">
    <cfRule type="cellIs" dxfId="4968" priority="235" operator="equal">
      <formula>"ח"</formula>
    </cfRule>
    <cfRule type="cellIs" dxfId="4967" priority="222" operator="equal">
      <formula>"ח"</formula>
    </cfRule>
  </conditionalFormatting>
  <conditionalFormatting sqref="BH29">
    <cfRule type="cellIs" dxfId="4966" priority="194" operator="equal">
      <formula>"ח"</formula>
    </cfRule>
    <cfRule type="cellIs" dxfId="4965" priority="196" operator="equal">
      <formula>"כש"</formula>
    </cfRule>
    <cfRule type="cellIs" dxfId="4964" priority="197" operator="equal">
      <formula>"כ"</formula>
    </cfRule>
  </conditionalFormatting>
  <conditionalFormatting sqref="BH32">
    <cfRule type="cellIs" dxfId="4963" priority="158" operator="equal">
      <formula>"כש"</formula>
    </cfRule>
    <cfRule type="cellIs" dxfId="4962" priority="168" stopIfTrue="1" operator="equal">
      <formula>"ח"</formula>
    </cfRule>
    <cfRule type="cellIs" dxfId="4961" priority="157" stopIfTrue="1" operator="equal">
      <formula>"ח"</formula>
    </cfRule>
    <cfRule type="cellIs" dxfId="4960" priority="159" operator="equal">
      <formula>"כ"</formula>
    </cfRule>
  </conditionalFormatting>
  <conditionalFormatting sqref="BH32:BH33">
    <cfRule type="cellIs" dxfId="4959" priority="184" operator="equal">
      <formula>"ח"</formula>
    </cfRule>
    <cfRule type="cellIs" dxfId="4958" priority="171" operator="equal">
      <formula>"ח"</formula>
    </cfRule>
  </conditionalFormatting>
  <conditionalFormatting sqref="BH33">
    <cfRule type="cellIs" dxfId="4957" priority="143" operator="equal">
      <formula>"ח"</formula>
    </cfRule>
    <cfRule type="cellIs" dxfId="4956" priority="146" operator="equal">
      <formula>"כ"</formula>
    </cfRule>
    <cfRule type="cellIs" dxfId="4955" priority="145" operator="equal">
      <formula>"כש"</formula>
    </cfRule>
  </conditionalFormatting>
  <conditionalFormatting sqref="BH8:BI9">
    <cfRule type="cellIs" dxfId="4954" priority="733" operator="equal">
      <formula>"כ"</formula>
    </cfRule>
    <cfRule type="cellIs" dxfId="4953" priority="732" operator="equal">
      <formula>"כש"</formula>
    </cfRule>
  </conditionalFormatting>
  <conditionalFormatting sqref="BH12:BI13">
    <cfRule type="cellIs" dxfId="4952" priority="692" operator="equal">
      <formula>"כש"</formula>
    </cfRule>
    <cfRule type="cellIs" dxfId="4951" priority="693" operator="equal">
      <formula>"כ"</formula>
    </cfRule>
  </conditionalFormatting>
  <conditionalFormatting sqref="BH16:BI17">
    <cfRule type="cellIs" dxfId="4950" priority="652" operator="equal">
      <formula>"כש"</formula>
    </cfRule>
    <cfRule type="cellIs" dxfId="4949" priority="653" operator="equal">
      <formula>"כ"</formula>
    </cfRule>
  </conditionalFormatting>
  <conditionalFormatting sqref="BH20:BI21">
    <cfRule type="cellIs" dxfId="4948" priority="612" operator="equal">
      <formula>"כש"</formula>
    </cfRule>
    <cfRule type="cellIs" dxfId="4947" priority="613" operator="equal">
      <formula>"כ"</formula>
    </cfRule>
  </conditionalFormatting>
  <conditionalFormatting sqref="BH24:BI25">
    <cfRule type="cellIs" dxfId="4946" priority="573" operator="equal">
      <formula>"כ"</formula>
    </cfRule>
    <cfRule type="cellIs" dxfId="4945" priority="572" operator="equal">
      <formula>"כש"</formula>
    </cfRule>
  </conditionalFormatting>
  <conditionalFormatting sqref="BH28:BI29">
    <cfRule type="cellIs" dxfId="4944" priority="221" operator="equal">
      <formula>"כ"</formula>
    </cfRule>
    <cfRule type="cellIs" dxfId="4943" priority="220" operator="equal">
      <formula>"כש"</formula>
    </cfRule>
  </conditionalFormatting>
  <conditionalFormatting sqref="BH32:BI33">
    <cfRule type="cellIs" dxfId="4942" priority="169" operator="equal">
      <formula>"כש"</formula>
    </cfRule>
    <cfRule type="cellIs" dxfId="4941" priority="170" operator="equal">
      <formula>"כ"</formula>
    </cfRule>
  </conditionalFormatting>
  <conditionalFormatting sqref="BJ5:BJ35">
    <cfRule type="cellIs" dxfId="4940" priority="1298" operator="equal">
      <formula>"ח"</formula>
    </cfRule>
  </conditionalFormatting>
  <conditionalFormatting sqref="BJ7:BJ25">
    <cfRule type="cellIs" dxfId="4939" priority="730" operator="equal">
      <formula>"ח"</formula>
    </cfRule>
  </conditionalFormatting>
  <conditionalFormatting sqref="BJ8">
    <cfRule type="cellIs" dxfId="4938" priority="727" stopIfTrue="1" operator="equal">
      <formula>"ח"</formula>
    </cfRule>
    <cfRule type="cellIs" dxfId="4937" priority="719" operator="equal">
      <formula>"כ"</formula>
    </cfRule>
    <cfRule type="cellIs" dxfId="4936" priority="718" operator="equal">
      <formula>"כש"</formula>
    </cfRule>
    <cfRule type="cellIs" dxfId="4935" priority="717" stopIfTrue="1" operator="equal">
      <formula>"ח"</formula>
    </cfRule>
  </conditionalFormatting>
  <conditionalFormatting sqref="BJ9">
    <cfRule type="cellIs" dxfId="4934" priority="702" operator="equal">
      <formula>"ח"</formula>
    </cfRule>
    <cfRule type="cellIs" dxfId="4933" priority="705" operator="equal">
      <formula>"כ"</formula>
    </cfRule>
    <cfRule type="cellIs" dxfId="4932" priority="704" operator="equal">
      <formula>"כש"</formula>
    </cfRule>
  </conditionalFormatting>
  <conditionalFormatting sqref="BJ12">
    <cfRule type="cellIs" dxfId="4931" priority="679" operator="equal">
      <formula>"כ"</formula>
    </cfRule>
    <cfRule type="cellIs" dxfId="4930" priority="678" operator="equal">
      <formula>"כש"</formula>
    </cfRule>
    <cfRule type="cellIs" dxfId="4929" priority="677" stopIfTrue="1" operator="equal">
      <formula>"ח"</formula>
    </cfRule>
    <cfRule type="cellIs" dxfId="4928" priority="687" stopIfTrue="1" operator="equal">
      <formula>"ח"</formula>
    </cfRule>
  </conditionalFormatting>
  <conditionalFormatting sqref="BJ13">
    <cfRule type="cellIs" dxfId="4927" priority="665" operator="equal">
      <formula>"כ"</formula>
    </cfRule>
    <cfRule type="cellIs" dxfId="4926" priority="690" operator="equal">
      <formula>"ח"</formula>
    </cfRule>
    <cfRule type="cellIs" dxfId="4925" priority="662" operator="equal">
      <formula>"ח"</formula>
    </cfRule>
    <cfRule type="cellIs" dxfId="4924" priority="664" operator="equal">
      <formula>"כש"</formula>
    </cfRule>
  </conditionalFormatting>
  <conditionalFormatting sqref="BJ16">
    <cfRule type="cellIs" dxfId="4923" priority="647" stopIfTrue="1" operator="equal">
      <formula>"ח"</formula>
    </cfRule>
    <cfRule type="cellIs" dxfId="4922" priority="639" operator="equal">
      <formula>"כ"</formula>
    </cfRule>
    <cfRule type="cellIs" dxfId="4921" priority="638" operator="equal">
      <formula>"כש"</formula>
    </cfRule>
    <cfRule type="cellIs" dxfId="4920" priority="637" stopIfTrue="1" operator="equal">
      <formula>"ח"</formula>
    </cfRule>
  </conditionalFormatting>
  <conditionalFormatting sqref="BJ17">
    <cfRule type="cellIs" dxfId="4919" priority="624" operator="equal">
      <formula>"כש"</formula>
    </cfRule>
    <cfRule type="cellIs" dxfId="4918" priority="650" operator="equal">
      <formula>"ח"</formula>
    </cfRule>
    <cfRule type="cellIs" dxfId="4917" priority="625" operator="equal">
      <formula>"כ"</formula>
    </cfRule>
    <cfRule type="cellIs" dxfId="4916" priority="622" operator="equal">
      <formula>"ח"</formula>
    </cfRule>
  </conditionalFormatting>
  <conditionalFormatting sqref="BJ20">
    <cfRule type="cellIs" dxfId="4915" priority="599" operator="equal">
      <formula>"כ"</formula>
    </cfRule>
    <cfRule type="cellIs" dxfId="4914" priority="597" stopIfTrue="1" operator="equal">
      <formula>"ח"</formula>
    </cfRule>
    <cfRule type="cellIs" dxfId="4913" priority="598" operator="equal">
      <formula>"כש"</formula>
    </cfRule>
    <cfRule type="cellIs" dxfId="4912" priority="607" stopIfTrue="1" operator="equal">
      <formula>"ח"</formula>
    </cfRule>
  </conditionalFormatting>
  <conditionalFormatting sqref="BJ21">
    <cfRule type="cellIs" dxfId="4911" priority="610" operator="equal">
      <formula>"ח"</formula>
    </cfRule>
    <cfRule type="cellIs" dxfId="4910" priority="584" operator="equal">
      <formula>"כש"</formula>
    </cfRule>
    <cfRule type="cellIs" dxfId="4909" priority="585" operator="equal">
      <formula>"כ"</formula>
    </cfRule>
    <cfRule type="cellIs" dxfId="4908" priority="582" operator="equal">
      <formula>"ח"</formula>
    </cfRule>
  </conditionalFormatting>
  <conditionalFormatting sqref="BJ24">
    <cfRule type="cellIs" dxfId="4907" priority="567" stopIfTrue="1" operator="equal">
      <formula>"ח"</formula>
    </cfRule>
    <cfRule type="cellIs" dxfId="4906" priority="557" stopIfTrue="1" operator="equal">
      <formula>"ח"</formula>
    </cfRule>
    <cfRule type="cellIs" dxfId="4905" priority="558" operator="equal">
      <formula>"כש"</formula>
    </cfRule>
    <cfRule type="cellIs" dxfId="4904" priority="559" operator="equal">
      <formula>"כ"</formula>
    </cfRule>
  </conditionalFormatting>
  <conditionalFormatting sqref="BJ25">
    <cfRule type="cellIs" dxfId="4903" priority="542" operator="equal">
      <formula>"ח"</formula>
    </cfRule>
    <cfRule type="cellIs" dxfId="4902" priority="544" operator="equal">
      <formula>"כש"</formula>
    </cfRule>
    <cfRule type="cellIs" dxfId="4901" priority="545" operator="equal">
      <formula>"כ"</formula>
    </cfRule>
    <cfRule type="cellIs" dxfId="4900" priority="570" operator="equal">
      <formula>"ח"</formula>
    </cfRule>
  </conditionalFormatting>
  <conditionalFormatting sqref="BJ28">
    <cfRule type="cellIs" dxfId="4899" priority="206" operator="equal">
      <formula>"כש"</formula>
    </cfRule>
    <cfRule type="cellIs" dxfId="4898" priority="207" operator="equal">
      <formula>"כ"</formula>
    </cfRule>
    <cfRule type="cellIs" dxfId="4897" priority="215" stopIfTrue="1" operator="equal">
      <formula>"ח"</formula>
    </cfRule>
    <cfRule type="cellIs" dxfId="4896" priority="205" stopIfTrue="1" operator="equal">
      <formula>"ח"</formula>
    </cfRule>
  </conditionalFormatting>
  <conditionalFormatting sqref="BJ28:BJ29">
    <cfRule type="cellIs" dxfId="4895" priority="218" operator="equal">
      <formula>"ח"</formula>
    </cfRule>
    <cfRule type="cellIs" dxfId="4894" priority="234" operator="equal">
      <formula>"ח"</formula>
    </cfRule>
  </conditionalFormatting>
  <conditionalFormatting sqref="BJ29">
    <cfRule type="cellIs" dxfId="4893" priority="192" operator="equal">
      <formula>"כש"</formula>
    </cfRule>
    <cfRule type="cellIs" dxfId="4892" priority="190" operator="equal">
      <formula>"ח"</formula>
    </cfRule>
    <cfRule type="cellIs" dxfId="4891" priority="193" operator="equal">
      <formula>"כ"</formula>
    </cfRule>
  </conditionalFormatting>
  <conditionalFormatting sqref="BJ32">
    <cfRule type="cellIs" dxfId="4890" priority="155" operator="equal">
      <formula>"כש"</formula>
    </cfRule>
    <cfRule type="cellIs" dxfId="4889" priority="156" operator="equal">
      <formula>"כ"</formula>
    </cfRule>
    <cfRule type="cellIs" dxfId="4888" priority="154" stopIfTrue="1" operator="equal">
      <formula>"ח"</formula>
    </cfRule>
    <cfRule type="cellIs" dxfId="4887" priority="164" stopIfTrue="1" operator="equal">
      <formula>"ח"</formula>
    </cfRule>
  </conditionalFormatting>
  <conditionalFormatting sqref="BJ32:BJ33">
    <cfRule type="cellIs" dxfId="4886" priority="183" operator="equal">
      <formula>"ח"</formula>
    </cfRule>
    <cfRule type="cellIs" dxfId="4885" priority="167" operator="equal">
      <formula>"ח"</formula>
    </cfRule>
  </conditionalFormatting>
  <conditionalFormatting sqref="BJ33">
    <cfRule type="cellIs" dxfId="4884" priority="142" operator="equal">
      <formula>"כ"</formula>
    </cfRule>
    <cfRule type="cellIs" dxfId="4883" priority="141" operator="equal">
      <formula>"כש"</formula>
    </cfRule>
    <cfRule type="cellIs" dxfId="4882" priority="139" operator="equal">
      <formula>"ח"</formula>
    </cfRule>
  </conditionalFormatting>
  <conditionalFormatting sqref="BJ8:BK9">
    <cfRule type="cellIs" dxfId="4881" priority="728" operator="equal">
      <formula>"כש"</formula>
    </cfRule>
    <cfRule type="cellIs" dxfId="4880" priority="729" operator="equal">
      <formula>"כ"</formula>
    </cfRule>
  </conditionalFormatting>
  <conditionalFormatting sqref="BJ12:BK13">
    <cfRule type="cellIs" dxfId="4879" priority="689" operator="equal">
      <formula>"כ"</formula>
    </cfRule>
    <cfRule type="cellIs" dxfId="4878" priority="688" operator="equal">
      <formula>"כש"</formula>
    </cfRule>
  </conditionalFormatting>
  <conditionalFormatting sqref="BJ16:BK17">
    <cfRule type="cellIs" dxfId="4877" priority="648" operator="equal">
      <formula>"כש"</formula>
    </cfRule>
    <cfRule type="cellIs" dxfId="4876" priority="649" operator="equal">
      <formula>"כ"</formula>
    </cfRule>
  </conditionalFormatting>
  <conditionalFormatting sqref="BJ20:BK21">
    <cfRule type="cellIs" dxfId="4875" priority="608" operator="equal">
      <formula>"כש"</formula>
    </cfRule>
    <cfRule type="cellIs" dxfId="4874" priority="609" operator="equal">
      <formula>"כ"</formula>
    </cfRule>
  </conditionalFormatting>
  <conditionalFormatting sqref="BJ24:BK25">
    <cfRule type="cellIs" dxfId="4873" priority="569" operator="equal">
      <formula>"כ"</formula>
    </cfRule>
    <cfRule type="cellIs" dxfId="4872" priority="568" operator="equal">
      <formula>"כש"</formula>
    </cfRule>
  </conditionalFormatting>
  <conditionalFormatting sqref="BJ28:BK29">
    <cfRule type="cellIs" dxfId="4871" priority="217" operator="equal">
      <formula>"כ"</formula>
    </cfRule>
    <cfRule type="cellIs" dxfId="4870" priority="216" operator="equal">
      <formula>"כש"</formula>
    </cfRule>
  </conditionalFormatting>
  <conditionalFormatting sqref="BJ32:BK33">
    <cfRule type="cellIs" dxfId="4869" priority="165" operator="equal">
      <formula>"כש"</formula>
    </cfRule>
    <cfRule type="cellIs" dxfId="4868" priority="166" operator="equal">
      <formula>"כ"</formula>
    </cfRule>
  </conditionalFormatting>
  <conditionalFormatting sqref="BL5:BL35">
    <cfRule type="cellIs" dxfId="4867" priority="1297" operator="equal">
      <formula>"ח"</formula>
    </cfRule>
  </conditionalFormatting>
  <conditionalFormatting sqref="BL7:BL25">
    <cfRule type="cellIs" dxfId="4866" priority="726" operator="equal">
      <formula>"ח"</formula>
    </cfRule>
  </conditionalFormatting>
  <conditionalFormatting sqref="BL8">
    <cfRule type="cellIs" dxfId="4865" priority="723" stopIfTrue="1" operator="equal">
      <formula>"ח"</formula>
    </cfRule>
    <cfRule type="cellIs" dxfId="4864" priority="715" operator="equal">
      <formula>"כש"</formula>
    </cfRule>
    <cfRule type="cellIs" dxfId="4863" priority="714" stopIfTrue="1" operator="equal">
      <formula>"ח"</formula>
    </cfRule>
    <cfRule type="cellIs" dxfId="4862" priority="716" operator="equal">
      <formula>"כ"</formula>
    </cfRule>
  </conditionalFormatting>
  <conditionalFormatting sqref="BL8:BL9">
    <cfRule type="cellIs" dxfId="4861" priority="724" operator="equal">
      <formula>"כש"</formula>
    </cfRule>
    <cfRule type="cellIs" dxfId="4860" priority="725" operator="equal">
      <formula>"כ"</formula>
    </cfRule>
  </conditionalFormatting>
  <conditionalFormatting sqref="BL9">
    <cfRule type="cellIs" dxfId="4859" priority="701" operator="equal">
      <formula>"כ"</formula>
    </cfRule>
    <cfRule type="cellIs" dxfId="4858" priority="700" operator="equal">
      <formula>"כש"</formula>
    </cfRule>
    <cfRule type="cellIs" dxfId="4857" priority="698" operator="equal">
      <formula>"ח"</formula>
    </cfRule>
  </conditionalFormatting>
  <conditionalFormatting sqref="BL12">
    <cfRule type="cellIs" dxfId="4856" priority="676" operator="equal">
      <formula>"כ"</formula>
    </cfRule>
    <cfRule type="cellIs" dxfId="4855" priority="674" stopIfTrue="1" operator="equal">
      <formula>"ח"</formula>
    </cfRule>
    <cfRule type="cellIs" dxfId="4854" priority="675" operator="equal">
      <formula>"כש"</formula>
    </cfRule>
    <cfRule type="cellIs" dxfId="4853" priority="683" stopIfTrue="1" operator="equal">
      <formula>"ח"</formula>
    </cfRule>
  </conditionalFormatting>
  <conditionalFormatting sqref="BL12:BL13">
    <cfRule type="cellIs" dxfId="4852" priority="684" operator="equal">
      <formula>"כש"</formula>
    </cfRule>
    <cfRule type="cellIs" dxfId="4851" priority="685" operator="equal">
      <formula>"כ"</formula>
    </cfRule>
  </conditionalFormatting>
  <conditionalFormatting sqref="BL13">
    <cfRule type="cellIs" dxfId="4850" priority="661" operator="equal">
      <formula>"כ"</formula>
    </cfRule>
    <cfRule type="cellIs" dxfId="4849" priority="658" operator="equal">
      <formula>"ח"</formula>
    </cfRule>
    <cfRule type="cellIs" dxfId="4848" priority="660" operator="equal">
      <formula>"כש"</formula>
    </cfRule>
    <cfRule type="cellIs" dxfId="4847" priority="686" operator="equal">
      <formula>"ח"</formula>
    </cfRule>
  </conditionalFormatting>
  <conditionalFormatting sqref="BL16">
    <cfRule type="cellIs" dxfId="4846" priority="643" stopIfTrue="1" operator="equal">
      <formula>"ח"</formula>
    </cfRule>
    <cfRule type="cellIs" dxfId="4845" priority="636" operator="equal">
      <formula>"כ"</formula>
    </cfRule>
    <cfRule type="cellIs" dxfId="4844" priority="635" operator="equal">
      <formula>"כש"</formula>
    </cfRule>
    <cfRule type="cellIs" dxfId="4843" priority="634" stopIfTrue="1" operator="equal">
      <formula>"ח"</formula>
    </cfRule>
  </conditionalFormatting>
  <conditionalFormatting sqref="BL16:BL17">
    <cfRule type="cellIs" dxfId="4842" priority="645" operator="equal">
      <formula>"כ"</formula>
    </cfRule>
    <cfRule type="cellIs" dxfId="4841" priority="644" operator="equal">
      <formula>"כש"</formula>
    </cfRule>
  </conditionalFormatting>
  <conditionalFormatting sqref="BL17">
    <cfRule type="cellIs" dxfId="4840" priority="646" operator="equal">
      <formula>"ח"</formula>
    </cfRule>
    <cfRule type="cellIs" dxfId="4839" priority="621" operator="equal">
      <formula>"כ"</formula>
    </cfRule>
    <cfRule type="cellIs" dxfId="4838" priority="620" operator="equal">
      <formula>"כש"</formula>
    </cfRule>
    <cfRule type="cellIs" dxfId="4837" priority="618" operator="equal">
      <formula>"ח"</formula>
    </cfRule>
  </conditionalFormatting>
  <conditionalFormatting sqref="BL20">
    <cfRule type="cellIs" dxfId="4836" priority="594" stopIfTrue="1" operator="equal">
      <formula>"ח"</formula>
    </cfRule>
    <cfRule type="cellIs" dxfId="4835" priority="595" operator="equal">
      <formula>"כש"</formula>
    </cfRule>
    <cfRule type="cellIs" dxfId="4834" priority="596" operator="equal">
      <formula>"כ"</formula>
    </cfRule>
    <cfRule type="cellIs" dxfId="4833" priority="603" stopIfTrue="1" operator="equal">
      <formula>"ח"</formula>
    </cfRule>
  </conditionalFormatting>
  <conditionalFormatting sqref="BL20:BL21">
    <cfRule type="cellIs" dxfId="4832" priority="604" operator="equal">
      <formula>"כש"</formula>
    </cfRule>
    <cfRule type="cellIs" dxfId="4831" priority="605" operator="equal">
      <formula>"כ"</formula>
    </cfRule>
  </conditionalFormatting>
  <conditionalFormatting sqref="BL21">
    <cfRule type="cellIs" dxfId="4830" priority="580" operator="equal">
      <formula>"כש"</formula>
    </cfRule>
    <cfRule type="cellIs" dxfId="4829" priority="578" operator="equal">
      <formula>"ח"</formula>
    </cfRule>
    <cfRule type="cellIs" dxfId="4828" priority="606" operator="equal">
      <formula>"ח"</formula>
    </cfRule>
    <cfRule type="cellIs" dxfId="4827" priority="581" operator="equal">
      <formula>"כ"</formula>
    </cfRule>
  </conditionalFormatting>
  <conditionalFormatting sqref="BL24">
    <cfRule type="cellIs" dxfId="4826" priority="555" operator="equal">
      <formula>"כש"</formula>
    </cfRule>
    <cfRule type="cellIs" dxfId="4825" priority="554" stopIfTrue="1" operator="equal">
      <formula>"ח"</formula>
    </cfRule>
    <cfRule type="cellIs" dxfId="4824" priority="556" operator="equal">
      <formula>"כ"</formula>
    </cfRule>
    <cfRule type="cellIs" dxfId="4823" priority="563" stopIfTrue="1" operator="equal">
      <formula>"ח"</formula>
    </cfRule>
  </conditionalFormatting>
  <conditionalFormatting sqref="BL24:BL25">
    <cfRule type="cellIs" dxfId="4822" priority="564" operator="equal">
      <formula>"כש"</formula>
    </cfRule>
    <cfRule type="cellIs" dxfId="4821" priority="565" operator="equal">
      <formula>"כ"</formula>
    </cfRule>
  </conditionalFormatting>
  <conditionalFormatting sqref="BL25">
    <cfRule type="cellIs" dxfId="4820" priority="540" operator="equal">
      <formula>"כש"</formula>
    </cfRule>
    <cfRule type="cellIs" dxfId="4819" priority="538" operator="equal">
      <formula>"ח"</formula>
    </cfRule>
    <cfRule type="cellIs" dxfId="4818" priority="541" operator="equal">
      <formula>"כ"</formula>
    </cfRule>
    <cfRule type="cellIs" dxfId="4817" priority="566" operator="equal">
      <formula>"ח"</formula>
    </cfRule>
  </conditionalFormatting>
  <conditionalFormatting sqref="BL28">
    <cfRule type="cellIs" dxfId="4816" priority="202" stopIfTrue="1" operator="equal">
      <formula>"ח"</formula>
    </cfRule>
    <cfRule type="cellIs" dxfId="4815" priority="203" operator="equal">
      <formula>"כש"</formula>
    </cfRule>
    <cfRule type="cellIs" dxfId="4814" priority="204" operator="equal">
      <formula>"כ"</formula>
    </cfRule>
    <cfRule type="cellIs" dxfId="4813" priority="211" stopIfTrue="1" operator="equal">
      <formula>"ח"</formula>
    </cfRule>
  </conditionalFormatting>
  <conditionalFormatting sqref="BL28:BL29">
    <cfRule type="cellIs" dxfId="4812" priority="212" operator="equal">
      <formula>"כש"</formula>
    </cfRule>
    <cfRule type="cellIs" dxfId="4811" priority="213" operator="equal">
      <formula>"כ"</formula>
    </cfRule>
    <cfRule type="cellIs" dxfId="4810" priority="214" operator="equal">
      <formula>"ח"</formula>
    </cfRule>
    <cfRule type="cellIs" dxfId="4809" priority="233" operator="equal">
      <formula>"ח"</formula>
    </cfRule>
  </conditionalFormatting>
  <conditionalFormatting sqref="BL29">
    <cfRule type="cellIs" dxfId="4808" priority="186" operator="equal">
      <formula>"ח"</formula>
    </cfRule>
    <cfRule type="cellIs" dxfId="4807" priority="188" operator="equal">
      <formula>"כש"</formula>
    </cfRule>
    <cfRule type="cellIs" dxfId="4806" priority="189" operator="equal">
      <formula>"כ"</formula>
    </cfRule>
  </conditionalFormatting>
  <conditionalFormatting sqref="BL32">
    <cfRule type="cellIs" dxfId="4805" priority="160" stopIfTrue="1" operator="equal">
      <formula>"ח"</formula>
    </cfRule>
    <cfRule type="cellIs" dxfId="4804" priority="153" operator="equal">
      <formula>"כ"</formula>
    </cfRule>
    <cfRule type="cellIs" dxfId="4803" priority="151" stopIfTrue="1" operator="equal">
      <formula>"ח"</formula>
    </cfRule>
    <cfRule type="cellIs" dxfId="4802" priority="152" operator="equal">
      <formula>"כש"</formula>
    </cfRule>
  </conditionalFormatting>
  <conditionalFormatting sqref="BL32:BL33">
    <cfRule type="cellIs" dxfId="4801" priority="182" operator="equal">
      <formula>"ח"</formula>
    </cfRule>
    <cfRule type="cellIs" dxfId="4800" priority="162" operator="equal">
      <formula>"כ"</formula>
    </cfRule>
    <cfRule type="cellIs" dxfId="4799" priority="163" operator="equal">
      <formula>"ח"</formula>
    </cfRule>
    <cfRule type="cellIs" dxfId="4798" priority="161" operator="equal">
      <formula>"כש"</formula>
    </cfRule>
  </conditionalFormatting>
  <conditionalFormatting sqref="BL33">
    <cfRule type="cellIs" dxfId="4797" priority="137" operator="equal">
      <formula>"כש"</formula>
    </cfRule>
    <cfRule type="cellIs" dxfId="4796" priority="135" operator="equal">
      <formula>"ח"</formula>
    </cfRule>
    <cfRule type="cellIs" dxfId="4795" priority="138" operator="equal">
      <formula>"כ"</formula>
    </cfRule>
  </conditionalFormatting>
  <conditionalFormatting sqref="BM5:BO35">
    <cfRule type="cellIs" dxfId="4794" priority="1686" operator="equal">
      <formula>"כ"</formula>
    </cfRule>
    <cfRule type="cellIs" dxfId="4793" priority="1685" operator="equal">
      <formula>"כש"</formula>
    </cfRule>
  </conditionalFormatting>
  <conditionalFormatting sqref="BN5">
    <cfRule type="cellIs" dxfId="4792" priority="1684" stopIfTrue="1" operator="equal">
      <formula>"ח"</formula>
    </cfRule>
  </conditionalFormatting>
  <conditionalFormatting sqref="BN6:BN10">
    <cfRule type="cellIs" dxfId="4791" priority="1286" operator="equal">
      <formula>"כש"</formula>
    </cfRule>
    <cfRule type="cellIs" dxfId="4790" priority="1287" operator="equal">
      <formula>"כ"</formula>
    </cfRule>
    <cfRule type="cellIs" dxfId="4789" priority="1284" operator="equal">
      <formula>"ח"</formula>
    </cfRule>
  </conditionalFormatting>
  <conditionalFormatting sqref="BN9">
    <cfRule type="cellIs" dxfId="4788" priority="942" stopIfTrue="1" operator="equal">
      <formula>"ח"</formula>
    </cfRule>
  </conditionalFormatting>
  <conditionalFormatting sqref="BN10">
    <cfRule type="cellIs" dxfId="4787" priority="917" operator="equal">
      <formula>"ח"</formula>
    </cfRule>
    <cfRule type="cellIs" dxfId="4786" priority="920" operator="equal">
      <formula>"כ"</formula>
    </cfRule>
    <cfRule type="cellIs" dxfId="4785" priority="919" operator="equal">
      <formula>"כש"</formula>
    </cfRule>
  </conditionalFormatting>
  <conditionalFormatting sqref="BN13">
    <cfRule type="cellIs" dxfId="4784" priority="902" stopIfTrue="1" operator="equal">
      <formula>"ח"</formula>
    </cfRule>
  </conditionalFormatting>
  <conditionalFormatting sqref="BN13:BN14">
    <cfRule type="cellIs" dxfId="4783" priority="877" operator="equal">
      <formula>"ח"</formula>
    </cfRule>
    <cfRule type="cellIs" dxfId="4782" priority="879" operator="equal">
      <formula>"כש"</formula>
    </cfRule>
    <cfRule type="cellIs" dxfId="4781" priority="880" operator="equal">
      <formula>"כ"</formula>
    </cfRule>
  </conditionalFormatting>
  <conditionalFormatting sqref="BN17">
    <cfRule type="cellIs" dxfId="4780" priority="862" stopIfTrue="1" operator="equal">
      <formula>"ח"</formula>
    </cfRule>
  </conditionalFormatting>
  <conditionalFormatting sqref="BN18">
    <cfRule type="cellIs" dxfId="4779" priority="840" operator="equal">
      <formula>"כ"</formula>
    </cfRule>
    <cfRule type="cellIs" dxfId="4778" priority="839" operator="equal">
      <formula>"כש"</formula>
    </cfRule>
    <cfRule type="cellIs" dxfId="4777" priority="837" operator="equal">
      <formula>"ח"</formula>
    </cfRule>
  </conditionalFormatting>
  <conditionalFormatting sqref="BN21">
    <cfRule type="cellIs" dxfId="4776" priority="822" stopIfTrue="1" operator="equal">
      <formula>"ח"</formula>
    </cfRule>
  </conditionalFormatting>
  <conditionalFormatting sqref="BN22">
    <cfRule type="cellIs" dxfId="4775" priority="797" operator="equal">
      <formula>"ח"</formula>
    </cfRule>
    <cfRule type="cellIs" dxfId="4774" priority="799" operator="equal">
      <formula>"כש"</formula>
    </cfRule>
    <cfRule type="cellIs" dxfId="4773" priority="800" operator="equal">
      <formula>"כ"</formula>
    </cfRule>
  </conditionalFormatting>
  <conditionalFormatting sqref="BN25">
    <cfRule type="cellIs" dxfId="4772" priority="782" stopIfTrue="1" operator="equal">
      <formula>"ח"</formula>
    </cfRule>
  </conditionalFormatting>
  <conditionalFormatting sqref="BN26">
    <cfRule type="cellIs" dxfId="4771" priority="760" operator="equal">
      <formula>"כ"</formula>
    </cfRule>
    <cfRule type="cellIs" dxfId="4770" priority="757" operator="equal">
      <formula>"ח"</formula>
    </cfRule>
    <cfRule type="cellIs" dxfId="4769" priority="759" operator="equal">
      <formula>"כש"</formula>
    </cfRule>
  </conditionalFormatting>
  <conditionalFormatting sqref="BN29">
    <cfRule type="cellIs" dxfId="4768" priority="119" stopIfTrue="1" operator="equal">
      <formula>"ח"</formula>
    </cfRule>
  </conditionalFormatting>
  <conditionalFormatting sqref="BN29:BN30">
    <cfRule type="cellIs" dxfId="4767" priority="134" operator="equal">
      <formula>"ח"</formula>
    </cfRule>
  </conditionalFormatting>
  <conditionalFormatting sqref="BN30">
    <cfRule type="cellIs" dxfId="4766" priority="94" operator="equal">
      <formula>"ח"</formula>
    </cfRule>
    <cfRule type="cellIs" dxfId="4765" priority="96" operator="equal">
      <formula>"כש"</formula>
    </cfRule>
    <cfRule type="cellIs" dxfId="4764" priority="97" operator="equal">
      <formula>"כ"</formula>
    </cfRule>
  </conditionalFormatting>
  <conditionalFormatting sqref="BN33">
    <cfRule type="cellIs" dxfId="4763" priority="66" stopIfTrue="1" operator="equal">
      <formula>"ח"</formula>
    </cfRule>
  </conditionalFormatting>
  <conditionalFormatting sqref="BN33:BN34">
    <cfRule type="cellIs" dxfId="4762" priority="81" operator="equal">
      <formula>"ח"</formula>
    </cfRule>
  </conditionalFormatting>
  <conditionalFormatting sqref="BN34">
    <cfRule type="cellIs" dxfId="4761" priority="43" operator="equal">
      <formula>"כש"</formula>
    </cfRule>
    <cfRule type="cellIs" dxfId="4760" priority="44" operator="equal">
      <formula>"כ"</formula>
    </cfRule>
    <cfRule type="cellIs" dxfId="4759" priority="41" operator="equal">
      <formula>"ח"</formula>
    </cfRule>
  </conditionalFormatting>
  <conditionalFormatting sqref="BN13:BO14">
    <cfRule type="cellIs" dxfId="4758" priority="904" operator="equal">
      <formula>"כ"</formula>
    </cfRule>
    <cfRule type="cellIs" dxfId="4757" priority="903" operator="equal">
      <formula>"כש"</formula>
    </cfRule>
  </conditionalFormatting>
  <conditionalFormatting sqref="BN17:BO18">
    <cfRule type="cellIs" dxfId="4756" priority="863" operator="equal">
      <formula>"כש"</formula>
    </cfRule>
    <cfRule type="cellIs" dxfId="4755" priority="864" operator="equal">
      <formula>"כ"</formula>
    </cfRule>
  </conditionalFormatting>
  <conditionalFormatting sqref="BN21:BO22">
    <cfRule type="cellIs" dxfId="4754" priority="824" operator="equal">
      <formula>"כ"</formula>
    </cfRule>
    <cfRule type="cellIs" dxfId="4753" priority="823" operator="equal">
      <formula>"כש"</formula>
    </cfRule>
  </conditionalFormatting>
  <conditionalFormatting sqref="BN25:BO26">
    <cfRule type="cellIs" dxfId="4752" priority="783" operator="equal">
      <formula>"כש"</formula>
    </cfRule>
    <cfRule type="cellIs" dxfId="4751" priority="784" operator="equal">
      <formula>"כ"</formula>
    </cfRule>
  </conditionalFormatting>
  <conditionalFormatting sqref="BN8:BT26">
    <cfRule type="cellIs" dxfId="4750" priority="943" operator="equal">
      <formula>"כש"</formula>
    </cfRule>
    <cfRule type="cellIs" dxfId="4749" priority="944" operator="equal">
      <formula>"כ"</formula>
    </cfRule>
  </conditionalFormatting>
  <conditionalFormatting sqref="BN29:BT30">
    <cfRule type="cellIs" dxfId="4748" priority="120" operator="equal">
      <formula>"כש"</formula>
    </cfRule>
    <cfRule type="cellIs" dxfId="4747" priority="121" operator="equal">
      <formula>"כ"</formula>
    </cfRule>
  </conditionalFormatting>
  <conditionalFormatting sqref="BN33:BT34">
    <cfRule type="cellIs" dxfId="4746" priority="67" operator="equal">
      <formula>"כש"</formula>
    </cfRule>
    <cfRule type="cellIs" dxfId="4745" priority="68" operator="equal">
      <formula>"כ"</formula>
    </cfRule>
  </conditionalFormatting>
  <conditionalFormatting sqref="BP5">
    <cfRule type="cellIs" dxfId="4744" priority="1596" stopIfTrue="1" operator="equal">
      <formula>"ח"</formula>
    </cfRule>
    <cfRule type="cellIs" dxfId="4743" priority="1294" stopIfTrue="1" operator="equal">
      <formula>"ח"</formula>
    </cfRule>
    <cfRule type="cellIs" dxfId="4742" priority="1295" operator="equal">
      <formula>"כש"</formula>
    </cfRule>
    <cfRule type="cellIs" dxfId="4741" priority="1296" operator="equal">
      <formula>"כ"</formula>
    </cfRule>
  </conditionalFormatting>
  <conditionalFormatting sqref="BP6">
    <cfRule type="cellIs" dxfId="4740" priority="1283" operator="equal">
      <formula>"כ"</formula>
    </cfRule>
    <cfRule type="cellIs" dxfId="4739" priority="1280" operator="equal">
      <formula>"ח"</formula>
    </cfRule>
    <cfRule type="cellIs" dxfId="4738" priority="1282" operator="equal">
      <formula>"כש"</formula>
    </cfRule>
  </conditionalFormatting>
  <conditionalFormatting sqref="BP6:BP35">
    <cfRule type="cellIs" dxfId="4737" priority="1607" operator="equal">
      <formula>"ח"</formula>
    </cfRule>
  </conditionalFormatting>
  <conditionalFormatting sqref="BP8:BP26">
    <cfRule type="cellIs" dxfId="4736" priority="941" operator="equal">
      <formula>"ח"</formula>
    </cfRule>
  </conditionalFormatting>
  <conditionalFormatting sqref="BP9">
    <cfRule type="cellIs" dxfId="4735" priority="927" stopIfTrue="1" operator="equal">
      <formula>"ח"</formula>
    </cfRule>
    <cfRule type="cellIs" dxfId="4734" priority="938" stopIfTrue="1" operator="equal">
      <formula>"ח"</formula>
    </cfRule>
    <cfRule type="cellIs" dxfId="4733" priority="929" operator="equal">
      <formula>"כ"</formula>
    </cfRule>
    <cfRule type="cellIs" dxfId="4732" priority="928" operator="equal">
      <formula>"כש"</formula>
    </cfRule>
  </conditionalFormatting>
  <conditionalFormatting sqref="BP10">
    <cfRule type="cellIs" dxfId="4731" priority="916" operator="equal">
      <formula>"כ"</formula>
    </cfRule>
    <cfRule type="cellIs" dxfId="4730" priority="915" operator="equal">
      <formula>"כש"</formula>
    </cfRule>
    <cfRule type="cellIs" dxfId="4729" priority="913" operator="equal">
      <formula>"ח"</formula>
    </cfRule>
  </conditionalFormatting>
  <conditionalFormatting sqref="BP13">
    <cfRule type="cellIs" dxfId="4728" priority="889" operator="equal">
      <formula>"כ"</formula>
    </cfRule>
    <cfRule type="cellIs" dxfId="4727" priority="888" operator="equal">
      <formula>"כש"</formula>
    </cfRule>
    <cfRule type="cellIs" dxfId="4726" priority="887" stopIfTrue="1" operator="equal">
      <formula>"ח"</formula>
    </cfRule>
    <cfRule type="cellIs" dxfId="4725" priority="898" stopIfTrue="1" operator="equal">
      <formula>"ח"</formula>
    </cfRule>
  </conditionalFormatting>
  <conditionalFormatting sqref="BP14">
    <cfRule type="cellIs" dxfId="4724" priority="873" operator="equal">
      <formula>"ח"</formula>
    </cfRule>
    <cfRule type="cellIs" dxfId="4723" priority="875" operator="equal">
      <formula>"כש"</formula>
    </cfRule>
    <cfRule type="cellIs" dxfId="4722" priority="876" operator="equal">
      <formula>"כ"</formula>
    </cfRule>
    <cfRule type="cellIs" dxfId="4721" priority="901" operator="equal">
      <formula>"ח"</formula>
    </cfRule>
  </conditionalFormatting>
  <conditionalFormatting sqref="BP17">
    <cfRule type="cellIs" dxfId="4720" priority="849" operator="equal">
      <formula>"כ"</formula>
    </cfRule>
    <cfRule type="cellIs" dxfId="4719" priority="848" operator="equal">
      <formula>"כש"</formula>
    </cfRule>
    <cfRule type="cellIs" dxfId="4718" priority="858" stopIfTrue="1" operator="equal">
      <formula>"ח"</formula>
    </cfRule>
    <cfRule type="cellIs" dxfId="4717" priority="847" stopIfTrue="1" operator="equal">
      <formula>"ח"</formula>
    </cfRule>
  </conditionalFormatting>
  <conditionalFormatting sqref="BP18">
    <cfRule type="cellIs" dxfId="4716" priority="836" operator="equal">
      <formula>"כ"</formula>
    </cfRule>
    <cfRule type="cellIs" dxfId="4715" priority="835" operator="equal">
      <formula>"כש"</formula>
    </cfRule>
    <cfRule type="cellIs" dxfId="4714" priority="861" operator="equal">
      <formula>"ח"</formula>
    </cfRule>
    <cfRule type="cellIs" dxfId="4713" priority="833" operator="equal">
      <formula>"ח"</formula>
    </cfRule>
  </conditionalFormatting>
  <conditionalFormatting sqref="BP21">
    <cfRule type="cellIs" dxfId="4712" priority="809" operator="equal">
      <formula>"כ"</formula>
    </cfRule>
    <cfRule type="cellIs" dxfId="4711" priority="808" operator="equal">
      <formula>"כש"</formula>
    </cfRule>
    <cfRule type="cellIs" dxfId="4710" priority="818" stopIfTrue="1" operator="equal">
      <formula>"ח"</formula>
    </cfRule>
    <cfRule type="cellIs" dxfId="4709" priority="807" stopIfTrue="1" operator="equal">
      <formula>"ח"</formula>
    </cfRule>
  </conditionalFormatting>
  <conditionalFormatting sqref="BP22">
    <cfRule type="cellIs" dxfId="4708" priority="796" operator="equal">
      <formula>"כ"</formula>
    </cfRule>
    <cfRule type="cellIs" dxfId="4707" priority="795" operator="equal">
      <formula>"כש"</formula>
    </cfRule>
    <cfRule type="cellIs" dxfId="4706" priority="793" operator="equal">
      <formula>"ח"</formula>
    </cfRule>
    <cfRule type="cellIs" dxfId="4705" priority="821" operator="equal">
      <formula>"ח"</formula>
    </cfRule>
  </conditionalFormatting>
  <conditionalFormatting sqref="BP25">
    <cfRule type="cellIs" dxfId="4704" priority="767" stopIfTrue="1" operator="equal">
      <formula>"ח"</formula>
    </cfRule>
    <cfRule type="cellIs" dxfId="4703" priority="769" operator="equal">
      <formula>"כ"</formula>
    </cfRule>
    <cfRule type="cellIs" dxfId="4702" priority="768" operator="equal">
      <formula>"כש"</formula>
    </cfRule>
    <cfRule type="cellIs" dxfId="4701" priority="778" stopIfTrue="1" operator="equal">
      <formula>"ח"</formula>
    </cfRule>
  </conditionalFormatting>
  <conditionalFormatting sqref="BP26">
    <cfRule type="cellIs" dxfId="4700" priority="781" operator="equal">
      <formula>"ח"</formula>
    </cfRule>
    <cfRule type="cellIs" dxfId="4699" priority="753" operator="equal">
      <formula>"ח"</formula>
    </cfRule>
    <cfRule type="cellIs" dxfId="4698" priority="756" operator="equal">
      <formula>"כ"</formula>
    </cfRule>
    <cfRule type="cellIs" dxfId="4697" priority="755" operator="equal">
      <formula>"כש"</formula>
    </cfRule>
  </conditionalFormatting>
  <conditionalFormatting sqref="BP29">
    <cfRule type="cellIs" dxfId="4696" priority="106" operator="equal">
      <formula>"כ"</formula>
    </cfRule>
    <cfRule type="cellIs" dxfId="4695" priority="105" operator="equal">
      <formula>"כש"</formula>
    </cfRule>
    <cfRule type="cellIs" dxfId="4694" priority="104" stopIfTrue="1" operator="equal">
      <formula>"ח"</formula>
    </cfRule>
    <cfRule type="cellIs" dxfId="4693" priority="115" stopIfTrue="1" operator="equal">
      <formula>"ח"</formula>
    </cfRule>
  </conditionalFormatting>
  <conditionalFormatting sqref="BP29:BP30">
    <cfRule type="cellIs" dxfId="4692" priority="133" operator="equal">
      <formula>"ח"</formula>
    </cfRule>
    <cfRule type="cellIs" dxfId="4691" priority="118" operator="equal">
      <formula>"ח"</formula>
    </cfRule>
  </conditionalFormatting>
  <conditionalFormatting sqref="BP30">
    <cfRule type="cellIs" dxfId="4690" priority="93" operator="equal">
      <formula>"כ"</formula>
    </cfRule>
    <cfRule type="cellIs" dxfId="4689" priority="92" operator="equal">
      <formula>"כש"</formula>
    </cfRule>
    <cfRule type="cellIs" dxfId="4688" priority="90" operator="equal">
      <formula>"ח"</formula>
    </cfRule>
  </conditionalFormatting>
  <conditionalFormatting sqref="BP33">
    <cfRule type="cellIs" dxfId="4687" priority="52" operator="equal">
      <formula>"כש"</formula>
    </cfRule>
    <cfRule type="cellIs" dxfId="4686" priority="62" stopIfTrue="1" operator="equal">
      <formula>"ח"</formula>
    </cfRule>
    <cfRule type="cellIs" dxfId="4685" priority="51" stopIfTrue="1" operator="equal">
      <formula>"ח"</formula>
    </cfRule>
    <cfRule type="cellIs" dxfId="4684" priority="53" operator="equal">
      <formula>"כ"</formula>
    </cfRule>
  </conditionalFormatting>
  <conditionalFormatting sqref="BP33:BP34">
    <cfRule type="cellIs" dxfId="4683" priority="65" operator="equal">
      <formula>"ח"</formula>
    </cfRule>
    <cfRule type="cellIs" dxfId="4682" priority="80" operator="equal">
      <formula>"ח"</formula>
    </cfRule>
  </conditionalFormatting>
  <conditionalFormatting sqref="BP34">
    <cfRule type="cellIs" dxfId="4681" priority="37" operator="equal">
      <formula>"ח"</formula>
    </cfRule>
    <cfRule type="cellIs" dxfId="4680" priority="39" operator="equal">
      <formula>"כש"</formula>
    </cfRule>
    <cfRule type="cellIs" dxfId="4679" priority="40" operator="equal">
      <formula>"כ"</formula>
    </cfRule>
  </conditionalFormatting>
  <conditionalFormatting sqref="BP5:BQ35">
    <cfRule type="cellIs" dxfId="4678" priority="1597" operator="equal">
      <formula>"כש"</formula>
    </cfRule>
    <cfRule type="cellIs" dxfId="4677" priority="1598" operator="equal">
      <formula>"כ"</formula>
    </cfRule>
  </conditionalFormatting>
  <conditionalFormatting sqref="BP9:BQ10">
    <cfRule type="cellIs" dxfId="4676" priority="939" operator="equal">
      <formula>"כש"</formula>
    </cfRule>
    <cfRule type="cellIs" dxfId="4675" priority="940" operator="equal">
      <formula>"כ"</formula>
    </cfRule>
  </conditionalFormatting>
  <conditionalFormatting sqref="BP13:BQ14">
    <cfRule type="cellIs" dxfId="4674" priority="900" operator="equal">
      <formula>"כ"</formula>
    </cfRule>
    <cfRule type="cellIs" dxfId="4673" priority="899" operator="equal">
      <formula>"כש"</formula>
    </cfRule>
  </conditionalFormatting>
  <conditionalFormatting sqref="BP17:BQ18">
    <cfRule type="cellIs" dxfId="4672" priority="859" operator="equal">
      <formula>"כש"</formula>
    </cfRule>
    <cfRule type="cellIs" dxfId="4671" priority="860" operator="equal">
      <formula>"כ"</formula>
    </cfRule>
  </conditionalFormatting>
  <conditionalFormatting sqref="BP21:BQ22">
    <cfRule type="cellIs" dxfId="4670" priority="820" operator="equal">
      <formula>"כ"</formula>
    </cfRule>
    <cfRule type="cellIs" dxfId="4669" priority="819" operator="equal">
      <formula>"כש"</formula>
    </cfRule>
  </conditionalFormatting>
  <conditionalFormatting sqref="BP25:BQ26">
    <cfRule type="cellIs" dxfId="4668" priority="779" operator="equal">
      <formula>"כש"</formula>
    </cfRule>
    <cfRule type="cellIs" dxfId="4667" priority="780" operator="equal">
      <formula>"כ"</formula>
    </cfRule>
  </conditionalFormatting>
  <conditionalFormatting sqref="BP29:BQ30">
    <cfRule type="cellIs" dxfId="4666" priority="116" operator="equal">
      <formula>"כש"</formula>
    </cfRule>
    <cfRule type="cellIs" dxfId="4665" priority="117" operator="equal">
      <formula>"כ"</formula>
    </cfRule>
  </conditionalFormatting>
  <conditionalFormatting sqref="BP33:BQ34">
    <cfRule type="cellIs" dxfId="4664" priority="64" operator="equal">
      <formula>"כ"</formula>
    </cfRule>
    <cfRule type="cellIs" dxfId="4663" priority="63" operator="equal">
      <formula>"כש"</formula>
    </cfRule>
  </conditionalFormatting>
  <conditionalFormatting sqref="BQ3:CA3 BQ4">
    <cfRule type="cellIs" dxfId="4662" priority="1417" operator="equal">
      <formula>"מיל"</formula>
    </cfRule>
    <cfRule type="cellIs" dxfId="4661" priority="1416" operator="equal">
      <formula>"מנוחה"</formula>
    </cfRule>
    <cfRule type="cellIs" dxfId="4660" priority="1415" operator="equal">
      <formula>"מ"</formula>
    </cfRule>
    <cfRule type="cellIs" dxfId="4659" priority="1413" operator="equal">
      <formula>"כמ"</formula>
    </cfRule>
    <cfRule type="cellIs" dxfId="4658" priority="1418" operator="equal">
      <formula>"ח"</formula>
    </cfRule>
    <cfRule type="cellIs" dxfId="4657" priority="1412" operator="equal">
      <formula>"כמש"</formula>
    </cfRule>
    <cfRule type="cellIs" dxfId="4656" priority="1414" operator="equal">
      <formula>"ק"</formula>
    </cfRule>
    <cfRule type="cellIs" dxfId="4655" priority="1411" operator="equal">
      <formula>"י"</formula>
    </cfRule>
    <cfRule type="cellIs" dxfId="4654" priority="1410" operator="equal">
      <formula>"ל"</formula>
    </cfRule>
    <cfRule type="cellIs" dxfId="4653" priority="1420" operator="equal">
      <formula>"כ"</formula>
    </cfRule>
    <cfRule type="cellIs" dxfId="4652" priority="1419" operator="equal">
      <formula>"כש"</formula>
    </cfRule>
  </conditionalFormatting>
  <conditionalFormatting sqref="BR5">
    <cfRule type="cellIs" dxfId="4651" priority="1292" operator="equal">
      <formula>"כש"</formula>
    </cfRule>
    <cfRule type="cellIs" dxfId="4650" priority="1574" stopIfTrue="1" operator="equal">
      <formula>"ח"</formula>
    </cfRule>
    <cfRule type="cellIs" dxfId="4649" priority="1293" operator="equal">
      <formula>"כ"</formula>
    </cfRule>
    <cfRule type="cellIs" dxfId="4648" priority="1291" stopIfTrue="1" operator="equal">
      <formula>"ח"</formula>
    </cfRule>
  </conditionalFormatting>
  <conditionalFormatting sqref="BR6">
    <cfRule type="cellIs" dxfId="4647" priority="1278" operator="equal">
      <formula>"כש"</formula>
    </cfRule>
    <cfRule type="cellIs" dxfId="4646" priority="1276" operator="equal">
      <formula>"ח"</formula>
    </cfRule>
    <cfRule type="cellIs" dxfId="4645" priority="1279" operator="equal">
      <formula>"כ"</formula>
    </cfRule>
  </conditionalFormatting>
  <conditionalFormatting sqref="BR6:BR35">
    <cfRule type="cellIs" dxfId="4644" priority="1585" operator="equal">
      <formula>"ח"</formula>
    </cfRule>
  </conditionalFormatting>
  <conditionalFormatting sqref="BR8:BR26">
    <cfRule type="cellIs" dxfId="4643" priority="937" operator="equal">
      <formula>"ח"</formula>
    </cfRule>
  </conditionalFormatting>
  <conditionalFormatting sqref="BR9">
    <cfRule type="cellIs" dxfId="4642" priority="934" stopIfTrue="1" operator="equal">
      <formula>"ח"</formula>
    </cfRule>
    <cfRule type="cellIs" dxfId="4641" priority="925" operator="equal">
      <formula>"כש"</formula>
    </cfRule>
    <cfRule type="cellIs" dxfId="4640" priority="926" operator="equal">
      <formula>"כ"</formula>
    </cfRule>
    <cfRule type="cellIs" dxfId="4639" priority="924" stopIfTrue="1" operator="equal">
      <formula>"ח"</formula>
    </cfRule>
  </conditionalFormatting>
  <conditionalFormatting sqref="BR10">
    <cfRule type="cellIs" dxfId="4638" priority="909" operator="equal">
      <formula>"ח"</formula>
    </cfRule>
    <cfRule type="cellIs" dxfId="4637" priority="911" operator="equal">
      <formula>"כש"</formula>
    </cfRule>
    <cfRule type="cellIs" dxfId="4636" priority="912" operator="equal">
      <formula>"כ"</formula>
    </cfRule>
  </conditionalFormatting>
  <conditionalFormatting sqref="BR13">
    <cfRule type="cellIs" dxfId="4635" priority="884" stopIfTrue="1" operator="equal">
      <formula>"ח"</formula>
    </cfRule>
    <cfRule type="cellIs" dxfId="4634" priority="885" operator="equal">
      <formula>"כש"</formula>
    </cfRule>
    <cfRule type="cellIs" dxfId="4633" priority="894" stopIfTrue="1" operator="equal">
      <formula>"ח"</formula>
    </cfRule>
    <cfRule type="cellIs" dxfId="4632" priority="886" operator="equal">
      <formula>"כ"</formula>
    </cfRule>
  </conditionalFormatting>
  <conditionalFormatting sqref="BR14">
    <cfRule type="cellIs" dxfId="4631" priority="871" operator="equal">
      <formula>"כש"</formula>
    </cfRule>
    <cfRule type="cellIs" dxfId="4630" priority="872" operator="equal">
      <formula>"כ"</formula>
    </cfRule>
    <cfRule type="cellIs" dxfId="4629" priority="897" operator="equal">
      <formula>"ח"</formula>
    </cfRule>
    <cfRule type="cellIs" dxfId="4628" priority="869" operator="equal">
      <formula>"ח"</formula>
    </cfRule>
  </conditionalFormatting>
  <conditionalFormatting sqref="BR17">
    <cfRule type="cellIs" dxfId="4627" priority="845" operator="equal">
      <formula>"כש"</formula>
    </cfRule>
    <cfRule type="cellIs" dxfId="4626" priority="846" operator="equal">
      <formula>"כ"</formula>
    </cfRule>
    <cfRule type="cellIs" dxfId="4625" priority="844" stopIfTrue="1" operator="equal">
      <formula>"ח"</formula>
    </cfRule>
    <cfRule type="cellIs" dxfId="4624" priority="854" stopIfTrue="1" operator="equal">
      <formula>"ח"</formula>
    </cfRule>
  </conditionalFormatting>
  <conditionalFormatting sqref="BR18">
    <cfRule type="cellIs" dxfId="4623" priority="857" operator="equal">
      <formula>"ח"</formula>
    </cfRule>
    <cfRule type="cellIs" dxfId="4622" priority="832" operator="equal">
      <formula>"כ"</formula>
    </cfRule>
    <cfRule type="cellIs" dxfId="4621" priority="829" operator="equal">
      <formula>"ח"</formula>
    </cfRule>
    <cfRule type="cellIs" dxfId="4620" priority="831" operator="equal">
      <formula>"כש"</formula>
    </cfRule>
  </conditionalFormatting>
  <conditionalFormatting sqref="BR21">
    <cfRule type="cellIs" dxfId="4619" priority="806" operator="equal">
      <formula>"כ"</formula>
    </cfRule>
    <cfRule type="cellIs" dxfId="4618" priority="814" stopIfTrue="1" operator="equal">
      <formula>"ח"</formula>
    </cfRule>
    <cfRule type="cellIs" dxfId="4617" priority="805" operator="equal">
      <formula>"כש"</formula>
    </cfRule>
    <cfRule type="cellIs" dxfId="4616" priority="804" stopIfTrue="1" operator="equal">
      <formula>"ח"</formula>
    </cfRule>
  </conditionalFormatting>
  <conditionalFormatting sqref="BR22">
    <cfRule type="cellIs" dxfId="4615" priority="817" operator="equal">
      <formula>"ח"</formula>
    </cfRule>
    <cfRule type="cellIs" dxfId="4614" priority="789" operator="equal">
      <formula>"ח"</formula>
    </cfRule>
    <cfRule type="cellIs" dxfId="4613" priority="791" operator="equal">
      <formula>"כש"</formula>
    </cfRule>
    <cfRule type="cellIs" dxfId="4612" priority="792" operator="equal">
      <formula>"כ"</formula>
    </cfRule>
  </conditionalFormatting>
  <conditionalFormatting sqref="BR25">
    <cfRule type="cellIs" dxfId="4611" priority="765" operator="equal">
      <formula>"כש"</formula>
    </cfRule>
    <cfRule type="cellIs" dxfId="4610" priority="764" stopIfTrue="1" operator="equal">
      <formula>"ח"</formula>
    </cfRule>
    <cfRule type="cellIs" dxfId="4609" priority="766" operator="equal">
      <formula>"כ"</formula>
    </cfRule>
    <cfRule type="cellIs" dxfId="4608" priority="774" stopIfTrue="1" operator="equal">
      <formula>"ח"</formula>
    </cfRule>
  </conditionalFormatting>
  <conditionalFormatting sqref="BR26">
    <cfRule type="cellIs" dxfId="4607" priority="751" operator="equal">
      <formula>"כש"</formula>
    </cfRule>
    <cfRule type="cellIs" dxfId="4606" priority="749" operator="equal">
      <formula>"ח"</formula>
    </cfRule>
    <cfRule type="cellIs" dxfId="4605" priority="752" operator="equal">
      <formula>"כ"</formula>
    </cfRule>
    <cfRule type="cellIs" dxfId="4604" priority="777" operator="equal">
      <formula>"ח"</formula>
    </cfRule>
  </conditionalFormatting>
  <conditionalFormatting sqref="BR29">
    <cfRule type="cellIs" dxfId="4603" priority="111" stopIfTrue="1" operator="equal">
      <formula>"ח"</formula>
    </cfRule>
    <cfRule type="cellIs" dxfId="4602" priority="103" operator="equal">
      <formula>"כ"</formula>
    </cfRule>
    <cfRule type="cellIs" dxfId="4601" priority="102" operator="equal">
      <formula>"כש"</formula>
    </cfRule>
    <cfRule type="cellIs" dxfId="4600" priority="101" stopIfTrue="1" operator="equal">
      <formula>"ח"</formula>
    </cfRule>
  </conditionalFormatting>
  <conditionalFormatting sqref="BR29:BR30">
    <cfRule type="cellIs" dxfId="4599" priority="132" operator="equal">
      <formula>"ח"</formula>
    </cfRule>
    <cfRule type="cellIs" dxfId="4598" priority="114" operator="equal">
      <formula>"ח"</formula>
    </cfRule>
  </conditionalFormatting>
  <conditionalFormatting sqref="BR30">
    <cfRule type="cellIs" dxfId="4597" priority="89" operator="equal">
      <formula>"כ"</formula>
    </cfRule>
    <cfRule type="cellIs" dxfId="4596" priority="88" operator="equal">
      <formula>"כש"</formula>
    </cfRule>
    <cfRule type="cellIs" dxfId="4595" priority="86" operator="equal">
      <formula>"ח"</formula>
    </cfRule>
  </conditionalFormatting>
  <conditionalFormatting sqref="BR33">
    <cfRule type="cellIs" dxfId="4594" priority="58" stopIfTrue="1" operator="equal">
      <formula>"ח"</formula>
    </cfRule>
    <cfRule type="cellIs" dxfId="4593" priority="50" operator="equal">
      <formula>"כ"</formula>
    </cfRule>
    <cfRule type="cellIs" dxfId="4592" priority="49" operator="equal">
      <formula>"כש"</formula>
    </cfRule>
    <cfRule type="cellIs" dxfId="4591" priority="48" stopIfTrue="1" operator="equal">
      <formula>"ח"</formula>
    </cfRule>
  </conditionalFormatting>
  <conditionalFormatting sqref="BR33:BR34">
    <cfRule type="cellIs" dxfId="4590" priority="79" operator="equal">
      <formula>"ח"</formula>
    </cfRule>
    <cfRule type="cellIs" dxfId="4589" priority="61" operator="equal">
      <formula>"ח"</formula>
    </cfRule>
  </conditionalFormatting>
  <conditionalFormatting sqref="BR34">
    <cfRule type="cellIs" dxfId="4588" priority="36" operator="equal">
      <formula>"כ"</formula>
    </cfRule>
    <cfRule type="cellIs" dxfId="4587" priority="35" operator="equal">
      <formula>"כש"</formula>
    </cfRule>
    <cfRule type="cellIs" dxfId="4586" priority="33" operator="equal">
      <formula>"ח"</formula>
    </cfRule>
  </conditionalFormatting>
  <conditionalFormatting sqref="BR5:BS35">
    <cfRule type="cellIs" dxfId="4585" priority="1576" operator="equal">
      <formula>"כ"</formula>
    </cfRule>
    <cfRule type="cellIs" dxfId="4584" priority="1575" operator="equal">
      <formula>"כש"</formula>
    </cfRule>
  </conditionalFormatting>
  <conditionalFormatting sqref="BR9:BS10">
    <cfRule type="cellIs" dxfId="4583" priority="935" operator="equal">
      <formula>"כש"</formula>
    </cfRule>
    <cfRule type="cellIs" dxfId="4582" priority="936" operator="equal">
      <formula>"כ"</formula>
    </cfRule>
  </conditionalFormatting>
  <conditionalFormatting sqref="BR13:BS14">
    <cfRule type="cellIs" dxfId="4581" priority="896" operator="equal">
      <formula>"כ"</formula>
    </cfRule>
    <cfRule type="cellIs" dxfId="4580" priority="895" operator="equal">
      <formula>"כש"</formula>
    </cfRule>
  </conditionalFormatting>
  <conditionalFormatting sqref="BR17:BS18">
    <cfRule type="cellIs" dxfId="4579" priority="856" operator="equal">
      <formula>"כ"</formula>
    </cfRule>
    <cfRule type="cellIs" dxfId="4578" priority="855" operator="equal">
      <formula>"כש"</formula>
    </cfRule>
  </conditionalFormatting>
  <conditionalFormatting sqref="BR21:BS22">
    <cfRule type="cellIs" dxfId="4577" priority="816" operator="equal">
      <formula>"כ"</formula>
    </cfRule>
    <cfRule type="cellIs" dxfId="4576" priority="815" operator="equal">
      <formula>"כש"</formula>
    </cfRule>
  </conditionalFormatting>
  <conditionalFormatting sqref="BR25:BS26">
    <cfRule type="cellIs" dxfId="4575" priority="776" operator="equal">
      <formula>"כ"</formula>
    </cfRule>
    <cfRule type="cellIs" dxfId="4574" priority="775" operator="equal">
      <formula>"כש"</formula>
    </cfRule>
  </conditionalFormatting>
  <conditionalFormatting sqref="BR29:BS30">
    <cfRule type="cellIs" dxfId="4573" priority="113" operator="equal">
      <formula>"כ"</formula>
    </cfRule>
    <cfRule type="cellIs" dxfId="4572" priority="112" operator="equal">
      <formula>"כש"</formula>
    </cfRule>
  </conditionalFormatting>
  <conditionalFormatting sqref="BR33:BS34">
    <cfRule type="cellIs" dxfId="4571" priority="59" operator="equal">
      <formula>"כש"</formula>
    </cfRule>
    <cfRule type="cellIs" dxfId="4570" priority="60" operator="equal">
      <formula>"כ"</formula>
    </cfRule>
  </conditionalFormatting>
  <conditionalFormatting sqref="BT5">
    <cfRule type="cellIs" dxfId="4569" priority="1289" operator="equal">
      <formula>"כש"</formula>
    </cfRule>
    <cfRule type="cellIs" dxfId="4568" priority="1288" stopIfTrue="1" operator="equal">
      <formula>"ח"</formula>
    </cfRule>
    <cfRule type="cellIs" dxfId="4567" priority="1290" operator="equal">
      <formula>"כ"</formula>
    </cfRule>
    <cfRule type="cellIs" dxfId="4566" priority="1552" stopIfTrue="1" operator="equal">
      <formula>"ח"</formula>
    </cfRule>
  </conditionalFormatting>
  <conditionalFormatting sqref="BT6">
    <cfRule type="cellIs" dxfId="4565" priority="1272" operator="equal">
      <formula>"ח"</formula>
    </cfRule>
    <cfRule type="cellIs" dxfId="4564" priority="1274" operator="equal">
      <formula>"כש"</formula>
    </cfRule>
    <cfRule type="cellIs" dxfId="4563" priority="1275" operator="equal">
      <formula>"כ"</formula>
    </cfRule>
  </conditionalFormatting>
  <conditionalFormatting sqref="BT6:BT35">
    <cfRule type="cellIs" dxfId="4562" priority="1563" operator="equal">
      <formula>"ח"</formula>
    </cfRule>
  </conditionalFormatting>
  <conditionalFormatting sqref="BT8:BT26">
    <cfRule type="cellIs" dxfId="4561" priority="933" operator="equal">
      <formula>"ח"</formula>
    </cfRule>
  </conditionalFormatting>
  <conditionalFormatting sqref="BT9">
    <cfRule type="cellIs" dxfId="4560" priority="923" operator="equal">
      <formula>"כ"</formula>
    </cfRule>
    <cfRule type="cellIs" dxfId="4559" priority="922" operator="equal">
      <formula>"כש"</formula>
    </cfRule>
    <cfRule type="cellIs" dxfId="4558" priority="921" stopIfTrue="1" operator="equal">
      <formula>"ח"</formula>
    </cfRule>
    <cfRule type="cellIs" dxfId="4557" priority="930" stopIfTrue="1" operator="equal">
      <formula>"ח"</formula>
    </cfRule>
  </conditionalFormatting>
  <conditionalFormatting sqref="BT9:BT10">
    <cfRule type="cellIs" dxfId="4556" priority="931" operator="equal">
      <formula>"כש"</formula>
    </cfRule>
    <cfRule type="cellIs" dxfId="4555" priority="932" operator="equal">
      <formula>"כ"</formula>
    </cfRule>
  </conditionalFormatting>
  <conditionalFormatting sqref="BT10">
    <cfRule type="cellIs" dxfId="4554" priority="908" operator="equal">
      <formula>"כ"</formula>
    </cfRule>
    <cfRule type="cellIs" dxfId="4553" priority="905" operator="equal">
      <formula>"ח"</formula>
    </cfRule>
    <cfRule type="cellIs" dxfId="4552" priority="907" operator="equal">
      <formula>"כש"</formula>
    </cfRule>
  </conditionalFormatting>
  <conditionalFormatting sqref="BT13">
    <cfRule type="cellIs" dxfId="4551" priority="883" operator="equal">
      <formula>"כ"</formula>
    </cfRule>
    <cfRule type="cellIs" dxfId="4550" priority="882" operator="equal">
      <formula>"כש"</formula>
    </cfRule>
    <cfRule type="cellIs" dxfId="4549" priority="881" stopIfTrue="1" operator="equal">
      <formula>"ח"</formula>
    </cfRule>
    <cfRule type="cellIs" dxfId="4548" priority="890" stopIfTrue="1" operator="equal">
      <formula>"ח"</formula>
    </cfRule>
  </conditionalFormatting>
  <conditionalFormatting sqref="BT13:BT14">
    <cfRule type="cellIs" dxfId="4547" priority="891" operator="equal">
      <formula>"כש"</formula>
    </cfRule>
    <cfRule type="cellIs" dxfId="4546" priority="892" operator="equal">
      <formula>"כ"</formula>
    </cfRule>
  </conditionalFormatting>
  <conditionalFormatting sqref="BT14">
    <cfRule type="cellIs" dxfId="4545" priority="893" operator="equal">
      <formula>"ח"</formula>
    </cfRule>
    <cfRule type="cellIs" dxfId="4544" priority="867" operator="equal">
      <formula>"כש"</formula>
    </cfRule>
    <cfRule type="cellIs" dxfId="4543" priority="865" operator="equal">
      <formula>"ח"</formula>
    </cfRule>
    <cfRule type="cellIs" dxfId="4542" priority="868" operator="equal">
      <formula>"כ"</formula>
    </cfRule>
  </conditionalFormatting>
  <conditionalFormatting sqref="BT17">
    <cfRule type="cellIs" dxfId="4541" priority="850" stopIfTrue="1" operator="equal">
      <formula>"ח"</formula>
    </cfRule>
    <cfRule type="cellIs" dxfId="4540" priority="841" stopIfTrue="1" operator="equal">
      <formula>"ח"</formula>
    </cfRule>
    <cfRule type="cellIs" dxfId="4539" priority="842" operator="equal">
      <formula>"כש"</formula>
    </cfRule>
    <cfRule type="cellIs" dxfId="4538" priority="843" operator="equal">
      <formula>"כ"</formula>
    </cfRule>
  </conditionalFormatting>
  <conditionalFormatting sqref="BT17:BT18">
    <cfRule type="cellIs" dxfId="4537" priority="851" operator="equal">
      <formula>"כש"</formula>
    </cfRule>
    <cfRule type="cellIs" dxfId="4536" priority="852" operator="equal">
      <formula>"כ"</formula>
    </cfRule>
  </conditionalFormatting>
  <conditionalFormatting sqref="BT18">
    <cfRule type="cellIs" dxfId="4535" priority="825" operator="equal">
      <formula>"ח"</formula>
    </cfRule>
    <cfRule type="cellIs" dxfId="4534" priority="828" operator="equal">
      <formula>"כ"</formula>
    </cfRule>
    <cfRule type="cellIs" dxfId="4533" priority="853" operator="equal">
      <formula>"ח"</formula>
    </cfRule>
    <cfRule type="cellIs" dxfId="4532" priority="827" operator="equal">
      <formula>"כש"</formula>
    </cfRule>
  </conditionalFormatting>
  <conditionalFormatting sqref="BT21">
    <cfRule type="cellIs" dxfId="4531" priority="803" operator="equal">
      <formula>"כ"</formula>
    </cfRule>
    <cfRule type="cellIs" dxfId="4530" priority="810" stopIfTrue="1" operator="equal">
      <formula>"ח"</formula>
    </cfRule>
    <cfRule type="cellIs" dxfId="4529" priority="802" operator="equal">
      <formula>"כש"</formula>
    </cfRule>
    <cfRule type="cellIs" dxfId="4528" priority="801" stopIfTrue="1" operator="equal">
      <formula>"ח"</formula>
    </cfRule>
  </conditionalFormatting>
  <conditionalFormatting sqref="BT21:BT22">
    <cfRule type="cellIs" dxfId="4527" priority="812" operator="equal">
      <formula>"כ"</formula>
    </cfRule>
    <cfRule type="cellIs" dxfId="4526" priority="811" operator="equal">
      <formula>"כש"</formula>
    </cfRule>
  </conditionalFormatting>
  <conditionalFormatting sqref="BT22">
    <cfRule type="cellIs" dxfId="4525" priority="788" operator="equal">
      <formula>"כ"</formula>
    </cfRule>
    <cfRule type="cellIs" dxfId="4524" priority="785" operator="equal">
      <formula>"ח"</formula>
    </cfRule>
    <cfRule type="cellIs" dxfId="4523" priority="787" operator="equal">
      <formula>"כש"</formula>
    </cfRule>
    <cfRule type="cellIs" dxfId="4522" priority="813" operator="equal">
      <formula>"ח"</formula>
    </cfRule>
  </conditionalFormatting>
  <conditionalFormatting sqref="BT25">
    <cfRule type="cellIs" dxfId="4521" priority="763" operator="equal">
      <formula>"כ"</formula>
    </cfRule>
    <cfRule type="cellIs" dxfId="4520" priority="770" stopIfTrue="1" operator="equal">
      <formula>"ח"</formula>
    </cfRule>
    <cfRule type="cellIs" dxfId="4519" priority="761" stopIfTrue="1" operator="equal">
      <formula>"ח"</formula>
    </cfRule>
    <cfRule type="cellIs" dxfId="4518" priority="762" operator="equal">
      <formula>"כש"</formula>
    </cfRule>
  </conditionalFormatting>
  <conditionalFormatting sqref="BT25:BT26">
    <cfRule type="cellIs" dxfId="4517" priority="772" operator="equal">
      <formula>"כ"</formula>
    </cfRule>
    <cfRule type="cellIs" dxfId="4516" priority="771" operator="equal">
      <formula>"כש"</formula>
    </cfRule>
  </conditionalFormatting>
  <conditionalFormatting sqref="BT26">
    <cfRule type="cellIs" dxfId="4515" priority="745" operator="equal">
      <formula>"ח"</formula>
    </cfRule>
    <cfRule type="cellIs" dxfId="4514" priority="748" operator="equal">
      <formula>"כ"</formula>
    </cfRule>
    <cfRule type="cellIs" dxfId="4513" priority="747" operator="equal">
      <formula>"כש"</formula>
    </cfRule>
    <cfRule type="cellIs" dxfId="4512" priority="773" operator="equal">
      <formula>"ח"</formula>
    </cfRule>
  </conditionalFormatting>
  <conditionalFormatting sqref="BT29">
    <cfRule type="cellIs" dxfId="4511" priority="99" operator="equal">
      <formula>"כש"</formula>
    </cfRule>
    <cfRule type="cellIs" dxfId="4510" priority="98" stopIfTrue="1" operator="equal">
      <formula>"ח"</formula>
    </cfRule>
    <cfRule type="cellIs" dxfId="4509" priority="107" stopIfTrue="1" operator="equal">
      <formula>"ח"</formula>
    </cfRule>
    <cfRule type="cellIs" dxfId="4508" priority="100" operator="equal">
      <formula>"כ"</formula>
    </cfRule>
  </conditionalFormatting>
  <conditionalFormatting sqref="BT29:BT30">
    <cfRule type="cellIs" dxfId="4507" priority="110" operator="equal">
      <formula>"ח"</formula>
    </cfRule>
    <cfRule type="cellIs" dxfId="4506" priority="131" operator="equal">
      <formula>"ח"</formula>
    </cfRule>
    <cfRule type="cellIs" dxfId="4505" priority="108" operator="equal">
      <formula>"כש"</formula>
    </cfRule>
    <cfRule type="cellIs" dxfId="4504" priority="109" operator="equal">
      <formula>"כ"</formula>
    </cfRule>
  </conditionalFormatting>
  <conditionalFormatting sqref="BT30">
    <cfRule type="cellIs" dxfId="4503" priority="85" operator="equal">
      <formula>"כ"</formula>
    </cfRule>
    <cfRule type="cellIs" dxfId="4502" priority="82" operator="equal">
      <formula>"ח"</formula>
    </cfRule>
    <cfRule type="cellIs" dxfId="4501" priority="84" operator="equal">
      <formula>"כש"</formula>
    </cfRule>
  </conditionalFormatting>
  <conditionalFormatting sqref="BT33">
    <cfRule type="cellIs" dxfId="4500" priority="45" stopIfTrue="1" operator="equal">
      <formula>"ח"</formula>
    </cfRule>
    <cfRule type="cellIs" dxfId="4499" priority="46" operator="equal">
      <formula>"כש"</formula>
    </cfRule>
    <cfRule type="cellIs" dxfId="4498" priority="47" operator="equal">
      <formula>"כ"</formula>
    </cfRule>
    <cfRule type="cellIs" dxfId="4497" priority="54" stopIfTrue="1" operator="equal">
      <formula>"ח"</formula>
    </cfRule>
  </conditionalFormatting>
  <conditionalFormatting sqref="BT33:BT34">
    <cfRule type="cellIs" dxfId="4496" priority="78" operator="equal">
      <formula>"ח"</formula>
    </cfRule>
    <cfRule type="cellIs" dxfId="4495" priority="57" operator="equal">
      <formula>"ח"</formula>
    </cfRule>
    <cfRule type="cellIs" dxfId="4494" priority="55" operator="equal">
      <formula>"כש"</formula>
    </cfRule>
    <cfRule type="cellIs" dxfId="4493" priority="56" operator="equal">
      <formula>"כ"</formula>
    </cfRule>
  </conditionalFormatting>
  <conditionalFormatting sqref="BT34">
    <cfRule type="cellIs" dxfId="4492" priority="32" operator="equal">
      <formula>"כ"</formula>
    </cfRule>
    <cfRule type="cellIs" dxfId="4491" priority="31" operator="equal">
      <formula>"כש"</formula>
    </cfRule>
    <cfRule type="cellIs" dxfId="4490" priority="29" operator="equal">
      <formula>"ח"</formula>
    </cfRule>
  </conditionalFormatting>
  <conditionalFormatting sqref="BT5:BW35">
    <cfRule type="cellIs" dxfId="4489" priority="1554" operator="equal">
      <formula>"כ"</formula>
    </cfRule>
    <cfRule type="cellIs" dxfId="4488" priority="1553" operator="equal">
      <formula>"כש"</formula>
    </cfRule>
  </conditionalFormatting>
  <conditionalFormatting sqref="BU6:BW7">
    <cfRule type="cellIs" dxfId="4487" priority="1271" operator="equal">
      <formula>"כ"</formula>
    </cfRule>
    <cfRule type="cellIs" dxfId="4486" priority="1270" operator="equal">
      <formula>"כש"</formula>
    </cfRule>
  </conditionalFormatting>
  <conditionalFormatting sqref="BU10:BW11">
    <cfRule type="cellIs" dxfId="4485" priority="1230" operator="equal">
      <formula>"כש"</formula>
    </cfRule>
    <cfRule type="cellIs" dxfId="4484" priority="1231" operator="equal">
      <formula>"כ"</formula>
    </cfRule>
  </conditionalFormatting>
  <conditionalFormatting sqref="BU14:BW15">
    <cfRule type="cellIs" dxfId="4483" priority="1190" operator="equal">
      <formula>"כש"</formula>
    </cfRule>
    <cfRule type="cellIs" dxfId="4482" priority="1191" operator="equal">
      <formula>"כ"</formula>
    </cfRule>
  </conditionalFormatting>
  <conditionalFormatting sqref="BU18:BW19">
    <cfRule type="cellIs" dxfId="4481" priority="1150" operator="equal">
      <formula>"כש"</formula>
    </cfRule>
    <cfRule type="cellIs" dxfId="4480" priority="1151" operator="equal">
      <formula>"כ"</formula>
    </cfRule>
  </conditionalFormatting>
  <conditionalFormatting sqref="BU22:BW23">
    <cfRule type="cellIs" dxfId="4479" priority="1110" operator="equal">
      <formula>"כש"</formula>
    </cfRule>
    <cfRule type="cellIs" dxfId="4478" priority="1111" operator="equal">
      <formula>"כ"</formula>
    </cfRule>
  </conditionalFormatting>
  <conditionalFormatting sqref="BU26:BW27">
    <cfRule type="cellIs" dxfId="4477" priority="1071" operator="equal">
      <formula>"כ"</formula>
    </cfRule>
    <cfRule type="cellIs" dxfId="4476" priority="1070" operator="equal">
      <formula>"כש"</formula>
    </cfRule>
  </conditionalFormatting>
  <conditionalFormatting sqref="BU30:BW31">
    <cfRule type="cellIs" dxfId="4475" priority="1030" operator="equal">
      <formula>"כש"</formula>
    </cfRule>
    <cfRule type="cellIs" dxfId="4474" priority="1031" operator="equal">
      <formula>"כ"</formula>
    </cfRule>
  </conditionalFormatting>
  <conditionalFormatting sqref="BU34:BW35">
    <cfRule type="cellIs" dxfId="4473" priority="991" operator="equal">
      <formula>"כ"</formula>
    </cfRule>
    <cfRule type="cellIs" dxfId="4472" priority="990" operator="equal">
      <formula>"כש"</formula>
    </cfRule>
  </conditionalFormatting>
  <conditionalFormatting sqref="BV6">
    <cfRule type="cellIs" dxfId="4471" priority="1269" stopIfTrue="1" operator="equal">
      <formula>"ח"</formula>
    </cfRule>
  </conditionalFormatting>
  <conditionalFormatting sqref="BV7">
    <cfRule type="cellIs" dxfId="4470" priority="1247" operator="equal">
      <formula>"כ"</formula>
    </cfRule>
    <cfRule type="cellIs" dxfId="4469" priority="1244" operator="equal">
      <formula>"ח"</formula>
    </cfRule>
    <cfRule type="cellIs" dxfId="4468" priority="1246" operator="equal">
      <formula>"כש"</formula>
    </cfRule>
  </conditionalFormatting>
  <conditionalFormatting sqref="BV10">
    <cfRule type="cellIs" dxfId="4467" priority="1229" stopIfTrue="1" operator="equal">
      <formula>"ח"</formula>
    </cfRule>
  </conditionalFormatting>
  <conditionalFormatting sqref="BV11">
    <cfRule type="cellIs" dxfId="4466" priority="1204" operator="equal">
      <formula>"ח"</formula>
    </cfRule>
    <cfRule type="cellIs" dxfId="4465" priority="1206" operator="equal">
      <formula>"כש"</formula>
    </cfRule>
    <cfRule type="cellIs" dxfId="4464" priority="1207" operator="equal">
      <formula>"כ"</formula>
    </cfRule>
  </conditionalFormatting>
  <conditionalFormatting sqref="BV14">
    <cfRule type="cellIs" dxfId="4463" priority="1189" stopIfTrue="1" operator="equal">
      <formula>"ח"</formula>
    </cfRule>
  </conditionalFormatting>
  <conditionalFormatting sqref="BV15">
    <cfRule type="cellIs" dxfId="4462" priority="1164" operator="equal">
      <formula>"ח"</formula>
    </cfRule>
    <cfRule type="cellIs" dxfId="4461" priority="1166" operator="equal">
      <formula>"כש"</formula>
    </cfRule>
    <cfRule type="cellIs" dxfId="4460" priority="1167" operator="equal">
      <formula>"כ"</formula>
    </cfRule>
  </conditionalFormatting>
  <conditionalFormatting sqref="BV18">
    <cfRule type="cellIs" dxfId="4459" priority="1149" stopIfTrue="1" operator="equal">
      <formula>"ח"</formula>
    </cfRule>
  </conditionalFormatting>
  <conditionalFormatting sqref="BV19">
    <cfRule type="cellIs" dxfId="4458" priority="1124" operator="equal">
      <formula>"ח"</formula>
    </cfRule>
    <cfRule type="cellIs" dxfId="4457" priority="1126" operator="equal">
      <formula>"כש"</formula>
    </cfRule>
    <cfRule type="cellIs" dxfId="4456" priority="1127" operator="equal">
      <formula>"כ"</formula>
    </cfRule>
  </conditionalFormatting>
  <conditionalFormatting sqref="BV22">
    <cfRule type="cellIs" dxfId="4455" priority="1109" stopIfTrue="1" operator="equal">
      <formula>"ח"</formula>
    </cfRule>
  </conditionalFormatting>
  <conditionalFormatting sqref="BV23">
    <cfRule type="cellIs" dxfId="4454" priority="1086" operator="equal">
      <formula>"כש"</formula>
    </cfRule>
    <cfRule type="cellIs" dxfId="4453" priority="1087" operator="equal">
      <formula>"כ"</formula>
    </cfRule>
    <cfRule type="cellIs" dxfId="4452" priority="1084" operator="equal">
      <formula>"ח"</formula>
    </cfRule>
  </conditionalFormatting>
  <conditionalFormatting sqref="BV26">
    <cfRule type="cellIs" dxfId="4451" priority="1069" stopIfTrue="1" operator="equal">
      <formula>"ח"</formula>
    </cfRule>
  </conditionalFormatting>
  <conditionalFormatting sqref="BV27">
    <cfRule type="cellIs" dxfId="4450" priority="1044" operator="equal">
      <formula>"ח"</formula>
    </cfRule>
    <cfRule type="cellIs" dxfId="4449" priority="1046" operator="equal">
      <formula>"כש"</formula>
    </cfRule>
    <cfRule type="cellIs" dxfId="4448" priority="1047" operator="equal">
      <formula>"כ"</formula>
    </cfRule>
  </conditionalFormatting>
  <conditionalFormatting sqref="BV30">
    <cfRule type="cellIs" dxfId="4447" priority="1029" stopIfTrue="1" operator="equal">
      <formula>"ח"</formula>
    </cfRule>
  </conditionalFormatting>
  <conditionalFormatting sqref="BV31">
    <cfRule type="cellIs" dxfId="4446" priority="1004" operator="equal">
      <formula>"ח"</formula>
    </cfRule>
    <cfRule type="cellIs" dxfId="4445" priority="1007" operator="equal">
      <formula>"כ"</formula>
    </cfRule>
    <cfRule type="cellIs" dxfId="4444" priority="1006" operator="equal">
      <formula>"כש"</formula>
    </cfRule>
  </conditionalFormatting>
  <conditionalFormatting sqref="BV34">
    <cfRule type="cellIs" dxfId="4443" priority="989" stopIfTrue="1" operator="equal">
      <formula>"ח"</formula>
    </cfRule>
  </conditionalFormatting>
  <conditionalFormatting sqref="BV35">
    <cfRule type="cellIs" dxfId="4442" priority="964" operator="equal">
      <formula>"ח"</formula>
    </cfRule>
    <cfRule type="cellIs" dxfId="4441" priority="967" operator="equal">
      <formula>"כ"</formula>
    </cfRule>
    <cfRule type="cellIs" dxfId="4440" priority="966" operator="equal">
      <formula>"כש"</formula>
    </cfRule>
  </conditionalFormatting>
  <conditionalFormatting sqref="BX5:BX35">
    <cfRule type="cellIs" dxfId="4439" priority="1268" operator="equal">
      <formula>"ח"</formula>
    </cfRule>
  </conditionalFormatting>
  <conditionalFormatting sqref="BX6">
    <cfRule type="cellIs" dxfId="4438" priority="1256" operator="equal">
      <formula>"כ"</formula>
    </cfRule>
    <cfRule type="cellIs" dxfId="4437" priority="1255" operator="equal">
      <formula>"כש"</formula>
    </cfRule>
    <cfRule type="cellIs" dxfId="4436" priority="1254" stopIfTrue="1" operator="equal">
      <formula>"ח"</formula>
    </cfRule>
    <cfRule type="cellIs" dxfId="4435" priority="1265" stopIfTrue="1" operator="equal">
      <formula>"ח"</formula>
    </cfRule>
  </conditionalFormatting>
  <conditionalFormatting sqref="BX7">
    <cfRule type="cellIs" dxfId="4434" priority="1243" operator="equal">
      <formula>"כ"</formula>
    </cfRule>
    <cfRule type="cellIs" dxfId="4433" priority="1242" operator="equal">
      <formula>"כש"</formula>
    </cfRule>
    <cfRule type="cellIs" dxfId="4432" priority="1240" operator="equal">
      <formula>"ח"</formula>
    </cfRule>
  </conditionalFormatting>
  <conditionalFormatting sqref="BX10">
    <cfRule type="cellIs" dxfId="4431" priority="1225" stopIfTrue="1" operator="equal">
      <formula>"ח"</formula>
    </cfRule>
    <cfRule type="cellIs" dxfId="4430" priority="1214" stopIfTrue="1" operator="equal">
      <formula>"ח"</formula>
    </cfRule>
    <cfRule type="cellIs" dxfId="4429" priority="1215" operator="equal">
      <formula>"כש"</formula>
    </cfRule>
    <cfRule type="cellIs" dxfId="4428" priority="1216" operator="equal">
      <formula>"כ"</formula>
    </cfRule>
  </conditionalFormatting>
  <conditionalFormatting sqref="BX11">
    <cfRule type="cellIs" dxfId="4427" priority="1202" operator="equal">
      <formula>"כש"</formula>
    </cfRule>
    <cfRule type="cellIs" dxfId="4426" priority="1203" operator="equal">
      <formula>"כ"</formula>
    </cfRule>
    <cfRule type="cellIs" dxfId="4425" priority="1228" operator="equal">
      <formula>"ח"</formula>
    </cfRule>
    <cfRule type="cellIs" dxfId="4424" priority="1200" operator="equal">
      <formula>"ח"</formula>
    </cfRule>
  </conditionalFormatting>
  <conditionalFormatting sqref="BX14">
    <cfRule type="cellIs" dxfId="4423" priority="1185" stopIfTrue="1" operator="equal">
      <formula>"ח"</formula>
    </cfRule>
    <cfRule type="cellIs" dxfId="4422" priority="1176" operator="equal">
      <formula>"כ"</formula>
    </cfRule>
    <cfRule type="cellIs" dxfId="4421" priority="1174" stopIfTrue="1" operator="equal">
      <formula>"ח"</formula>
    </cfRule>
    <cfRule type="cellIs" dxfId="4420" priority="1175" operator="equal">
      <formula>"כש"</formula>
    </cfRule>
  </conditionalFormatting>
  <conditionalFormatting sqref="BX15">
    <cfRule type="cellIs" dxfId="4419" priority="1160" operator="equal">
      <formula>"ח"</formula>
    </cfRule>
    <cfRule type="cellIs" dxfId="4418" priority="1162" operator="equal">
      <formula>"כש"</formula>
    </cfRule>
    <cfRule type="cellIs" dxfId="4417" priority="1163" operator="equal">
      <formula>"כ"</formula>
    </cfRule>
    <cfRule type="cellIs" dxfId="4416" priority="1188" operator="equal">
      <formula>"ח"</formula>
    </cfRule>
  </conditionalFormatting>
  <conditionalFormatting sqref="BX18">
    <cfRule type="cellIs" dxfId="4415" priority="1136" operator="equal">
      <formula>"כ"</formula>
    </cfRule>
    <cfRule type="cellIs" dxfId="4414" priority="1135" operator="equal">
      <formula>"כש"</formula>
    </cfRule>
    <cfRule type="cellIs" dxfId="4413" priority="1134" stopIfTrue="1" operator="equal">
      <formula>"ח"</formula>
    </cfRule>
    <cfRule type="cellIs" dxfId="4412" priority="1145" stopIfTrue="1" operator="equal">
      <formula>"ח"</formula>
    </cfRule>
  </conditionalFormatting>
  <conditionalFormatting sqref="BX19">
    <cfRule type="cellIs" dxfId="4411" priority="1120" operator="equal">
      <formula>"ח"</formula>
    </cfRule>
    <cfRule type="cellIs" dxfId="4410" priority="1148" operator="equal">
      <formula>"ח"</formula>
    </cfRule>
    <cfRule type="cellIs" dxfId="4409" priority="1122" operator="equal">
      <formula>"כש"</formula>
    </cfRule>
    <cfRule type="cellIs" dxfId="4408" priority="1123" operator="equal">
      <formula>"כ"</formula>
    </cfRule>
  </conditionalFormatting>
  <conditionalFormatting sqref="BX22">
    <cfRule type="cellIs" dxfId="4407" priority="1095" operator="equal">
      <formula>"כש"</formula>
    </cfRule>
    <cfRule type="cellIs" dxfId="4406" priority="1096" operator="equal">
      <formula>"כ"</formula>
    </cfRule>
    <cfRule type="cellIs" dxfId="4405" priority="1105" stopIfTrue="1" operator="equal">
      <formula>"ח"</formula>
    </cfRule>
    <cfRule type="cellIs" dxfId="4404" priority="1094" stopIfTrue="1" operator="equal">
      <formula>"ח"</formula>
    </cfRule>
  </conditionalFormatting>
  <conditionalFormatting sqref="BX23">
    <cfRule type="cellIs" dxfId="4403" priority="1108" operator="equal">
      <formula>"ח"</formula>
    </cfRule>
    <cfRule type="cellIs" dxfId="4402" priority="1083" operator="equal">
      <formula>"כ"</formula>
    </cfRule>
    <cfRule type="cellIs" dxfId="4401" priority="1082" operator="equal">
      <formula>"כש"</formula>
    </cfRule>
    <cfRule type="cellIs" dxfId="4400" priority="1080" operator="equal">
      <formula>"ח"</formula>
    </cfRule>
  </conditionalFormatting>
  <conditionalFormatting sqref="BX26">
    <cfRule type="cellIs" dxfId="4399" priority="1054" stopIfTrue="1" operator="equal">
      <formula>"ח"</formula>
    </cfRule>
    <cfRule type="cellIs" dxfId="4398" priority="1055" operator="equal">
      <formula>"כש"</formula>
    </cfRule>
    <cfRule type="cellIs" dxfId="4397" priority="1065" stopIfTrue="1" operator="equal">
      <formula>"ח"</formula>
    </cfRule>
    <cfRule type="cellIs" dxfId="4396" priority="1056" operator="equal">
      <formula>"כ"</formula>
    </cfRule>
  </conditionalFormatting>
  <conditionalFormatting sqref="BX27">
    <cfRule type="cellIs" dxfId="4395" priority="1043" operator="equal">
      <formula>"כ"</formula>
    </cfRule>
    <cfRule type="cellIs" dxfId="4394" priority="1042" operator="equal">
      <formula>"כש"</formula>
    </cfRule>
    <cfRule type="cellIs" dxfId="4393" priority="1068" operator="equal">
      <formula>"ח"</formula>
    </cfRule>
    <cfRule type="cellIs" dxfId="4392" priority="1040" operator="equal">
      <formula>"ח"</formula>
    </cfRule>
  </conditionalFormatting>
  <conditionalFormatting sqref="BX30">
    <cfRule type="cellIs" dxfId="4391" priority="1025" stopIfTrue="1" operator="equal">
      <formula>"ח"</formula>
    </cfRule>
    <cfRule type="cellIs" dxfId="4390" priority="1016" operator="equal">
      <formula>"כ"</formula>
    </cfRule>
    <cfRule type="cellIs" dxfId="4389" priority="1015" operator="equal">
      <formula>"כש"</formula>
    </cfRule>
    <cfRule type="cellIs" dxfId="4388" priority="1014" stopIfTrue="1" operator="equal">
      <formula>"ח"</formula>
    </cfRule>
  </conditionalFormatting>
  <conditionalFormatting sqref="BX31">
    <cfRule type="cellIs" dxfId="4387" priority="1003" operator="equal">
      <formula>"כ"</formula>
    </cfRule>
    <cfRule type="cellIs" dxfId="4386" priority="1000" operator="equal">
      <formula>"ח"</formula>
    </cfRule>
    <cfRule type="cellIs" dxfId="4385" priority="1002" operator="equal">
      <formula>"כש"</formula>
    </cfRule>
    <cfRule type="cellIs" dxfId="4384" priority="1028" operator="equal">
      <formula>"ח"</formula>
    </cfRule>
  </conditionalFormatting>
  <conditionalFormatting sqref="BX34">
    <cfRule type="cellIs" dxfId="4383" priority="976" operator="equal">
      <formula>"כ"</formula>
    </cfRule>
    <cfRule type="cellIs" dxfId="4382" priority="975" operator="equal">
      <formula>"כש"</formula>
    </cfRule>
    <cfRule type="cellIs" dxfId="4381" priority="974" stopIfTrue="1" operator="equal">
      <formula>"ח"</formula>
    </cfRule>
    <cfRule type="cellIs" dxfId="4380" priority="985" stopIfTrue="1" operator="equal">
      <formula>"ח"</formula>
    </cfRule>
  </conditionalFormatting>
  <conditionalFormatting sqref="BX35">
    <cfRule type="cellIs" dxfId="4379" priority="960" operator="equal">
      <formula>"ח"</formula>
    </cfRule>
    <cfRule type="cellIs" dxfId="4378" priority="988" operator="equal">
      <formula>"ח"</formula>
    </cfRule>
    <cfRule type="cellIs" dxfId="4377" priority="962" operator="equal">
      <formula>"כש"</formula>
    </cfRule>
    <cfRule type="cellIs" dxfId="4376" priority="963" operator="equal">
      <formula>"כ"</formula>
    </cfRule>
  </conditionalFormatting>
  <conditionalFormatting sqref="BX6:BY7">
    <cfRule type="cellIs" dxfId="4375" priority="1266" operator="equal">
      <formula>"כש"</formula>
    </cfRule>
    <cfRule type="cellIs" dxfId="4374" priority="1267" operator="equal">
      <formula>"כ"</formula>
    </cfRule>
  </conditionalFormatting>
  <conditionalFormatting sqref="BX10:BY11">
    <cfRule type="cellIs" dxfId="4373" priority="1227" operator="equal">
      <formula>"כ"</formula>
    </cfRule>
    <cfRule type="cellIs" dxfId="4372" priority="1226" operator="equal">
      <formula>"כש"</formula>
    </cfRule>
  </conditionalFormatting>
  <conditionalFormatting sqref="BX14:BY15">
    <cfRule type="cellIs" dxfId="4371" priority="1186" operator="equal">
      <formula>"כש"</formula>
    </cfRule>
    <cfRule type="cellIs" dxfId="4370" priority="1187" operator="equal">
      <formula>"כ"</formula>
    </cfRule>
  </conditionalFormatting>
  <conditionalFormatting sqref="BX18:BY19">
    <cfRule type="cellIs" dxfId="4369" priority="1147" operator="equal">
      <formula>"כ"</formula>
    </cfRule>
    <cfRule type="cellIs" dxfId="4368" priority="1146" operator="equal">
      <formula>"כש"</formula>
    </cfRule>
  </conditionalFormatting>
  <conditionalFormatting sqref="BX22:BY23">
    <cfRule type="cellIs" dxfId="4367" priority="1107" operator="equal">
      <formula>"כ"</formula>
    </cfRule>
    <cfRule type="cellIs" dxfId="4366" priority="1106" operator="equal">
      <formula>"כש"</formula>
    </cfRule>
  </conditionalFormatting>
  <conditionalFormatting sqref="BX26:BY27">
    <cfRule type="cellIs" dxfId="4365" priority="1067" operator="equal">
      <formula>"כ"</formula>
    </cfRule>
    <cfRule type="cellIs" dxfId="4364" priority="1066" operator="equal">
      <formula>"כש"</formula>
    </cfRule>
  </conditionalFormatting>
  <conditionalFormatting sqref="BX30:BY31">
    <cfRule type="cellIs" dxfId="4363" priority="1026" operator="equal">
      <formula>"כש"</formula>
    </cfRule>
    <cfRule type="cellIs" dxfId="4362" priority="1027" operator="equal">
      <formula>"כ"</formula>
    </cfRule>
  </conditionalFormatting>
  <conditionalFormatting sqref="BX34:BY35">
    <cfRule type="cellIs" dxfId="4361" priority="986" operator="equal">
      <formula>"כש"</formula>
    </cfRule>
    <cfRule type="cellIs" dxfId="4360" priority="987" operator="equal">
      <formula>"כ"</formula>
    </cfRule>
  </conditionalFormatting>
  <conditionalFormatting sqref="BX5:CD35 CE5">
    <cfRule type="cellIs" dxfId="4359" priority="1310" operator="equal">
      <formula>"כ"</formula>
    </cfRule>
    <cfRule type="cellIs" dxfId="4358" priority="1309" operator="equal">
      <formula>"כש"</formula>
    </cfRule>
  </conditionalFormatting>
  <conditionalFormatting sqref="BZ5:BZ35">
    <cfRule type="cellIs" dxfId="4357" priority="1264" operator="equal">
      <formula>"ח"</formula>
    </cfRule>
  </conditionalFormatting>
  <conditionalFormatting sqref="BZ6">
    <cfRule type="cellIs" dxfId="4356" priority="1251" stopIfTrue="1" operator="equal">
      <formula>"ח"</formula>
    </cfRule>
    <cfRule type="cellIs" dxfId="4355" priority="1252" operator="equal">
      <formula>"כש"</formula>
    </cfRule>
    <cfRule type="cellIs" dxfId="4354" priority="1253" operator="equal">
      <formula>"כ"</formula>
    </cfRule>
    <cfRule type="cellIs" dxfId="4353" priority="1261" stopIfTrue="1" operator="equal">
      <formula>"ח"</formula>
    </cfRule>
  </conditionalFormatting>
  <conditionalFormatting sqref="BZ7">
    <cfRule type="cellIs" dxfId="4352" priority="1238" operator="equal">
      <formula>"כש"</formula>
    </cfRule>
    <cfRule type="cellIs" dxfId="4351" priority="1236" operator="equal">
      <formula>"ח"</formula>
    </cfRule>
    <cfRule type="cellIs" dxfId="4350" priority="1239" operator="equal">
      <formula>"כ"</formula>
    </cfRule>
  </conditionalFormatting>
  <conditionalFormatting sqref="BZ10">
    <cfRule type="cellIs" dxfId="4349" priority="1211" stopIfTrue="1" operator="equal">
      <formula>"ח"</formula>
    </cfRule>
    <cfRule type="cellIs" dxfId="4348" priority="1212" operator="equal">
      <formula>"כש"</formula>
    </cfRule>
    <cfRule type="cellIs" dxfId="4347" priority="1213" operator="equal">
      <formula>"כ"</formula>
    </cfRule>
    <cfRule type="cellIs" dxfId="4346" priority="1221" stopIfTrue="1" operator="equal">
      <formula>"ח"</formula>
    </cfRule>
  </conditionalFormatting>
  <conditionalFormatting sqref="BZ11">
    <cfRule type="cellIs" dxfId="4345" priority="1196" operator="equal">
      <formula>"ח"</formula>
    </cfRule>
    <cfRule type="cellIs" dxfId="4344" priority="1198" operator="equal">
      <formula>"כש"</formula>
    </cfRule>
    <cfRule type="cellIs" dxfId="4343" priority="1224" operator="equal">
      <formula>"ח"</formula>
    </cfRule>
    <cfRule type="cellIs" dxfId="4342" priority="1199" operator="equal">
      <formula>"כ"</formula>
    </cfRule>
  </conditionalFormatting>
  <conditionalFormatting sqref="BZ14">
    <cfRule type="cellIs" dxfId="4341" priority="1181" stopIfTrue="1" operator="equal">
      <formula>"ח"</formula>
    </cfRule>
    <cfRule type="cellIs" dxfId="4340" priority="1171" stopIfTrue="1" operator="equal">
      <formula>"ח"</formula>
    </cfRule>
    <cfRule type="cellIs" dxfId="4339" priority="1172" operator="equal">
      <formula>"כש"</formula>
    </cfRule>
    <cfRule type="cellIs" dxfId="4338" priority="1173" operator="equal">
      <formula>"כ"</formula>
    </cfRule>
  </conditionalFormatting>
  <conditionalFormatting sqref="BZ15">
    <cfRule type="cellIs" dxfId="4337" priority="1184" operator="equal">
      <formula>"ח"</formula>
    </cfRule>
    <cfRule type="cellIs" dxfId="4336" priority="1158" operator="equal">
      <formula>"כש"</formula>
    </cfRule>
    <cfRule type="cellIs" dxfId="4335" priority="1159" operator="equal">
      <formula>"כ"</formula>
    </cfRule>
    <cfRule type="cellIs" dxfId="4334" priority="1156" operator="equal">
      <formula>"ח"</formula>
    </cfRule>
  </conditionalFormatting>
  <conditionalFormatting sqref="BZ18">
    <cfRule type="cellIs" dxfId="4333" priority="1141" stopIfTrue="1" operator="equal">
      <formula>"ח"</formula>
    </cfRule>
    <cfRule type="cellIs" dxfId="4332" priority="1133" operator="equal">
      <formula>"כ"</formula>
    </cfRule>
    <cfRule type="cellIs" dxfId="4331" priority="1131" stopIfTrue="1" operator="equal">
      <formula>"ח"</formula>
    </cfRule>
    <cfRule type="cellIs" dxfId="4330" priority="1132" operator="equal">
      <formula>"כש"</formula>
    </cfRule>
  </conditionalFormatting>
  <conditionalFormatting sqref="BZ19">
    <cfRule type="cellIs" dxfId="4329" priority="1144" operator="equal">
      <formula>"ח"</formula>
    </cfRule>
    <cfRule type="cellIs" dxfId="4328" priority="1119" operator="equal">
      <formula>"כ"</formula>
    </cfRule>
    <cfRule type="cellIs" dxfId="4327" priority="1118" operator="equal">
      <formula>"כש"</formula>
    </cfRule>
    <cfRule type="cellIs" dxfId="4326" priority="1116" operator="equal">
      <formula>"ח"</formula>
    </cfRule>
  </conditionalFormatting>
  <conditionalFormatting sqref="BZ22">
    <cfRule type="cellIs" dxfId="4325" priority="1093" operator="equal">
      <formula>"כ"</formula>
    </cfRule>
    <cfRule type="cellIs" dxfId="4324" priority="1101" stopIfTrue="1" operator="equal">
      <formula>"ח"</formula>
    </cfRule>
    <cfRule type="cellIs" dxfId="4323" priority="1091" stopIfTrue="1" operator="equal">
      <formula>"ח"</formula>
    </cfRule>
    <cfRule type="cellIs" dxfId="4322" priority="1092" operator="equal">
      <formula>"כש"</formula>
    </cfRule>
  </conditionalFormatting>
  <conditionalFormatting sqref="BZ23">
    <cfRule type="cellIs" dxfId="4321" priority="1078" operator="equal">
      <formula>"כש"</formula>
    </cfRule>
    <cfRule type="cellIs" dxfId="4320" priority="1076" operator="equal">
      <formula>"ח"</formula>
    </cfRule>
    <cfRule type="cellIs" dxfId="4319" priority="1079" operator="equal">
      <formula>"כ"</formula>
    </cfRule>
    <cfRule type="cellIs" dxfId="4318" priority="1104" operator="equal">
      <formula>"ח"</formula>
    </cfRule>
  </conditionalFormatting>
  <conditionalFormatting sqref="BZ26">
    <cfRule type="cellIs" dxfId="4317" priority="1061" stopIfTrue="1" operator="equal">
      <formula>"ח"</formula>
    </cfRule>
    <cfRule type="cellIs" dxfId="4316" priority="1053" operator="equal">
      <formula>"כ"</formula>
    </cfRule>
    <cfRule type="cellIs" dxfId="4315" priority="1052" operator="equal">
      <formula>"כש"</formula>
    </cfRule>
    <cfRule type="cellIs" dxfId="4314" priority="1051" stopIfTrue="1" operator="equal">
      <formula>"ח"</formula>
    </cfRule>
  </conditionalFormatting>
  <conditionalFormatting sqref="BZ27">
    <cfRule type="cellIs" dxfId="4313" priority="1039" operator="equal">
      <formula>"כ"</formula>
    </cfRule>
    <cfRule type="cellIs" dxfId="4312" priority="1036" operator="equal">
      <formula>"ח"</formula>
    </cfRule>
    <cfRule type="cellIs" dxfId="4311" priority="1038" operator="equal">
      <formula>"כש"</formula>
    </cfRule>
    <cfRule type="cellIs" dxfId="4310" priority="1064" operator="equal">
      <formula>"ח"</formula>
    </cfRule>
  </conditionalFormatting>
  <conditionalFormatting sqref="BZ30">
    <cfRule type="cellIs" dxfId="4309" priority="1021" stopIfTrue="1" operator="equal">
      <formula>"ח"</formula>
    </cfRule>
    <cfRule type="cellIs" dxfId="4308" priority="1011" stopIfTrue="1" operator="equal">
      <formula>"ח"</formula>
    </cfRule>
    <cfRule type="cellIs" dxfId="4307" priority="1012" operator="equal">
      <formula>"כש"</formula>
    </cfRule>
    <cfRule type="cellIs" dxfId="4306" priority="1013" operator="equal">
      <formula>"כ"</formula>
    </cfRule>
  </conditionalFormatting>
  <conditionalFormatting sqref="BZ31">
    <cfRule type="cellIs" dxfId="4305" priority="1024" operator="equal">
      <formula>"ח"</formula>
    </cfRule>
    <cfRule type="cellIs" dxfId="4304" priority="999" operator="equal">
      <formula>"כ"</formula>
    </cfRule>
    <cfRule type="cellIs" dxfId="4303" priority="996" operator="equal">
      <formula>"ח"</formula>
    </cfRule>
    <cfRule type="cellIs" dxfId="4302" priority="998" operator="equal">
      <formula>"כש"</formula>
    </cfRule>
  </conditionalFormatting>
  <conditionalFormatting sqref="BZ34">
    <cfRule type="cellIs" dxfId="4301" priority="981" stopIfTrue="1" operator="equal">
      <formula>"ח"</formula>
    </cfRule>
    <cfRule type="cellIs" dxfId="4300" priority="972" operator="equal">
      <formula>"כש"</formula>
    </cfRule>
    <cfRule type="cellIs" dxfId="4299" priority="971" stopIfTrue="1" operator="equal">
      <formula>"ח"</formula>
    </cfRule>
    <cfRule type="cellIs" dxfId="4298" priority="973" operator="equal">
      <formula>"כ"</formula>
    </cfRule>
  </conditionalFormatting>
  <conditionalFormatting sqref="BZ35">
    <cfRule type="cellIs" dxfId="4297" priority="958" operator="equal">
      <formula>"כש"</formula>
    </cfRule>
    <cfRule type="cellIs" dxfId="4296" priority="984" operator="equal">
      <formula>"ח"</formula>
    </cfRule>
    <cfRule type="cellIs" dxfId="4295" priority="959" operator="equal">
      <formula>"כ"</formula>
    </cfRule>
    <cfRule type="cellIs" dxfId="4294" priority="956" operator="equal">
      <formula>"ח"</formula>
    </cfRule>
  </conditionalFormatting>
  <conditionalFormatting sqref="BZ6:CA7">
    <cfRule type="cellIs" dxfId="4293" priority="1263" operator="equal">
      <formula>"כ"</formula>
    </cfRule>
    <cfRule type="cellIs" dxfId="4292" priority="1262" operator="equal">
      <formula>"כש"</formula>
    </cfRule>
  </conditionalFormatting>
  <conditionalFormatting sqref="BZ10:CA11">
    <cfRule type="cellIs" dxfId="4291" priority="1223" operator="equal">
      <formula>"כ"</formula>
    </cfRule>
    <cfRule type="cellIs" dxfId="4290" priority="1222" operator="equal">
      <formula>"כש"</formula>
    </cfRule>
  </conditionalFormatting>
  <conditionalFormatting sqref="BZ14:CA15">
    <cfRule type="cellIs" dxfId="4289" priority="1183" operator="equal">
      <formula>"כ"</formula>
    </cfRule>
    <cfRule type="cellIs" dxfId="4288" priority="1182" operator="equal">
      <formula>"כש"</formula>
    </cfRule>
  </conditionalFormatting>
  <conditionalFormatting sqref="BZ18:CA19">
    <cfRule type="cellIs" dxfId="4287" priority="1143" operator="equal">
      <formula>"כ"</formula>
    </cfRule>
    <cfRule type="cellIs" dxfId="4286" priority="1142" operator="equal">
      <formula>"כש"</formula>
    </cfRule>
  </conditionalFormatting>
  <conditionalFormatting sqref="BZ22:CA23">
    <cfRule type="cellIs" dxfId="4285" priority="1103" operator="equal">
      <formula>"כ"</formula>
    </cfRule>
    <cfRule type="cellIs" dxfId="4284" priority="1102" operator="equal">
      <formula>"כש"</formula>
    </cfRule>
  </conditionalFormatting>
  <conditionalFormatting sqref="BZ26:CA27">
    <cfRule type="cellIs" dxfId="4283" priority="1063" operator="equal">
      <formula>"כ"</formula>
    </cfRule>
    <cfRule type="cellIs" dxfId="4282" priority="1062" operator="equal">
      <formula>"כש"</formula>
    </cfRule>
  </conditionalFormatting>
  <conditionalFormatting sqref="BZ30:CA31">
    <cfRule type="cellIs" dxfId="4281" priority="1023" operator="equal">
      <formula>"כ"</formula>
    </cfRule>
    <cfRule type="cellIs" dxfId="4280" priority="1022" operator="equal">
      <formula>"כש"</formula>
    </cfRule>
  </conditionalFormatting>
  <conditionalFormatting sqref="BZ34:CA35">
    <cfRule type="cellIs" dxfId="4279" priority="982" operator="equal">
      <formula>"כש"</formula>
    </cfRule>
    <cfRule type="cellIs" dxfId="4278" priority="983" operator="equal">
      <formula>"כ"</formula>
    </cfRule>
  </conditionalFormatting>
  <conditionalFormatting sqref="CB5:CB35">
    <cfRule type="cellIs" dxfId="4277" priority="1260" operator="equal">
      <formula>"ח"</formula>
    </cfRule>
  </conditionalFormatting>
  <conditionalFormatting sqref="CB6">
    <cfRule type="cellIs" dxfId="4276" priority="1248" stopIfTrue="1" operator="equal">
      <formula>"ח"</formula>
    </cfRule>
    <cfRule type="cellIs" dxfId="4275" priority="1249" operator="equal">
      <formula>"כש"</formula>
    </cfRule>
    <cfRule type="cellIs" dxfId="4274" priority="1250" operator="equal">
      <formula>"כ"</formula>
    </cfRule>
    <cfRule type="cellIs" dxfId="4273" priority="1257" stopIfTrue="1" operator="equal">
      <formula>"ח"</formula>
    </cfRule>
  </conditionalFormatting>
  <conditionalFormatting sqref="CB6:CB7">
    <cfRule type="cellIs" dxfId="4272" priority="1259" operator="equal">
      <formula>"כ"</formula>
    </cfRule>
    <cfRule type="cellIs" dxfId="4271" priority="1258" operator="equal">
      <formula>"כש"</formula>
    </cfRule>
  </conditionalFormatting>
  <conditionalFormatting sqref="CB7">
    <cfRule type="cellIs" dxfId="4270" priority="1234" operator="equal">
      <formula>"כש"</formula>
    </cfRule>
    <cfRule type="cellIs" dxfId="4269" priority="1235" operator="equal">
      <formula>"כ"</formula>
    </cfRule>
    <cfRule type="cellIs" dxfId="4268" priority="1232" operator="equal">
      <formula>"ח"</formula>
    </cfRule>
  </conditionalFormatting>
  <conditionalFormatting sqref="CB10">
    <cfRule type="cellIs" dxfId="4267" priority="1208" stopIfTrue="1" operator="equal">
      <formula>"ח"</formula>
    </cfRule>
    <cfRule type="cellIs" dxfId="4266" priority="1209" operator="equal">
      <formula>"כש"</formula>
    </cfRule>
    <cfRule type="cellIs" dxfId="4265" priority="1217" stopIfTrue="1" operator="equal">
      <formula>"ח"</formula>
    </cfRule>
    <cfRule type="cellIs" dxfId="4264" priority="1210" operator="equal">
      <formula>"כ"</formula>
    </cfRule>
  </conditionalFormatting>
  <conditionalFormatting sqref="CB10:CB11">
    <cfRule type="cellIs" dxfId="4263" priority="1219" operator="equal">
      <formula>"כ"</formula>
    </cfRule>
    <cfRule type="cellIs" dxfId="4262" priority="1218" operator="equal">
      <formula>"כש"</formula>
    </cfRule>
  </conditionalFormatting>
  <conditionalFormatting sqref="CB11">
    <cfRule type="cellIs" dxfId="4261" priority="1220" operator="equal">
      <formula>"ח"</formula>
    </cfRule>
    <cfRule type="cellIs" dxfId="4260" priority="1195" operator="equal">
      <formula>"כ"</formula>
    </cfRule>
    <cfRule type="cellIs" dxfId="4259" priority="1194" operator="equal">
      <formula>"כש"</formula>
    </cfRule>
    <cfRule type="cellIs" dxfId="4258" priority="1192" operator="equal">
      <formula>"ח"</formula>
    </cfRule>
  </conditionalFormatting>
  <conditionalFormatting sqref="CB14">
    <cfRule type="cellIs" dxfId="4257" priority="1170" operator="equal">
      <formula>"כ"</formula>
    </cfRule>
    <cfRule type="cellIs" dxfId="4256" priority="1169" operator="equal">
      <formula>"כש"</formula>
    </cfRule>
    <cfRule type="cellIs" dxfId="4255" priority="1177" stopIfTrue="1" operator="equal">
      <formula>"ח"</formula>
    </cfRule>
    <cfRule type="cellIs" dxfId="4254" priority="1168" stopIfTrue="1" operator="equal">
      <formula>"ח"</formula>
    </cfRule>
  </conditionalFormatting>
  <conditionalFormatting sqref="CB14:CB15">
    <cfRule type="cellIs" dxfId="4253" priority="1179" operator="equal">
      <formula>"כ"</formula>
    </cfRule>
    <cfRule type="cellIs" dxfId="4252" priority="1178" operator="equal">
      <formula>"כש"</formula>
    </cfRule>
  </conditionalFormatting>
  <conditionalFormatting sqref="CB15">
    <cfRule type="cellIs" dxfId="4251" priority="1152" operator="equal">
      <formula>"ח"</formula>
    </cfRule>
    <cfRule type="cellIs" dxfId="4250" priority="1180" operator="equal">
      <formula>"ח"</formula>
    </cfRule>
    <cfRule type="cellIs" dxfId="4249" priority="1154" operator="equal">
      <formula>"כש"</formula>
    </cfRule>
    <cfRule type="cellIs" dxfId="4248" priority="1155" operator="equal">
      <formula>"כ"</formula>
    </cfRule>
  </conditionalFormatting>
  <conditionalFormatting sqref="CB18">
    <cfRule type="cellIs" dxfId="4247" priority="1128" stopIfTrue="1" operator="equal">
      <formula>"ח"</formula>
    </cfRule>
    <cfRule type="cellIs" dxfId="4246" priority="1129" operator="equal">
      <formula>"כש"</formula>
    </cfRule>
    <cfRule type="cellIs" dxfId="4245" priority="1130" operator="equal">
      <formula>"כ"</formula>
    </cfRule>
    <cfRule type="cellIs" dxfId="4244" priority="1137" stopIfTrue="1" operator="equal">
      <formula>"ח"</formula>
    </cfRule>
  </conditionalFormatting>
  <conditionalFormatting sqref="CB18:CB19">
    <cfRule type="cellIs" dxfId="4243" priority="1139" operator="equal">
      <formula>"כ"</formula>
    </cfRule>
    <cfRule type="cellIs" dxfId="4242" priority="1138" operator="equal">
      <formula>"כש"</formula>
    </cfRule>
  </conditionalFormatting>
  <conditionalFormatting sqref="CB19">
    <cfRule type="cellIs" dxfId="4241" priority="1112" operator="equal">
      <formula>"ח"</formula>
    </cfRule>
    <cfRule type="cellIs" dxfId="4240" priority="1115" operator="equal">
      <formula>"כ"</formula>
    </cfRule>
    <cfRule type="cellIs" dxfId="4239" priority="1114" operator="equal">
      <formula>"כש"</formula>
    </cfRule>
    <cfRule type="cellIs" dxfId="4238" priority="1140" operator="equal">
      <formula>"ח"</formula>
    </cfRule>
  </conditionalFormatting>
  <conditionalFormatting sqref="CB22">
    <cfRule type="cellIs" dxfId="4237" priority="1097" stopIfTrue="1" operator="equal">
      <formula>"ח"</formula>
    </cfRule>
    <cfRule type="cellIs" dxfId="4236" priority="1088" stopIfTrue="1" operator="equal">
      <formula>"ח"</formula>
    </cfRule>
    <cfRule type="cellIs" dxfId="4235" priority="1089" operator="equal">
      <formula>"כש"</formula>
    </cfRule>
    <cfRule type="cellIs" dxfId="4234" priority="1090" operator="equal">
      <formula>"כ"</formula>
    </cfRule>
  </conditionalFormatting>
  <conditionalFormatting sqref="CB22:CB23">
    <cfRule type="cellIs" dxfId="4233" priority="1098" operator="equal">
      <formula>"כש"</formula>
    </cfRule>
    <cfRule type="cellIs" dxfId="4232" priority="1099" operator="equal">
      <formula>"כ"</formula>
    </cfRule>
  </conditionalFormatting>
  <conditionalFormatting sqref="CB23">
    <cfRule type="cellIs" dxfId="4231" priority="1100" operator="equal">
      <formula>"ח"</formula>
    </cfRule>
    <cfRule type="cellIs" dxfId="4230" priority="1075" operator="equal">
      <formula>"כ"</formula>
    </cfRule>
    <cfRule type="cellIs" dxfId="4229" priority="1074" operator="equal">
      <formula>"כש"</formula>
    </cfRule>
    <cfRule type="cellIs" dxfId="4228" priority="1072" operator="equal">
      <formula>"ח"</formula>
    </cfRule>
  </conditionalFormatting>
  <conditionalFormatting sqref="CB26">
    <cfRule type="cellIs" dxfId="4227" priority="1050" operator="equal">
      <formula>"כ"</formula>
    </cfRule>
    <cfRule type="cellIs" dxfId="4226" priority="1048" stopIfTrue="1" operator="equal">
      <formula>"ח"</formula>
    </cfRule>
    <cfRule type="cellIs" dxfId="4225" priority="1057" stopIfTrue="1" operator="equal">
      <formula>"ח"</formula>
    </cfRule>
    <cfRule type="cellIs" dxfId="4224" priority="1049" operator="equal">
      <formula>"כש"</formula>
    </cfRule>
  </conditionalFormatting>
  <conditionalFormatting sqref="CB26:CB27">
    <cfRule type="cellIs" dxfId="4223" priority="1059" operator="equal">
      <formula>"כ"</formula>
    </cfRule>
    <cfRule type="cellIs" dxfId="4222" priority="1058" operator="equal">
      <formula>"כש"</formula>
    </cfRule>
  </conditionalFormatting>
  <conditionalFormatting sqref="CB27">
    <cfRule type="cellIs" dxfId="4221" priority="1034" operator="equal">
      <formula>"כש"</formula>
    </cfRule>
    <cfRule type="cellIs" dxfId="4220" priority="1035" operator="equal">
      <formula>"כ"</formula>
    </cfRule>
    <cfRule type="cellIs" dxfId="4219" priority="1032" operator="equal">
      <formula>"ח"</formula>
    </cfRule>
    <cfRule type="cellIs" dxfId="4218" priority="1060" operator="equal">
      <formula>"ח"</formula>
    </cfRule>
  </conditionalFormatting>
  <conditionalFormatting sqref="CB30">
    <cfRule type="cellIs" dxfId="4217" priority="1017" stopIfTrue="1" operator="equal">
      <formula>"ח"</formula>
    </cfRule>
    <cfRule type="cellIs" dxfId="4216" priority="1010" operator="equal">
      <formula>"כ"</formula>
    </cfRule>
    <cfRule type="cellIs" dxfId="4215" priority="1009" operator="equal">
      <formula>"כש"</formula>
    </cfRule>
    <cfRule type="cellIs" dxfId="4214" priority="1008" stopIfTrue="1" operator="equal">
      <formula>"ח"</formula>
    </cfRule>
  </conditionalFormatting>
  <conditionalFormatting sqref="CB30:CB31">
    <cfRule type="cellIs" dxfId="4213" priority="1019" operator="equal">
      <formula>"כ"</formula>
    </cfRule>
    <cfRule type="cellIs" dxfId="4212" priority="1018" operator="equal">
      <formula>"כש"</formula>
    </cfRule>
  </conditionalFormatting>
  <conditionalFormatting sqref="CB31">
    <cfRule type="cellIs" dxfId="4211" priority="995" operator="equal">
      <formula>"כ"</formula>
    </cfRule>
    <cfRule type="cellIs" dxfId="4210" priority="994" operator="equal">
      <formula>"כש"</formula>
    </cfRule>
    <cfRule type="cellIs" dxfId="4209" priority="992" operator="equal">
      <formula>"ח"</formula>
    </cfRule>
    <cfRule type="cellIs" dxfId="4208" priority="1020" operator="equal">
      <formula>"ח"</formula>
    </cfRule>
  </conditionalFormatting>
  <conditionalFormatting sqref="CB34">
    <cfRule type="cellIs" dxfId="4207" priority="969" operator="equal">
      <formula>"כש"</formula>
    </cfRule>
    <cfRule type="cellIs" dxfId="4206" priority="970" operator="equal">
      <formula>"כ"</formula>
    </cfRule>
    <cfRule type="cellIs" dxfId="4205" priority="977" stopIfTrue="1" operator="equal">
      <formula>"ח"</formula>
    </cfRule>
    <cfRule type="cellIs" dxfId="4204" priority="968" stopIfTrue="1" operator="equal">
      <formula>"ח"</formula>
    </cfRule>
  </conditionalFormatting>
  <conditionalFormatting sqref="CB34:CB35">
    <cfRule type="cellIs" dxfId="4203" priority="978" operator="equal">
      <formula>"כש"</formula>
    </cfRule>
    <cfRule type="cellIs" dxfId="4202" priority="979" operator="equal">
      <formula>"כ"</formula>
    </cfRule>
  </conditionalFormatting>
  <conditionalFormatting sqref="CB35">
    <cfRule type="cellIs" dxfId="4201" priority="952" operator="equal">
      <formula>"ח"</formula>
    </cfRule>
    <cfRule type="cellIs" dxfId="4200" priority="954" operator="equal">
      <formula>"כש"</formula>
    </cfRule>
    <cfRule type="cellIs" dxfId="4199" priority="955" operator="equal">
      <formula>"כ"</formula>
    </cfRule>
    <cfRule type="cellIs" dxfId="4198" priority="980" operator="equal">
      <formula>"ח"</formula>
    </cfRule>
  </conditionalFormatting>
  <conditionalFormatting sqref="CC1:CE4">
    <cfRule type="cellIs" dxfId="4197" priority="1353" operator="equal">
      <formula>"כש"</formula>
    </cfRule>
    <cfRule type="cellIs" dxfId="4196" priority="1352" operator="equal">
      <formula>"ח"</formula>
    </cfRule>
    <cfRule type="cellIs" dxfId="4195" priority="1354" operator="equal">
      <formula>"כ"</formula>
    </cfRule>
    <cfRule type="cellIs" dxfId="4194" priority="1351" operator="equal">
      <formula>"מיל"</formula>
    </cfRule>
    <cfRule type="cellIs" dxfId="4193" priority="1350" operator="equal">
      <formula>"מנוחה"</formula>
    </cfRule>
    <cfRule type="cellIs" dxfId="4192" priority="1349" operator="equal">
      <formula>"מ"</formula>
    </cfRule>
    <cfRule type="cellIs" dxfId="4191" priority="1348" operator="equal">
      <formula>"ק"</formula>
    </cfRule>
    <cfRule type="cellIs" dxfId="4190" priority="1347" operator="equal">
      <formula>"כמ"</formula>
    </cfRule>
    <cfRule type="cellIs" dxfId="4189" priority="1344" operator="equal">
      <formula>"ל"</formula>
    </cfRule>
    <cfRule type="cellIs" dxfId="4188" priority="1346" operator="equal">
      <formula>"כמש"</formula>
    </cfRule>
    <cfRule type="cellIs" dxfId="4187" priority="1345" operator="equal">
      <formula>"י"</formula>
    </cfRule>
  </conditionalFormatting>
  <conditionalFormatting sqref="CE5 CC5:CD35">
    <cfRule type="cellIs" dxfId="4186" priority="1308" operator="equal">
      <formula>"ח"</formula>
    </cfRule>
  </conditionalFormatting>
  <conditionalFormatting sqref="CF5:CG35">
    <cfRule type="cellIs" dxfId="4185" priority="1744" operator="lessThan">
      <formula>4</formula>
    </cfRule>
  </conditionalFormatting>
  <hyperlinks>
    <hyperlink ref="X4:Y4" r:id="rId11" tooltip="עדכון במייל" display="עדכון במייל" xr:uid="{00000000-0004-0000-07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0000000}">
          <x14:formula1>
            <xm:f>מיילים!$M$2:$M$40</xm:f>
          </x14:formula1>
          <xm:sqref>X3:AO3</xm:sqref>
        </x14:dataValidation>
        <x14:dataValidation type="list" allowBlank="1" showInputMessage="1" xr:uid="{00000000-0002-0000-0700-000001000000}">
          <x14:formula1>
            <xm:f>מקרא!$B$5:$B$60</xm:f>
          </x14:formula1>
          <xm:sqref>Y24:AG24 AI18:AO18 BN23:BT24 BR34:BR35 AI24:AO25 CB35 AJ19:AO20 R14:X15 Y21:AO23 Y19:AH20 D25:AG25 BU5:CB5 CB7 BY6:BY7 BV7 BX7 BZ7 BW6:BW7 CA6:CA7 BU8:CB9 CB11 BU10:BU11 BY10:BY11 BV11 BX11 BZ11 BW10:BW11 CA10:CA11 BU12:CB13 CB15 BU14:BU15 BY14:BY15 BV15 BX15 BZ15 BW14:BW15 CA14:CA15 BU16:CB17 CB19 BU18:BU19 BY18:BY19 BV19 BX19 BZ19 BW18:BW19 CA18:CA19 BU20:CB21 CB23 BU22:BU23 BY22:BY23 BV23 BX23 BZ23 BW22:BW23 CA22:CA23 BU24:CB25 CB27 BU26:BU27 BY26:BY27 BV27 BX27 BZ27 BW26:BW27 CA26:CA27 BU28:CB29 CB31 BU30:BU31 BY30:BY31 BV31 BX31 BZ31 BW30:BW31 CA30:CA31 BU32:CB33 BT34:BU35 BY34:BY35 BV35 BX35 BZ35 BW34:BW35 CA34:CA35 BT6:BU7 BS5:BS7 BO5:BO7 BR6:BR7 BP6:BP7 BN8:BT8 BQ5:BQ7 BG32:BG33 BE5:BE19 BT10 BQ9:BQ10 BE21:BE33 BP10 BR10 BS9:BS10 BN11:BT12 BT14 BQ13:BQ14 BP14 BR14 BN13:BO14 BS13:BS14 BN15:BT16 BT18 BQ17:BQ18 BN18 BP18 BR18 BO17:BO18 BS17:BS18 BN19:BT20 BT22 BQ21:BQ22 BN22 BP22 BR22 BO21:BO22 BS21:BS22 BK24:BK25 BM5:BM35 BF5:BL7 AY31:AY32 BL9 BI8:BI9 BF9 BH9 BJ9 BG8:BG9 BK8:BK9 BF10:BL11 BL13 BI12:BI13 BF13 BH13 BJ13 BG12:BG13 BK12:BK13 BF14:BL15 BL17 BI16:BI17 BF17 BH17 BJ17 BG16:BG17 BK16:BK17 BF18:BL19 BL21 BI20:BI21 BF21 BH21 BJ21 BG20:BG21 BK20:BK21 BF22:BL23 BL25 BI24:BI25 BF25 BH25 BJ25 BG24:BG25 AW5:AW35 AX5:BD6 BC23:BC24 BD8 BA7:BA8 AX8 AZ8 BB8 AY7:AY8 BC7:BC8 AX9:BD10 BD12 BA11:BA12 AX12 AZ12 BB12 AY11:AY12 BC11:BC12 AX13:BD14 BD16 BA15:BA16 AX16 AZ16 BB16 AY15:AY16 BC15:BC16 AX17:BD18 BD20:BE20 BA19:BA20 AX20 AZ20 BB20 AY19:AY20 BC19:BC20 AX21:BD22 BD24 BA23:BA24 AX24 AZ24 BB24 AY23:AY24 AX25:BD26 AY27:AY28 BC27:BC28 BD28 BA27:BA28 AX28 AZ28 BB28 AX29:BD30 BP34:BP35 BC31:BC32 BD32 BA31:BA32 AX32 AZ32 BB32 BF26:BL27 BG28:BG29 BK28:BK29 BL29 BI28:BI29 BF29 BH29 BJ29 BF30:BL31 BF34:BL35 BK32:BK33 BL33 BI32:BI33 BH33 BJ33 BT26:BT28 BN34:BN35 BR26:BR28 BP26:BP28 BN26:BN28 BN30:BN32 BO25:BO35 BS25:BS35 BQ25:BQ35 BT30:BT32 BR30:BR32 BP30:BP32 AX33:BD34 AY35 BC35 BA35 AD19:AE24 D19:X24 D5:X13 D26:AO35 D14:P15 Y5:AO17 D16:X17 D18:AG18 BF33:BF34 BE35 BN6:BN7 BN9:BO10</xm:sqref>
        </x14:dataValidation>
        <x14:dataValidation type="list" allowBlank="1" showInputMessage="1" showErrorMessage="1" xr:uid="{00000000-0002-0000-0700-000002000000}">
          <x14:formula1>
            <xm:f>מקרא!$B$5:$B$60</xm:f>
          </x14:formula1>
          <xm:sqref>BR5 BP5 BN5 BT5 BZ6 BX6 BV6 CB6 BZ10 BX10 BV10 CB10 BZ14 BX14 BV14 CB14 BZ18 BX18 BV18 CB18 BZ22 BX22 BV22 CB22 BZ26 BX26 BV26 CB26 BZ30 BX30 BV30 CB30 BZ34 BX34 BV34 CB34 BR9 BP9 BD35 BT9 BR13 BP13 AX35 BT13 BR17 BP17 BN17 BT17 BR21 BP21 BN21 BT21 BR25 BP25 BN25 BT25 BJ8 BH8 BF8 BL8 BJ12 BH12 BF12 BL12 BJ16 BH16 BF16 BL16 BJ20 BH20 BF20 BL20 BJ24 BH24 BF24 BL24 BB7 AZ7 AX7 BD7 BB11 AZ11 AX11 BD11 BB15 AZ15 AX15 BD15 BB19 AZ19 AX19 BD19 BB23 AZ23 AX23 BD23 BB27 AZ27 AX27 BD27 BB31 AZ31 AX31 BD31 BJ28 BH28 BF28 BL28 BJ32 BH32 BF32 BL32 BR29 BP29 BN29 BT29 BR33 BP33 BN33 BT33 BB35 AZ35</xm:sqref>
        </x14:dataValidation>
        <x14:dataValidation type="list" allowBlank="1" showInputMessage="1" showErrorMessage="1" xr:uid="{00000000-0002-0000-0700-000003000000}">
          <x14:formula1>
            <xm:f>מיילים!$M$2:$M$36</xm:f>
          </x14:formula1>
          <xm:sqref>T3:U3</xm:sqref>
        </x14:dataValidation>
        <x14:dataValidation type="list" allowBlank="1" showInputMessage="1" showErrorMessage="1" xr:uid="{00000000-0002-0000-0700-000004000000}">
          <x14:formula1>
            <xm:f>מיילים!$M$3:$M$37</xm:f>
          </x14:formula1>
          <xm:sqref>R3:S3 V3:W3</xm:sqref>
        </x14:dataValidation>
        <x14:dataValidation type="list" allowBlank="1" showInputMessage="1" showErrorMessage="1" xr:uid="{00000000-0002-0000-0700-000005000000}">
          <x14:formula1>
            <xm:f>מיילים!$M$2:$M$31</xm:f>
          </x14:formula1>
          <xm:sqref>P3:Q3 AW3:AZ3 BS3:CA3 BE3:BO3 AD3:AE3 D3:N3</xm:sqref>
        </x14:dataValidation>
        <x14:dataValidation type="list" allowBlank="1" showInputMessage="1" showErrorMessage="1" xr:uid="{00000000-0002-0000-0700-000006000000}">
          <x14:formula1>
            <xm:f>מיילים!$M$2:$M$38</xm:f>
          </x14:formula1>
          <xm:sqref>BQ3:BR3 BC3</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K38"/>
  <sheetViews>
    <sheetView rightToLeft="1" zoomScale="80" zoomScaleNormal="80" workbookViewId="0">
      <pane ySplit="4" topLeftCell="A5" activePane="bottomLeft" state="frozen"/>
      <selection pane="bottomLeft" activeCell="D5" sqref="D5"/>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29" width="4.625" style="1" customWidth="1"/>
    <col min="30" max="30" width="8.625" style="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294</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581" t="s">
        <v>145</v>
      </c>
      <c r="AU1" s="338"/>
      <c r="AV1" s="339"/>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581" t="s">
        <v>145</v>
      </c>
      <c r="CD1" s="338"/>
      <c r="CE1" s="339"/>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40"/>
      <c r="CD2" s="341"/>
      <c r="CE2" s="342"/>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390"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5"/>
      <c r="BO3" s="533" t="s">
        <v>21</v>
      </c>
      <c r="BP3" s="534"/>
      <c r="BQ3" s="533" t="s">
        <v>23</v>
      </c>
      <c r="BR3" s="534"/>
      <c r="BS3" s="535" t="s">
        <v>28</v>
      </c>
      <c r="BT3" s="536"/>
      <c r="BU3" s="393"/>
      <c r="BV3" s="394"/>
      <c r="BW3" s="395" t="s">
        <v>30</v>
      </c>
      <c r="BX3" s="395"/>
      <c r="BY3" s="395" t="s">
        <v>31</v>
      </c>
      <c r="BZ3" s="395"/>
      <c r="CA3" s="396" t="s">
        <v>227</v>
      </c>
      <c r="CB3" s="397"/>
      <c r="CC3" s="340"/>
      <c r="CD3" s="341"/>
      <c r="CE3" s="342"/>
      <c r="CF3" s="404"/>
      <c r="CG3" s="405"/>
      <c r="CH3" s="404"/>
      <c r="CI3" s="407"/>
      <c r="CJ3" s="410"/>
      <c r="CK3" s="411"/>
    </row>
    <row r="4" spans="1:89" ht="15" customHeight="1" thickBot="1">
      <c r="A4" s="343"/>
      <c r="B4" s="344"/>
      <c r="C4" s="346"/>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384"/>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2"/>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43"/>
      <c r="CD4" s="344"/>
      <c r="CE4" s="342"/>
      <c r="CF4" s="24" t="s">
        <v>38</v>
      </c>
      <c r="CG4" s="23" t="s">
        <v>39</v>
      </c>
      <c r="CH4" s="95" t="s">
        <v>36</v>
      </c>
      <c r="CI4" s="95" t="s">
        <v>37</v>
      </c>
      <c r="CJ4" s="412"/>
      <c r="CK4" s="413"/>
    </row>
    <row r="5" spans="1:89" ht="15" customHeight="1">
      <c r="A5" s="179">
        <v>1</v>
      </c>
      <c r="B5" s="152" t="s">
        <v>127</v>
      </c>
      <c r="C5" s="507">
        <v>35</v>
      </c>
      <c r="D5" s="84"/>
      <c r="E5" s="80"/>
      <c r="F5" s="84"/>
      <c r="G5" s="80"/>
      <c r="H5" s="133"/>
      <c r="I5" s="80"/>
      <c r="J5" s="84"/>
      <c r="K5" s="80"/>
      <c r="L5" s="133"/>
      <c r="M5" s="80"/>
      <c r="N5" s="84"/>
      <c r="O5" s="87"/>
      <c r="P5" s="84"/>
      <c r="Q5" s="80"/>
      <c r="R5" s="133"/>
      <c r="S5" s="80"/>
      <c r="T5" s="133"/>
      <c r="U5" s="80"/>
      <c r="V5" s="133"/>
      <c r="W5" s="80"/>
      <c r="X5" s="300" t="s">
        <v>147</v>
      </c>
      <c r="Y5" s="80"/>
      <c r="Z5" s="84"/>
      <c r="AA5" s="80"/>
      <c r="AB5" s="84"/>
      <c r="AC5" s="80"/>
      <c r="AD5" s="97"/>
      <c r="AE5" s="80"/>
      <c r="AF5" s="84"/>
      <c r="AG5" s="80"/>
      <c r="AH5" s="84"/>
      <c r="AI5" s="80"/>
      <c r="AJ5" s="84" t="s">
        <v>41</v>
      </c>
      <c r="AK5" s="80"/>
      <c r="AL5" s="84"/>
      <c r="AM5" s="80"/>
      <c r="AN5" s="84"/>
      <c r="AO5" s="80"/>
      <c r="AP5" s="509"/>
      <c r="AQ5" s="510"/>
      <c r="AR5" s="33"/>
      <c r="AS5" s="34"/>
      <c r="AT5" s="142">
        <v>1</v>
      </c>
      <c r="AU5" s="151" t="s">
        <v>127</v>
      </c>
      <c r="AV5" s="506">
        <v>36</v>
      </c>
      <c r="AW5" s="84"/>
      <c r="AX5" s="67" t="s">
        <v>34</v>
      </c>
      <c r="AY5" s="69"/>
      <c r="AZ5" s="67" t="s">
        <v>34</v>
      </c>
      <c r="BA5" s="69"/>
      <c r="BB5" s="139" t="s">
        <v>34</v>
      </c>
      <c r="BC5" s="87"/>
      <c r="BD5" s="67" t="s">
        <v>34</v>
      </c>
      <c r="BE5" s="84"/>
      <c r="BF5" s="67" t="s">
        <v>41</v>
      </c>
      <c r="BG5" s="69"/>
      <c r="BH5" s="67" t="s">
        <v>33</v>
      </c>
      <c r="BI5" s="69"/>
      <c r="BJ5" s="139" t="s">
        <v>33</v>
      </c>
      <c r="BK5" s="87"/>
      <c r="BL5" s="67" t="s">
        <v>33</v>
      </c>
      <c r="BM5" s="37"/>
      <c r="BN5" s="74"/>
      <c r="BO5" s="72"/>
      <c r="BP5" s="74"/>
      <c r="BQ5" s="72"/>
      <c r="BR5" s="72"/>
      <c r="BS5" s="78"/>
      <c r="BT5" s="74"/>
      <c r="BU5" s="96"/>
      <c r="BV5" s="67"/>
      <c r="BW5" s="69"/>
      <c r="BX5" s="67"/>
      <c r="BY5" s="69"/>
      <c r="BZ5" s="69"/>
      <c r="CA5" s="97"/>
      <c r="CB5" s="67"/>
      <c r="CC5" s="142">
        <v>1</v>
      </c>
      <c r="CD5" s="151" t="s">
        <v>127</v>
      </c>
      <c r="CE5" s="506">
        <v>35</v>
      </c>
      <c r="CF5" s="311">
        <f t="shared" ref="CF5" si="0">COUNTIF(AX5:CB5,"י")+COUNTIF(AX5:CB5,"Y")+COUNTIF(AX5:CB5,"2")</f>
        <v>3</v>
      </c>
      <c r="CG5" s="76">
        <f t="shared" ref="CG5" si="1">COUNTIF(AW5:CB5,"ל")+COUNTIF(AW5:CB5,"L")+COUNTIF(AW5:CB5,"ל2")</f>
        <v>4</v>
      </c>
      <c r="CH5" s="93"/>
      <c r="CI5" s="94"/>
      <c r="CJ5" s="449"/>
      <c r="CK5" s="450"/>
    </row>
    <row r="6" spans="1:89" ht="15" customHeight="1">
      <c r="A6" s="142">
        <v>2</v>
      </c>
      <c r="B6" s="151" t="s">
        <v>128</v>
      </c>
      <c r="C6" s="507"/>
      <c r="D6" s="14"/>
      <c r="E6" s="65"/>
      <c r="F6" s="14"/>
      <c r="G6" s="65"/>
      <c r="H6" s="14"/>
      <c r="I6" s="65"/>
      <c r="J6" s="14"/>
      <c r="K6" s="65"/>
      <c r="L6" s="14"/>
      <c r="M6" s="65"/>
      <c r="N6" s="14"/>
      <c r="O6" s="58"/>
      <c r="P6" s="14"/>
      <c r="Q6" s="65"/>
      <c r="R6" s="15"/>
      <c r="S6" s="65"/>
      <c r="T6" s="15"/>
      <c r="U6" s="65"/>
      <c r="V6" s="15"/>
      <c r="W6" s="65"/>
      <c r="X6" s="15"/>
      <c r="Y6" s="65"/>
      <c r="Z6" s="14"/>
      <c r="AA6" s="65"/>
      <c r="AB6" s="14"/>
      <c r="AC6" s="65"/>
      <c r="AD6" s="15"/>
      <c r="AE6" s="65"/>
      <c r="AF6" s="14"/>
      <c r="AG6" s="65"/>
      <c r="AH6" s="14"/>
      <c r="AI6" s="65"/>
      <c r="AJ6" s="84" t="s">
        <v>41</v>
      </c>
      <c r="AK6" s="65"/>
      <c r="AL6" s="14"/>
      <c r="AM6" s="65"/>
      <c r="AN6" s="14"/>
      <c r="AO6" s="65"/>
      <c r="AP6" s="509"/>
      <c r="AQ6" s="510"/>
      <c r="AR6" s="33"/>
      <c r="AS6" s="34"/>
      <c r="AT6" s="142">
        <v>2</v>
      </c>
      <c r="AU6" s="151" t="s">
        <v>128</v>
      </c>
      <c r="AV6" s="507"/>
      <c r="AW6" s="14"/>
      <c r="AX6" s="70"/>
      <c r="AY6" s="72"/>
      <c r="AZ6" s="70"/>
      <c r="BA6" s="72"/>
      <c r="BB6" s="72"/>
      <c r="BC6" s="58"/>
      <c r="BD6" s="70"/>
      <c r="BE6" s="14"/>
      <c r="BF6" s="67" t="s">
        <v>41</v>
      </c>
      <c r="BG6" s="72"/>
      <c r="BH6" s="67" t="s">
        <v>34</v>
      </c>
      <c r="BI6" s="72"/>
      <c r="BJ6" s="69" t="s">
        <v>34</v>
      </c>
      <c r="BK6" s="58"/>
      <c r="BL6" s="67" t="s">
        <v>34</v>
      </c>
      <c r="BM6" s="37"/>
      <c r="BN6" s="67" t="s">
        <v>33</v>
      </c>
      <c r="BO6" s="69"/>
      <c r="BP6" s="67" t="s">
        <v>33</v>
      </c>
      <c r="BQ6" s="69"/>
      <c r="BR6" s="72" t="s">
        <v>33</v>
      </c>
      <c r="BS6" s="87"/>
      <c r="BT6" s="67" t="s">
        <v>33</v>
      </c>
      <c r="BU6" s="96"/>
      <c r="BV6" s="67"/>
      <c r="BW6" s="69"/>
      <c r="BX6" s="67"/>
      <c r="BY6" s="69"/>
      <c r="BZ6" s="69"/>
      <c r="CA6" s="97"/>
      <c r="CB6" s="67"/>
      <c r="CC6" s="142">
        <v>2</v>
      </c>
      <c r="CD6" s="151" t="s">
        <v>128</v>
      </c>
      <c r="CE6" s="507"/>
      <c r="CF6" s="311">
        <f t="shared" ref="CF6:CF34" si="2">COUNTIF(AX6:CB6,"י")+COUNTIF(AX6:CB6,"Y")+COUNTIF(AX6:CB6,"2")</f>
        <v>4</v>
      </c>
      <c r="CG6" s="76">
        <f t="shared" ref="CG6:CG34" si="3">COUNTIF(AW6:CB6,"ל")+COUNTIF(AW6:CB6,"L")+COUNTIF(AW6:CB6,"ל2")</f>
        <v>3</v>
      </c>
      <c r="CH6" s="27"/>
      <c r="CI6" s="28"/>
      <c r="CJ6" s="449"/>
      <c r="CK6" s="450"/>
    </row>
    <row r="7" spans="1:89" ht="15" customHeight="1">
      <c r="A7" s="142">
        <v>3</v>
      </c>
      <c r="B7" s="151" t="s">
        <v>129</v>
      </c>
      <c r="C7" s="507"/>
      <c r="D7" s="14"/>
      <c r="E7" s="65"/>
      <c r="F7" s="14"/>
      <c r="G7" s="65"/>
      <c r="H7" s="112"/>
      <c r="I7" s="65"/>
      <c r="J7" s="14"/>
      <c r="K7" s="65"/>
      <c r="L7" s="112"/>
      <c r="M7" s="65"/>
      <c r="N7" s="14"/>
      <c r="O7" s="58"/>
      <c r="P7" s="14"/>
      <c r="Q7" s="65"/>
      <c r="R7" s="112"/>
      <c r="S7" s="65"/>
      <c r="T7" s="112"/>
      <c r="U7" s="65"/>
      <c r="V7" s="112"/>
      <c r="W7" s="65"/>
      <c r="X7" s="15"/>
      <c r="Y7" s="65"/>
      <c r="Z7" s="14"/>
      <c r="AA7" s="65"/>
      <c r="AB7" s="14"/>
      <c r="AC7" s="65"/>
      <c r="AD7" s="15"/>
      <c r="AE7" s="65"/>
      <c r="AF7" s="14"/>
      <c r="AG7" s="65"/>
      <c r="AH7" s="14"/>
      <c r="AI7" s="65"/>
      <c r="AJ7" s="84" t="s">
        <v>41</v>
      </c>
      <c r="AK7" s="65"/>
      <c r="AL7" s="14"/>
      <c r="AM7" s="65"/>
      <c r="AN7" s="14"/>
      <c r="AO7" s="65"/>
      <c r="AP7" s="509"/>
      <c r="AQ7" s="510"/>
      <c r="AR7" s="33"/>
      <c r="AS7" s="34"/>
      <c r="AT7" s="142">
        <v>3</v>
      </c>
      <c r="AU7" s="151" t="s">
        <v>129</v>
      </c>
      <c r="AV7" s="507"/>
      <c r="AW7" s="14"/>
      <c r="AX7" s="70"/>
      <c r="AY7" s="72"/>
      <c r="AZ7" s="70"/>
      <c r="BA7" s="72"/>
      <c r="BB7" s="72"/>
      <c r="BC7" s="58"/>
      <c r="BD7" s="70"/>
      <c r="BE7" s="14"/>
      <c r="BF7" s="70" t="s">
        <v>41</v>
      </c>
      <c r="BG7" s="72"/>
      <c r="BH7" s="70"/>
      <c r="BI7" s="72"/>
      <c r="BJ7" s="72"/>
      <c r="BK7" s="58"/>
      <c r="BL7" s="70"/>
      <c r="BM7" s="37"/>
      <c r="BN7" s="67" t="s">
        <v>34</v>
      </c>
      <c r="BO7" s="72"/>
      <c r="BP7" s="67" t="s">
        <v>34</v>
      </c>
      <c r="BQ7" s="72"/>
      <c r="BR7" s="69" t="s">
        <v>34</v>
      </c>
      <c r="BS7" s="58"/>
      <c r="BT7" s="67" t="s">
        <v>34</v>
      </c>
      <c r="BU7" s="96"/>
      <c r="BV7" s="67"/>
      <c r="BW7" s="69"/>
      <c r="BX7" s="67" t="s">
        <v>33</v>
      </c>
      <c r="BY7" s="69"/>
      <c r="BZ7" s="72" t="s">
        <v>33</v>
      </c>
      <c r="CA7" s="87"/>
      <c r="CB7" s="67" t="s">
        <v>33</v>
      </c>
      <c r="CC7" s="142">
        <v>3</v>
      </c>
      <c r="CD7" s="151" t="s">
        <v>129</v>
      </c>
      <c r="CE7" s="507"/>
      <c r="CF7" s="311">
        <f t="shared" si="2"/>
        <v>3</v>
      </c>
      <c r="CG7" s="76">
        <f t="shared" si="3"/>
        <v>4</v>
      </c>
      <c r="CH7" s="27"/>
      <c r="CI7" s="28"/>
      <c r="CJ7" s="449"/>
      <c r="CK7" s="450"/>
    </row>
    <row r="8" spans="1:89" ht="15" customHeight="1">
      <c r="A8" s="22">
        <v>4</v>
      </c>
      <c r="B8" s="13" t="s">
        <v>130</v>
      </c>
      <c r="C8" s="507"/>
      <c r="D8" s="16"/>
      <c r="E8" s="17"/>
      <c r="F8" s="16"/>
      <c r="G8" s="17"/>
      <c r="H8" s="16"/>
      <c r="I8" s="17"/>
      <c r="J8" s="16"/>
      <c r="K8" s="17"/>
      <c r="L8" s="16"/>
      <c r="M8" s="17"/>
      <c r="N8" s="16"/>
      <c r="O8" s="59"/>
      <c r="P8" s="16"/>
      <c r="Q8" s="17"/>
      <c r="R8" s="18"/>
      <c r="S8" s="17"/>
      <c r="T8" s="18"/>
      <c r="U8" s="17"/>
      <c r="V8" s="18"/>
      <c r="W8" s="17"/>
      <c r="X8" s="18"/>
      <c r="Y8" s="17"/>
      <c r="Z8" s="16"/>
      <c r="AA8" s="17"/>
      <c r="AB8" s="16"/>
      <c r="AC8" s="17"/>
      <c r="AD8" s="18"/>
      <c r="AE8" s="17"/>
      <c r="AF8" s="16"/>
      <c r="AG8" s="17"/>
      <c r="AH8" s="16"/>
      <c r="AI8" s="17"/>
      <c r="AJ8" s="84" t="s">
        <v>41</v>
      </c>
      <c r="AK8" s="17"/>
      <c r="AL8" s="16"/>
      <c r="AM8" s="17"/>
      <c r="AN8" s="16"/>
      <c r="AO8" s="17"/>
      <c r="AP8" s="520" t="s">
        <v>304</v>
      </c>
      <c r="AQ8" s="526"/>
      <c r="AR8" s="104"/>
      <c r="AS8" s="105"/>
      <c r="AT8" s="22">
        <v>4</v>
      </c>
      <c r="AU8" s="13" t="s">
        <v>130</v>
      </c>
      <c r="AV8" s="507"/>
      <c r="AW8" s="16"/>
      <c r="AX8" s="66" t="s">
        <v>33</v>
      </c>
      <c r="AY8" s="68"/>
      <c r="AZ8" s="66" t="s">
        <v>33</v>
      </c>
      <c r="BA8" s="68"/>
      <c r="BB8" s="73" t="s">
        <v>33</v>
      </c>
      <c r="BC8" s="110"/>
      <c r="BD8" s="66" t="s">
        <v>33</v>
      </c>
      <c r="BE8" s="16"/>
      <c r="BF8" s="71"/>
      <c r="BG8" s="73"/>
      <c r="BH8" s="71"/>
      <c r="BI8" s="73"/>
      <c r="BJ8" s="73"/>
      <c r="BK8" s="59"/>
      <c r="BL8" s="71"/>
      <c r="BM8" s="38"/>
      <c r="BN8" s="71"/>
      <c r="BO8" s="73"/>
      <c r="BP8" s="71"/>
      <c r="BQ8" s="73"/>
      <c r="BR8" s="73"/>
      <c r="BS8" s="18"/>
      <c r="BT8" s="71"/>
      <c r="BU8" s="108"/>
      <c r="BV8" s="66"/>
      <c r="BW8" s="73"/>
      <c r="BX8" s="66" t="s">
        <v>34</v>
      </c>
      <c r="BY8" s="73"/>
      <c r="BZ8" s="68" t="s">
        <v>34</v>
      </c>
      <c r="CA8" s="59"/>
      <c r="CB8" s="66" t="s">
        <v>34</v>
      </c>
      <c r="CC8" s="22">
        <v>4</v>
      </c>
      <c r="CD8" s="13" t="s">
        <v>130</v>
      </c>
      <c r="CE8" s="507"/>
      <c r="CF8" s="311">
        <f t="shared" si="2"/>
        <v>4</v>
      </c>
      <c r="CG8" s="76">
        <f t="shared" si="3"/>
        <v>3</v>
      </c>
      <c r="CH8" s="27"/>
      <c r="CI8" s="28"/>
      <c r="CJ8" s="449"/>
      <c r="CK8" s="450"/>
    </row>
    <row r="9" spans="1:89" ht="15" customHeight="1">
      <c r="A9" s="22">
        <v>5</v>
      </c>
      <c r="B9" s="13" t="s">
        <v>131</v>
      </c>
      <c r="C9" s="508"/>
      <c r="D9" s="16"/>
      <c r="E9" s="17"/>
      <c r="F9" s="16"/>
      <c r="G9" s="17"/>
      <c r="H9" s="16"/>
      <c r="I9" s="17"/>
      <c r="J9" s="16"/>
      <c r="K9" s="17"/>
      <c r="L9" s="16"/>
      <c r="M9" s="17"/>
      <c r="N9" s="16"/>
      <c r="O9" s="59"/>
      <c r="P9" s="16"/>
      <c r="Q9" s="17"/>
      <c r="R9" s="18"/>
      <c r="S9" s="17"/>
      <c r="T9" s="18"/>
      <c r="U9" s="17"/>
      <c r="V9" s="18"/>
      <c r="W9" s="17"/>
      <c r="X9" s="18"/>
      <c r="Y9" s="17"/>
      <c r="Z9" s="16"/>
      <c r="AA9" s="17"/>
      <c r="AB9" s="16"/>
      <c r="AC9" s="17"/>
      <c r="AD9" s="18"/>
      <c r="AE9" s="17"/>
      <c r="AF9" s="16"/>
      <c r="AG9" s="17"/>
      <c r="AH9" s="16"/>
      <c r="AI9" s="17"/>
      <c r="AJ9" s="84" t="s">
        <v>41</v>
      </c>
      <c r="AK9" s="17"/>
      <c r="AL9" s="16"/>
      <c r="AM9" s="17"/>
      <c r="AN9" s="16"/>
      <c r="AO9" s="17"/>
      <c r="AP9" s="525"/>
      <c r="AQ9" s="526"/>
      <c r="AR9" s="104"/>
      <c r="AS9" s="105"/>
      <c r="AT9" s="22">
        <v>5</v>
      </c>
      <c r="AU9" s="13" t="s">
        <v>131</v>
      </c>
      <c r="AV9" s="508"/>
      <c r="AW9" s="16"/>
      <c r="AX9" s="66" t="s">
        <v>34</v>
      </c>
      <c r="AY9" s="73"/>
      <c r="AZ9" s="66" t="s">
        <v>34</v>
      </c>
      <c r="BA9" s="73"/>
      <c r="BB9" s="68" t="s">
        <v>34</v>
      </c>
      <c r="BC9" s="59"/>
      <c r="BD9" s="66" t="s">
        <v>34</v>
      </c>
      <c r="BE9" s="16"/>
      <c r="BF9" s="67" t="s">
        <v>61</v>
      </c>
      <c r="BG9" s="68"/>
      <c r="BH9" s="66" t="s">
        <v>33</v>
      </c>
      <c r="BI9" s="68"/>
      <c r="BJ9" s="73" t="s">
        <v>33</v>
      </c>
      <c r="BK9" s="110"/>
      <c r="BL9" s="66" t="s">
        <v>33</v>
      </c>
      <c r="BM9" s="38"/>
      <c r="BN9" s="71"/>
      <c r="BO9" s="73"/>
      <c r="BP9" s="71"/>
      <c r="BQ9" s="73"/>
      <c r="BR9" s="73"/>
      <c r="BS9" s="18"/>
      <c r="BT9" s="71"/>
      <c r="BU9" s="108"/>
      <c r="BV9" s="66"/>
      <c r="BW9" s="68"/>
      <c r="BX9" s="66"/>
      <c r="BY9" s="68"/>
      <c r="BZ9" s="68"/>
      <c r="CA9" s="83"/>
      <c r="CB9" s="66"/>
      <c r="CC9" s="22">
        <v>5</v>
      </c>
      <c r="CD9" s="13" t="s">
        <v>131</v>
      </c>
      <c r="CE9" s="508"/>
      <c r="CF9" s="311">
        <f t="shared" si="2"/>
        <v>3</v>
      </c>
      <c r="CG9" s="76">
        <f t="shared" si="3"/>
        <v>4</v>
      </c>
      <c r="CH9" s="27"/>
      <c r="CI9" s="28"/>
      <c r="CJ9" s="449"/>
      <c r="CK9" s="450"/>
    </row>
    <row r="10" spans="1:89" ht="15" customHeight="1">
      <c r="A10" s="142">
        <v>6</v>
      </c>
      <c r="B10" s="151" t="s">
        <v>132</v>
      </c>
      <c r="C10" s="506">
        <v>36</v>
      </c>
      <c r="D10" s="14"/>
      <c r="E10" s="65"/>
      <c r="F10" s="14"/>
      <c r="G10" s="65"/>
      <c r="H10" s="14"/>
      <c r="I10" s="65"/>
      <c r="J10" s="14"/>
      <c r="K10" s="65"/>
      <c r="L10" s="14"/>
      <c r="M10" s="65"/>
      <c r="N10" s="14"/>
      <c r="O10" s="58"/>
      <c r="P10" s="14"/>
      <c r="Q10" s="65"/>
      <c r="R10" s="15"/>
      <c r="S10" s="65"/>
      <c r="T10" s="15"/>
      <c r="U10" s="65"/>
      <c r="V10" s="15"/>
      <c r="W10" s="65"/>
      <c r="X10" s="15"/>
      <c r="Y10" s="65"/>
      <c r="Z10" s="14"/>
      <c r="AA10" s="65"/>
      <c r="AB10" s="14"/>
      <c r="AC10" s="65"/>
      <c r="AD10" s="15"/>
      <c r="AE10" s="65"/>
      <c r="AF10" s="14"/>
      <c r="AG10" s="65"/>
      <c r="AH10" s="14"/>
      <c r="AI10" s="65"/>
      <c r="AJ10" s="14"/>
      <c r="AK10" s="65"/>
      <c r="AL10" s="14"/>
      <c r="AM10" s="65"/>
      <c r="AN10" s="14"/>
      <c r="AO10" s="65"/>
      <c r="AP10" s="509"/>
      <c r="AQ10" s="510"/>
      <c r="AR10" s="33"/>
      <c r="AS10" s="34"/>
      <c r="AT10" s="142">
        <v>6</v>
      </c>
      <c r="AU10" s="151" t="s">
        <v>132</v>
      </c>
      <c r="AV10" s="506">
        <v>37</v>
      </c>
      <c r="AW10" s="14"/>
      <c r="AX10" s="70"/>
      <c r="AY10" s="72"/>
      <c r="AZ10" s="70"/>
      <c r="BA10" s="72"/>
      <c r="BB10" s="72"/>
      <c r="BC10" s="58"/>
      <c r="BD10" s="70"/>
      <c r="BE10" s="14"/>
      <c r="BF10" s="67" t="s">
        <v>41</v>
      </c>
      <c r="BG10" s="72"/>
      <c r="BH10" s="67" t="s">
        <v>34</v>
      </c>
      <c r="BI10" s="72"/>
      <c r="BJ10" s="69" t="s">
        <v>34</v>
      </c>
      <c r="BK10" s="58"/>
      <c r="BL10" s="67" t="s">
        <v>34</v>
      </c>
      <c r="BM10" s="37"/>
      <c r="BN10" s="67" t="s">
        <v>33</v>
      </c>
      <c r="BO10" s="69"/>
      <c r="BP10" s="67" t="s">
        <v>33</v>
      </c>
      <c r="BQ10" s="69"/>
      <c r="BR10" s="72" t="s">
        <v>33</v>
      </c>
      <c r="BS10" s="87"/>
      <c r="BT10" s="70" t="s">
        <v>61</v>
      </c>
      <c r="BU10" s="96"/>
      <c r="BV10" s="67"/>
      <c r="BW10" s="69"/>
      <c r="BX10" s="67"/>
      <c r="BY10" s="69"/>
      <c r="BZ10" s="69"/>
      <c r="CA10" s="97"/>
      <c r="CB10" s="67"/>
      <c r="CC10" s="142">
        <v>6</v>
      </c>
      <c r="CD10" s="151" t="s">
        <v>132</v>
      </c>
      <c r="CE10" s="506">
        <v>36</v>
      </c>
      <c r="CF10" s="311">
        <f t="shared" si="2"/>
        <v>3</v>
      </c>
      <c r="CG10" s="76">
        <f t="shared" si="3"/>
        <v>3</v>
      </c>
      <c r="CH10" s="27"/>
      <c r="CI10" s="28"/>
      <c r="CJ10" s="449"/>
      <c r="CK10" s="450"/>
    </row>
    <row r="11" spans="1:89" ht="15" customHeight="1">
      <c r="A11" s="142">
        <v>7</v>
      </c>
      <c r="B11" s="151" t="s">
        <v>133</v>
      </c>
      <c r="C11" s="507"/>
      <c r="D11" s="14"/>
      <c r="E11" s="65"/>
      <c r="F11" s="14"/>
      <c r="G11" s="65"/>
      <c r="H11" s="14"/>
      <c r="I11" s="65"/>
      <c r="J11" s="14"/>
      <c r="K11" s="65"/>
      <c r="L11" s="14"/>
      <c r="M11" s="65"/>
      <c r="N11" s="14"/>
      <c r="O11" s="58"/>
      <c r="P11" s="14"/>
      <c r="Q11" s="65"/>
      <c r="R11" s="15"/>
      <c r="S11" s="65"/>
      <c r="T11" s="15"/>
      <c r="U11" s="65"/>
      <c r="V11" s="15"/>
      <c r="W11" s="65"/>
      <c r="X11" s="15"/>
      <c r="Y11" s="65"/>
      <c r="Z11" s="14"/>
      <c r="AA11" s="65"/>
      <c r="AB11" s="14"/>
      <c r="AC11" s="65"/>
      <c r="AD11" s="15"/>
      <c r="AE11" s="65"/>
      <c r="AF11" s="14"/>
      <c r="AG11" s="65"/>
      <c r="AH11" s="14"/>
      <c r="AI11" s="65"/>
      <c r="AJ11" s="14"/>
      <c r="AK11" s="65"/>
      <c r="AL11" s="14"/>
      <c r="AM11" s="65"/>
      <c r="AN11" s="14"/>
      <c r="AO11" s="65"/>
      <c r="AP11" s="509"/>
      <c r="AQ11" s="510"/>
      <c r="AR11" s="33"/>
      <c r="AS11" s="34"/>
      <c r="AT11" s="142">
        <v>7</v>
      </c>
      <c r="AU11" s="151" t="s">
        <v>133</v>
      </c>
      <c r="AV11" s="507"/>
      <c r="AW11" s="14"/>
      <c r="AX11" s="70"/>
      <c r="AY11" s="72"/>
      <c r="AZ11" s="70"/>
      <c r="BA11" s="72"/>
      <c r="BB11" s="72"/>
      <c r="BC11" s="58"/>
      <c r="BD11" s="70"/>
      <c r="BE11" s="14"/>
      <c r="BF11" s="70" t="s">
        <v>41</v>
      </c>
      <c r="BG11" s="72"/>
      <c r="BH11" s="70"/>
      <c r="BI11" s="72"/>
      <c r="BJ11" s="72"/>
      <c r="BK11" s="58"/>
      <c r="BL11" s="70"/>
      <c r="BM11" s="37"/>
      <c r="BN11" s="67" t="s">
        <v>34</v>
      </c>
      <c r="BO11" s="72"/>
      <c r="BP11" s="67" t="s">
        <v>34</v>
      </c>
      <c r="BQ11" s="72"/>
      <c r="BR11" s="69" t="s">
        <v>34</v>
      </c>
      <c r="BS11" s="58"/>
      <c r="BT11" s="67" t="s">
        <v>34</v>
      </c>
      <c r="BU11" s="96"/>
      <c r="BV11" s="67"/>
      <c r="BW11" s="69"/>
      <c r="BX11" s="67" t="s">
        <v>33</v>
      </c>
      <c r="BY11" s="69"/>
      <c r="BZ11" s="72" t="s">
        <v>33</v>
      </c>
      <c r="CA11" s="87"/>
      <c r="CB11" s="67" t="s">
        <v>33</v>
      </c>
      <c r="CC11" s="142">
        <v>7</v>
      </c>
      <c r="CD11" s="151" t="s">
        <v>133</v>
      </c>
      <c r="CE11" s="507"/>
      <c r="CF11" s="311">
        <f t="shared" si="2"/>
        <v>3</v>
      </c>
      <c r="CG11" s="76">
        <f t="shared" si="3"/>
        <v>4</v>
      </c>
      <c r="CH11" s="27"/>
      <c r="CI11" s="28"/>
      <c r="CJ11" s="449"/>
      <c r="CK11" s="450"/>
    </row>
    <row r="12" spans="1:89" ht="15" customHeight="1">
      <c r="A12" s="142">
        <v>8</v>
      </c>
      <c r="B12" s="151" t="s">
        <v>127</v>
      </c>
      <c r="C12" s="507"/>
      <c r="D12" s="14"/>
      <c r="E12" s="65"/>
      <c r="F12" s="14"/>
      <c r="G12" s="65"/>
      <c r="H12" s="112"/>
      <c r="I12" s="65"/>
      <c r="J12" s="14"/>
      <c r="K12" s="65"/>
      <c r="L12" s="112"/>
      <c r="M12" s="65"/>
      <c r="N12" s="14"/>
      <c r="O12" s="58"/>
      <c r="P12" s="14"/>
      <c r="Q12" s="65"/>
      <c r="R12" s="112"/>
      <c r="S12" s="65"/>
      <c r="T12" s="112"/>
      <c r="U12" s="65"/>
      <c r="V12" s="112"/>
      <c r="W12" s="65"/>
      <c r="X12" s="15"/>
      <c r="Y12" s="65"/>
      <c r="Z12" s="14"/>
      <c r="AA12" s="65"/>
      <c r="AB12" s="14"/>
      <c r="AC12" s="65"/>
      <c r="AD12" s="15"/>
      <c r="AE12" s="65"/>
      <c r="AF12" s="14"/>
      <c r="AG12" s="65"/>
      <c r="AH12" s="14"/>
      <c r="AI12" s="65"/>
      <c r="AJ12" s="14"/>
      <c r="AK12" s="65"/>
      <c r="AL12" s="14"/>
      <c r="AM12" s="65"/>
      <c r="AN12" s="14"/>
      <c r="AO12" s="65"/>
      <c r="AP12" s="523"/>
      <c r="AQ12" s="524"/>
      <c r="AR12" s="33"/>
      <c r="AS12" s="34"/>
      <c r="AT12" s="142">
        <v>8</v>
      </c>
      <c r="AU12" s="151" t="s">
        <v>127</v>
      </c>
      <c r="AV12" s="507"/>
      <c r="AW12" s="14"/>
      <c r="AX12" s="67" t="s">
        <v>33</v>
      </c>
      <c r="AY12" s="69"/>
      <c r="AZ12" s="67" t="s">
        <v>33</v>
      </c>
      <c r="BA12" s="69"/>
      <c r="BB12" s="72" t="s">
        <v>33</v>
      </c>
      <c r="BC12" s="87"/>
      <c r="BD12" s="67" t="s">
        <v>33</v>
      </c>
      <c r="BE12" s="14"/>
      <c r="BF12" s="70" t="s">
        <v>41</v>
      </c>
      <c r="BG12" s="72"/>
      <c r="BH12" s="70"/>
      <c r="BI12" s="72"/>
      <c r="BJ12" s="72"/>
      <c r="BK12" s="58"/>
      <c r="BL12" s="70"/>
      <c r="BM12" s="37"/>
      <c r="BN12" s="70"/>
      <c r="BO12" s="72"/>
      <c r="BP12" s="70"/>
      <c r="BQ12" s="72"/>
      <c r="BR12" s="72"/>
      <c r="BS12" s="15"/>
      <c r="BT12" s="70"/>
      <c r="BU12" s="96"/>
      <c r="BV12" s="67"/>
      <c r="BW12" s="72"/>
      <c r="BX12" s="67" t="s">
        <v>34</v>
      </c>
      <c r="BY12" s="72"/>
      <c r="BZ12" s="69" t="s">
        <v>34</v>
      </c>
      <c r="CA12" s="58"/>
      <c r="CB12" s="67" t="s">
        <v>34</v>
      </c>
      <c r="CC12" s="142">
        <v>8</v>
      </c>
      <c r="CD12" s="151" t="s">
        <v>127</v>
      </c>
      <c r="CE12" s="507"/>
      <c r="CF12" s="311">
        <f t="shared" si="2"/>
        <v>4</v>
      </c>
      <c r="CG12" s="76">
        <f t="shared" si="3"/>
        <v>3</v>
      </c>
      <c r="CH12" s="27"/>
      <c r="CI12" s="28"/>
      <c r="CJ12" s="449"/>
      <c r="CK12" s="450"/>
    </row>
    <row r="13" spans="1:89" ht="15" customHeight="1">
      <c r="A13" s="142">
        <v>9</v>
      </c>
      <c r="B13" s="151" t="s">
        <v>128</v>
      </c>
      <c r="C13" s="507"/>
      <c r="D13" s="14"/>
      <c r="E13" s="65"/>
      <c r="F13" s="14"/>
      <c r="G13" s="65"/>
      <c r="H13" s="14"/>
      <c r="I13" s="65"/>
      <c r="J13" s="14"/>
      <c r="K13" s="65"/>
      <c r="L13" s="14"/>
      <c r="M13" s="65"/>
      <c r="N13" s="14"/>
      <c r="O13" s="58"/>
      <c r="P13" s="14"/>
      <c r="Q13" s="65"/>
      <c r="R13" s="15"/>
      <c r="S13" s="65"/>
      <c r="T13" s="15"/>
      <c r="U13" s="65"/>
      <c r="V13" s="15"/>
      <c r="W13" s="65"/>
      <c r="X13" s="15"/>
      <c r="Y13" s="65"/>
      <c r="Z13" s="14"/>
      <c r="AA13" s="65"/>
      <c r="AB13" s="14"/>
      <c r="AC13" s="65"/>
      <c r="AD13" s="15"/>
      <c r="AE13" s="65"/>
      <c r="AF13" s="14"/>
      <c r="AG13" s="65"/>
      <c r="AH13" s="14"/>
      <c r="AI13" s="65"/>
      <c r="AJ13" s="14"/>
      <c r="AK13" s="65"/>
      <c r="AL13" s="14"/>
      <c r="AM13" s="65"/>
      <c r="AN13" s="14"/>
      <c r="AO13" s="65"/>
      <c r="AP13" s="523"/>
      <c r="AQ13" s="524"/>
      <c r="AR13" s="33"/>
      <c r="AS13" s="34"/>
      <c r="AT13" s="142">
        <v>9</v>
      </c>
      <c r="AU13" s="151" t="s">
        <v>128</v>
      </c>
      <c r="AV13" s="507"/>
      <c r="AW13" s="14"/>
      <c r="AX13" s="67" t="s">
        <v>34</v>
      </c>
      <c r="AY13" s="72"/>
      <c r="AZ13" s="67" t="s">
        <v>34</v>
      </c>
      <c r="BA13" s="72"/>
      <c r="BB13" s="69" t="s">
        <v>34</v>
      </c>
      <c r="BC13" s="58"/>
      <c r="BD13" s="67" t="s">
        <v>34</v>
      </c>
      <c r="BE13" s="14"/>
      <c r="BF13" s="67" t="s">
        <v>41</v>
      </c>
      <c r="BG13" s="69"/>
      <c r="BH13" s="67" t="s">
        <v>33</v>
      </c>
      <c r="BI13" s="69"/>
      <c r="BJ13" s="72" t="s">
        <v>33</v>
      </c>
      <c r="BK13" s="87"/>
      <c r="BL13" s="67" t="s">
        <v>33</v>
      </c>
      <c r="BM13" s="37"/>
      <c r="BN13" s="70"/>
      <c r="BO13" s="72"/>
      <c r="BP13" s="70"/>
      <c r="BQ13" s="72"/>
      <c r="BR13" s="72"/>
      <c r="BS13" s="15"/>
      <c r="BT13" s="70"/>
      <c r="BU13" s="96"/>
      <c r="BV13" s="67"/>
      <c r="BW13" s="69"/>
      <c r="BX13" s="67"/>
      <c r="BY13" s="69"/>
      <c r="BZ13" s="69"/>
      <c r="CA13" s="97"/>
      <c r="CB13" s="67"/>
      <c r="CC13" s="142">
        <v>9</v>
      </c>
      <c r="CD13" s="151" t="s">
        <v>128</v>
      </c>
      <c r="CE13" s="507"/>
      <c r="CF13" s="311">
        <f t="shared" si="2"/>
        <v>3</v>
      </c>
      <c r="CG13" s="76">
        <f t="shared" si="3"/>
        <v>4</v>
      </c>
      <c r="CH13" s="27"/>
      <c r="CI13" s="28"/>
      <c r="CJ13" s="449"/>
      <c r="CK13" s="450"/>
    </row>
    <row r="14" spans="1:89" ht="15" customHeight="1">
      <c r="A14" s="142">
        <v>10</v>
      </c>
      <c r="B14" s="151" t="s">
        <v>129</v>
      </c>
      <c r="C14" s="507"/>
      <c r="D14" s="14"/>
      <c r="E14" s="65"/>
      <c r="F14" s="14"/>
      <c r="G14" s="65"/>
      <c r="H14" s="112"/>
      <c r="I14" s="65"/>
      <c r="J14" s="14"/>
      <c r="K14" s="65"/>
      <c r="L14" s="112"/>
      <c r="M14" s="65"/>
      <c r="N14" s="14"/>
      <c r="O14" s="58"/>
      <c r="P14" s="14"/>
      <c r="Q14" s="65"/>
      <c r="R14" s="112"/>
      <c r="S14" s="65"/>
      <c r="T14" s="112"/>
      <c r="U14" s="65"/>
      <c r="V14" s="112"/>
      <c r="W14" s="65"/>
      <c r="X14" s="15"/>
      <c r="Y14" s="65"/>
      <c r="Z14" s="14"/>
      <c r="AA14" s="65"/>
      <c r="AB14" s="14"/>
      <c r="AC14" s="65"/>
      <c r="AD14" s="15"/>
      <c r="AE14" s="65"/>
      <c r="AF14" s="14"/>
      <c r="AG14" s="65"/>
      <c r="AH14" s="14"/>
      <c r="AI14" s="65"/>
      <c r="AJ14" s="14"/>
      <c r="AK14" s="65"/>
      <c r="AL14" s="14"/>
      <c r="AM14" s="65"/>
      <c r="AN14" s="14"/>
      <c r="AO14" s="65"/>
      <c r="AP14" s="523"/>
      <c r="AQ14" s="524"/>
      <c r="AR14" s="33"/>
      <c r="AS14" s="34"/>
      <c r="AT14" s="142">
        <v>10</v>
      </c>
      <c r="AU14" s="151" t="s">
        <v>129</v>
      </c>
      <c r="AV14" s="507"/>
      <c r="AW14" s="14"/>
      <c r="AX14" s="70"/>
      <c r="AY14" s="72"/>
      <c r="AZ14" s="70"/>
      <c r="BA14" s="72"/>
      <c r="BB14" s="72"/>
      <c r="BC14" s="58"/>
      <c r="BD14" s="70"/>
      <c r="BE14" s="14"/>
      <c r="BF14" s="67" t="s">
        <v>41</v>
      </c>
      <c r="BG14" s="72"/>
      <c r="BH14" s="67" t="s">
        <v>34</v>
      </c>
      <c r="BI14" s="72"/>
      <c r="BJ14" s="69" t="s">
        <v>34</v>
      </c>
      <c r="BK14" s="58"/>
      <c r="BL14" s="67" t="s">
        <v>34</v>
      </c>
      <c r="BM14" s="37"/>
      <c r="BN14" s="67" t="s">
        <v>33</v>
      </c>
      <c r="BO14" s="69"/>
      <c r="BP14" s="67" t="s">
        <v>33</v>
      </c>
      <c r="BQ14" s="69"/>
      <c r="BR14" s="72" t="s">
        <v>33</v>
      </c>
      <c r="BS14" s="87"/>
      <c r="BT14" s="67" t="s">
        <v>33</v>
      </c>
      <c r="BU14" s="96"/>
      <c r="BV14" s="67"/>
      <c r="BW14" s="69"/>
      <c r="BX14" s="67"/>
      <c r="BY14" s="69"/>
      <c r="BZ14" s="69"/>
      <c r="CA14" s="97"/>
      <c r="CB14" s="67"/>
      <c r="CC14" s="142">
        <v>10</v>
      </c>
      <c r="CD14" s="151" t="s">
        <v>129</v>
      </c>
      <c r="CE14" s="507"/>
      <c r="CF14" s="311">
        <f t="shared" si="2"/>
        <v>4</v>
      </c>
      <c r="CG14" s="76">
        <f t="shared" si="3"/>
        <v>3</v>
      </c>
      <c r="CH14" s="27"/>
      <c r="CI14" s="28"/>
      <c r="CJ14" s="449"/>
      <c r="CK14" s="450"/>
    </row>
    <row r="15" spans="1:89" ht="15" customHeight="1">
      <c r="A15" s="22">
        <v>11</v>
      </c>
      <c r="B15" s="13" t="s">
        <v>130</v>
      </c>
      <c r="C15" s="507"/>
      <c r="D15" s="16"/>
      <c r="E15" s="17"/>
      <c r="F15" s="16"/>
      <c r="G15" s="17"/>
      <c r="H15" s="16"/>
      <c r="I15" s="17"/>
      <c r="J15" s="16"/>
      <c r="K15" s="17"/>
      <c r="L15" s="16"/>
      <c r="M15" s="17"/>
      <c r="N15" s="16"/>
      <c r="O15" s="59"/>
      <c r="P15" s="16"/>
      <c r="Q15" s="17"/>
      <c r="R15" s="18"/>
      <c r="S15" s="17"/>
      <c r="T15" s="18"/>
      <c r="U15" s="17"/>
      <c r="V15" s="18"/>
      <c r="W15" s="17"/>
      <c r="X15" s="18"/>
      <c r="Y15" s="17"/>
      <c r="Z15" s="16"/>
      <c r="AA15" s="17"/>
      <c r="AB15" s="16"/>
      <c r="AC15" s="17"/>
      <c r="AD15" s="18"/>
      <c r="AE15" s="17"/>
      <c r="AF15" s="16"/>
      <c r="AG15" s="17"/>
      <c r="AH15" s="16"/>
      <c r="AI15" s="17"/>
      <c r="AJ15" s="16"/>
      <c r="AK15" s="17"/>
      <c r="AL15" s="16"/>
      <c r="AM15" s="17"/>
      <c r="AN15" s="16"/>
      <c r="AO15" s="17"/>
      <c r="AP15" s="529" t="s">
        <v>260</v>
      </c>
      <c r="AQ15" s="530"/>
      <c r="AR15" s="104"/>
      <c r="AS15" s="105"/>
      <c r="AT15" s="22">
        <v>11</v>
      </c>
      <c r="AU15" s="13" t="s">
        <v>130</v>
      </c>
      <c r="AV15" s="507"/>
      <c r="AW15" s="16"/>
      <c r="AX15" s="71"/>
      <c r="AY15" s="73"/>
      <c r="AZ15" s="71"/>
      <c r="BA15" s="73"/>
      <c r="BB15" s="73"/>
      <c r="BC15" s="59"/>
      <c r="BD15" s="71"/>
      <c r="BE15" s="16"/>
      <c r="BF15" s="71"/>
      <c r="BG15" s="73"/>
      <c r="BH15" s="71"/>
      <c r="BI15" s="73"/>
      <c r="BJ15" s="73"/>
      <c r="BK15" s="59"/>
      <c r="BL15" s="71"/>
      <c r="BM15" s="38"/>
      <c r="BN15" s="67" t="s">
        <v>61</v>
      </c>
      <c r="BO15" s="73"/>
      <c r="BP15" s="66" t="s">
        <v>34</v>
      </c>
      <c r="BQ15" s="73"/>
      <c r="BR15" s="68" t="s">
        <v>34</v>
      </c>
      <c r="BS15" s="59"/>
      <c r="BT15" s="70" t="s">
        <v>61</v>
      </c>
      <c r="BU15" s="108"/>
      <c r="BV15" s="66"/>
      <c r="BW15" s="68"/>
      <c r="BX15" s="66" t="s">
        <v>33</v>
      </c>
      <c r="BY15" s="68"/>
      <c r="BZ15" s="73" t="s">
        <v>33</v>
      </c>
      <c r="CA15" s="110"/>
      <c r="CB15" s="66" t="s">
        <v>33</v>
      </c>
      <c r="CC15" s="22">
        <v>11</v>
      </c>
      <c r="CD15" s="13" t="s">
        <v>130</v>
      </c>
      <c r="CE15" s="507"/>
      <c r="CF15" s="311">
        <f t="shared" si="2"/>
        <v>3</v>
      </c>
      <c r="CG15" s="76">
        <f t="shared" si="3"/>
        <v>2</v>
      </c>
      <c r="CH15" s="27"/>
      <c r="CI15" s="28"/>
      <c r="CJ15" s="449"/>
      <c r="CK15" s="450"/>
    </row>
    <row r="16" spans="1:89" ht="15" customHeight="1">
      <c r="A16" s="22">
        <v>12</v>
      </c>
      <c r="B16" s="13" t="s">
        <v>131</v>
      </c>
      <c r="C16" s="508"/>
      <c r="D16" s="16"/>
      <c r="E16" s="17"/>
      <c r="F16" s="16"/>
      <c r="G16" s="17"/>
      <c r="H16" s="16"/>
      <c r="I16" s="17"/>
      <c r="J16" s="16"/>
      <c r="K16" s="17"/>
      <c r="L16" s="16"/>
      <c r="M16" s="17"/>
      <c r="N16" s="16"/>
      <c r="O16" s="17"/>
      <c r="P16" s="16"/>
      <c r="Q16" s="17"/>
      <c r="R16" s="18"/>
      <c r="S16" s="17"/>
      <c r="T16" s="18"/>
      <c r="U16" s="17"/>
      <c r="V16" s="18"/>
      <c r="W16" s="17"/>
      <c r="X16" s="18"/>
      <c r="Y16" s="17"/>
      <c r="Z16" s="16"/>
      <c r="AA16" s="17"/>
      <c r="AB16" s="16"/>
      <c r="AC16" s="17"/>
      <c r="AD16" s="18"/>
      <c r="AE16" s="17"/>
      <c r="AF16" s="16"/>
      <c r="AG16" s="17"/>
      <c r="AH16" s="16"/>
      <c r="AI16" s="17"/>
      <c r="AJ16" s="16"/>
      <c r="AK16" s="17"/>
      <c r="AL16" s="16"/>
      <c r="AM16" s="17"/>
      <c r="AN16" s="16"/>
      <c r="AO16" s="17"/>
      <c r="AP16" s="529" t="s">
        <v>261</v>
      </c>
      <c r="AQ16" s="530"/>
      <c r="AR16" s="104"/>
      <c r="AS16" s="105"/>
      <c r="AT16" s="22">
        <v>12</v>
      </c>
      <c r="AU16" s="13" t="s">
        <v>131</v>
      </c>
      <c r="AV16" s="508"/>
      <c r="AW16" s="16"/>
      <c r="AX16" s="66" t="s">
        <v>33</v>
      </c>
      <c r="AY16" s="68"/>
      <c r="AZ16" s="66" t="s">
        <v>33</v>
      </c>
      <c r="BA16" s="68"/>
      <c r="BB16" s="73" t="s">
        <v>33</v>
      </c>
      <c r="BC16" s="110"/>
      <c r="BD16" s="66" t="s">
        <v>33</v>
      </c>
      <c r="BE16" s="16"/>
      <c r="BF16" s="71"/>
      <c r="BG16" s="73"/>
      <c r="BH16" s="71"/>
      <c r="BI16" s="73"/>
      <c r="BJ16" s="73"/>
      <c r="BK16" s="59"/>
      <c r="BL16" s="71"/>
      <c r="BM16" s="38"/>
      <c r="BN16" s="71"/>
      <c r="BO16" s="73"/>
      <c r="BP16" s="71"/>
      <c r="BQ16" s="73"/>
      <c r="BR16" s="73"/>
      <c r="BS16" s="18"/>
      <c r="BT16" s="71"/>
      <c r="BU16" s="108"/>
      <c r="BV16" s="66"/>
      <c r="BW16" s="73"/>
      <c r="BX16" s="66" t="s">
        <v>34</v>
      </c>
      <c r="BY16" s="73"/>
      <c r="BZ16" s="68" t="s">
        <v>34</v>
      </c>
      <c r="CA16" s="59"/>
      <c r="CB16" s="66" t="s">
        <v>34</v>
      </c>
      <c r="CC16" s="22">
        <v>12</v>
      </c>
      <c r="CD16" s="13" t="s">
        <v>131</v>
      </c>
      <c r="CE16" s="508"/>
      <c r="CF16" s="311">
        <f t="shared" si="2"/>
        <v>4</v>
      </c>
      <c r="CG16" s="76">
        <f t="shared" si="3"/>
        <v>3</v>
      </c>
      <c r="CH16" s="27"/>
      <c r="CI16" s="28"/>
      <c r="CJ16" s="449"/>
      <c r="CK16" s="450"/>
    </row>
    <row r="17" spans="1:89" ht="15" customHeight="1">
      <c r="A17" s="142">
        <v>13</v>
      </c>
      <c r="B17" s="151" t="s">
        <v>132</v>
      </c>
      <c r="C17" s="506">
        <v>37</v>
      </c>
      <c r="D17" s="167"/>
      <c r="E17" s="175"/>
      <c r="F17" s="167"/>
      <c r="G17" s="175"/>
      <c r="H17" s="167"/>
      <c r="I17" s="175"/>
      <c r="J17" s="167"/>
      <c r="K17" s="175"/>
      <c r="L17" s="167"/>
      <c r="M17" s="175"/>
      <c r="N17" s="167"/>
      <c r="O17" s="175"/>
      <c r="P17" s="167"/>
      <c r="Q17" s="175"/>
      <c r="R17" s="168"/>
      <c r="S17" s="175"/>
      <c r="T17" s="168"/>
      <c r="U17" s="175"/>
      <c r="V17" s="168"/>
      <c r="W17" s="175"/>
      <c r="X17" s="168"/>
      <c r="Y17" s="175"/>
      <c r="Z17" s="167"/>
      <c r="AA17" s="175"/>
      <c r="AB17" s="167"/>
      <c r="AC17" s="175"/>
      <c r="AD17" s="168"/>
      <c r="AE17" s="175"/>
      <c r="AF17" s="167"/>
      <c r="AG17" s="175"/>
      <c r="AH17" s="167"/>
      <c r="AI17" s="175"/>
      <c r="AJ17" s="167"/>
      <c r="AK17" s="175"/>
      <c r="AL17" s="167"/>
      <c r="AM17" s="175"/>
      <c r="AN17" s="167"/>
      <c r="AO17" s="175"/>
      <c r="AP17" s="558" t="s">
        <v>261</v>
      </c>
      <c r="AQ17" s="559"/>
      <c r="AR17" s="173"/>
      <c r="AS17" s="174"/>
      <c r="AT17" s="142">
        <v>13</v>
      </c>
      <c r="AU17" s="151" t="s">
        <v>132</v>
      </c>
      <c r="AV17" s="506">
        <v>38</v>
      </c>
      <c r="AW17" s="167"/>
      <c r="AX17" s="161" t="s">
        <v>34</v>
      </c>
      <c r="AY17" s="160"/>
      <c r="AZ17" s="161" t="s">
        <v>34</v>
      </c>
      <c r="BA17" s="160"/>
      <c r="BB17" s="159" t="s">
        <v>34</v>
      </c>
      <c r="BC17" s="170"/>
      <c r="BD17" s="161" t="s">
        <v>34</v>
      </c>
      <c r="BE17" s="167"/>
      <c r="BF17" s="161" t="s">
        <v>33</v>
      </c>
      <c r="BG17" s="159"/>
      <c r="BH17" s="161" t="s">
        <v>33</v>
      </c>
      <c r="BI17" s="159"/>
      <c r="BJ17" s="160" t="s">
        <v>33</v>
      </c>
      <c r="BK17" s="162"/>
      <c r="BL17" s="161" t="s">
        <v>33</v>
      </c>
      <c r="BM17" s="163"/>
      <c r="BN17" s="158"/>
      <c r="BO17" s="160"/>
      <c r="BP17" s="158"/>
      <c r="BQ17" s="160"/>
      <c r="BR17" s="160"/>
      <c r="BS17" s="168"/>
      <c r="BT17" s="158"/>
      <c r="BU17" s="166"/>
      <c r="BV17" s="161"/>
      <c r="BW17" s="159"/>
      <c r="BX17" s="161"/>
      <c r="BY17" s="159"/>
      <c r="BZ17" s="159"/>
      <c r="CA17" s="169"/>
      <c r="CB17" s="161"/>
      <c r="CC17" s="142">
        <v>13</v>
      </c>
      <c r="CD17" s="151" t="s">
        <v>132</v>
      </c>
      <c r="CE17" s="506">
        <v>37</v>
      </c>
      <c r="CF17" s="311">
        <f t="shared" si="2"/>
        <v>4</v>
      </c>
      <c r="CG17" s="76">
        <f t="shared" si="3"/>
        <v>4</v>
      </c>
      <c r="CH17" s="27"/>
      <c r="CI17" s="28"/>
      <c r="CJ17" s="449"/>
      <c r="CK17" s="450"/>
    </row>
    <row r="18" spans="1:89" ht="15" customHeight="1">
      <c r="A18" s="142">
        <v>14</v>
      </c>
      <c r="B18" s="151" t="s">
        <v>133</v>
      </c>
      <c r="C18" s="507"/>
      <c r="D18" s="14"/>
      <c r="E18" s="65"/>
      <c r="F18" s="14"/>
      <c r="G18" s="65"/>
      <c r="H18" s="14"/>
      <c r="I18" s="65"/>
      <c r="J18" s="14"/>
      <c r="K18" s="65"/>
      <c r="L18" s="14"/>
      <c r="M18" s="65"/>
      <c r="N18" s="14"/>
      <c r="O18" s="58"/>
      <c r="P18" s="14"/>
      <c r="Q18" s="65"/>
      <c r="R18" s="15"/>
      <c r="S18" s="65"/>
      <c r="T18" s="15"/>
      <c r="U18" s="65"/>
      <c r="V18" s="15"/>
      <c r="W18" s="65"/>
      <c r="X18" s="15"/>
      <c r="Y18" s="65"/>
      <c r="Z18" s="14"/>
      <c r="AA18" s="65"/>
      <c r="AB18" s="14"/>
      <c r="AC18" s="65"/>
      <c r="AD18" s="15"/>
      <c r="AE18" s="65"/>
      <c r="AF18" s="14"/>
      <c r="AG18" s="65"/>
      <c r="AH18" s="14"/>
      <c r="AI18" s="65"/>
      <c r="AJ18" s="14"/>
      <c r="AK18" s="65"/>
      <c r="AL18" s="14"/>
      <c r="AM18" s="65"/>
      <c r="AN18" s="14"/>
      <c r="AO18" s="65"/>
      <c r="AP18" s="523" t="s">
        <v>262</v>
      </c>
      <c r="AQ18" s="524"/>
      <c r="AR18" s="33"/>
      <c r="AS18" s="34"/>
      <c r="AT18" s="142">
        <v>14</v>
      </c>
      <c r="AU18" s="151" t="s">
        <v>133</v>
      </c>
      <c r="AV18" s="507"/>
      <c r="AW18" s="14"/>
      <c r="AX18" s="70"/>
      <c r="AY18" s="72"/>
      <c r="AZ18" s="70"/>
      <c r="BA18" s="72"/>
      <c r="BB18" s="72"/>
      <c r="BC18" s="58"/>
      <c r="BD18" s="70"/>
      <c r="BE18" s="14"/>
      <c r="BF18" s="67" t="s">
        <v>34</v>
      </c>
      <c r="BG18" s="72"/>
      <c r="BH18" s="67" t="s">
        <v>34</v>
      </c>
      <c r="BI18" s="72"/>
      <c r="BJ18" s="69" t="s">
        <v>34</v>
      </c>
      <c r="BK18" s="58"/>
      <c r="BL18" s="67" t="s">
        <v>34</v>
      </c>
      <c r="BM18" s="37"/>
      <c r="BN18" s="67" t="s">
        <v>33</v>
      </c>
      <c r="BO18" s="69"/>
      <c r="BP18" s="67" t="s">
        <v>33</v>
      </c>
      <c r="BQ18" s="69"/>
      <c r="BR18" s="72" t="s">
        <v>33</v>
      </c>
      <c r="BS18" s="87"/>
      <c r="BT18" s="67" t="s">
        <v>33</v>
      </c>
      <c r="BU18" s="96"/>
      <c r="BV18" s="67"/>
      <c r="BW18" s="69"/>
      <c r="BX18" s="67"/>
      <c r="BY18" s="69"/>
      <c r="BZ18" s="69"/>
      <c r="CA18" s="97"/>
      <c r="CB18" s="67"/>
      <c r="CC18" s="142">
        <v>14</v>
      </c>
      <c r="CD18" s="151" t="s">
        <v>133</v>
      </c>
      <c r="CE18" s="507"/>
      <c r="CF18" s="311">
        <f t="shared" si="2"/>
        <v>4</v>
      </c>
      <c r="CG18" s="76">
        <f t="shared" si="3"/>
        <v>4</v>
      </c>
      <c r="CH18" s="27"/>
      <c r="CI18" s="28"/>
      <c r="CJ18" s="449"/>
      <c r="CK18" s="450"/>
    </row>
    <row r="19" spans="1:89" ht="15" customHeight="1">
      <c r="A19" s="142">
        <v>15</v>
      </c>
      <c r="B19" s="151" t="s">
        <v>127</v>
      </c>
      <c r="C19" s="507"/>
      <c r="D19" s="14"/>
      <c r="E19" s="65"/>
      <c r="F19" s="14"/>
      <c r="G19" s="65"/>
      <c r="H19" s="14"/>
      <c r="I19" s="65"/>
      <c r="J19" s="14"/>
      <c r="K19" s="65"/>
      <c r="L19" s="14"/>
      <c r="M19" s="65"/>
      <c r="N19" s="14"/>
      <c r="O19" s="58"/>
      <c r="P19" s="14"/>
      <c r="Q19" s="65"/>
      <c r="R19" s="15"/>
      <c r="S19" s="65"/>
      <c r="T19" s="15"/>
      <c r="U19" s="65"/>
      <c r="V19" s="15"/>
      <c r="W19" s="65"/>
      <c r="X19" s="15"/>
      <c r="Y19" s="65"/>
      <c r="Z19" s="14"/>
      <c r="AA19" s="65"/>
      <c r="AB19" s="14"/>
      <c r="AC19" s="65"/>
      <c r="AD19" s="15"/>
      <c r="AE19" s="65"/>
      <c r="AF19" s="14"/>
      <c r="AG19" s="65"/>
      <c r="AH19" s="14"/>
      <c r="AI19" s="65"/>
      <c r="AJ19" s="14"/>
      <c r="AK19" s="65"/>
      <c r="AL19" s="14"/>
      <c r="AM19" s="65"/>
      <c r="AN19" s="14"/>
      <c r="AO19" s="65"/>
      <c r="AP19" s="509"/>
      <c r="AQ19" s="510"/>
      <c r="AR19" s="33"/>
      <c r="AS19" s="34"/>
      <c r="AT19" s="142">
        <v>15</v>
      </c>
      <c r="AU19" s="151" t="s">
        <v>127</v>
      </c>
      <c r="AV19" s="507"/>
      <c r="AW19" s="14"/>
      <c r="AX19" s="70"/>
      <c r="AY19" s="72"/>
      <c r="AZ19" s="70"/>
      <c r="BA19" s="72"/>
      <c r="BB19" s="72"/>
      <c r="BC19" s="58"/>
      <c r="BD19" s="70"/>
      <c r="BE19" s="14"/>
      <c r="BF19" s="70"/>
      <c r="BG19" s="72"/>
      <c r="BH19" s="70"/>
      <c r="BI19" s="72"/>
      <c r="BJ19" s="72"/>
      <c r="BK19" s="58"/>
      <c r="BL19" s="70"/>
      <c r="BM19" s="37"/>
      <c r="BN19" s="67" t="s">
        <v>34</v>
      </c>
      <c r="BO19" s="72"/>
      <c r="BP19" s="67" t="s">
        <v>34</v>
      </c>
      <c r="BQ19" s="72"/>
      <c r="BR19" s="69" t="s">
        <v>34</v>
      </c>
      <c r="BS19" s="58"/>
      <c r="BT19" s="67" t="s">
        <v>34</v>
      </c>
      <c r="BU19" s="96"/>
      <c r="BV19" s="67"/>
      <c r="BW19" s="69"/>
      <c r="BX19" s="67" t="s">
        <v>33</v>
      </c>
      <c r="BY19" s="69"/>
      <c r="BZ19" s="72" t="s">
        <v>33</v>
      </c>
      <c r="CA19" s="87"/>
      <c r="CB19" s="67" t="s">
        <v>33</v>
      </c>
      <c r="CC19" s="142">
        <v>15</v>
      </c>
      <c r="CD19" s="151" t="s">
        <v>127</v>
      </c>
      <c r="CE19" s="507"/>
      <c r="CF19" s="311">
        <f t="shared" si="2"/>
        <v>3</v>
      </c>
      <c r="CG19" s="76">
        <f t="shared" si="3"/>
        <v>4</v>
      </c>
      <c r="CH19" s="27"/>
      <c r="CI19" s="28"/>
      <c r="CJ19" s="449"/>
      <c r="CK19" s="450"/>
    </row>
    <row r="20" spans="1:89" ht="15" customHeight="1">
      <c r="A20" s="142">
        <v>16</v>
      </c>
      <c r="B20" s="151" t="s">
        <v>128</v>
      </c>
      <c r="C20" s="507"/>
      <c r="D20" s="14"/>
      <c r="E20" s="65"/>
      <c r="F20" s="14"/>
      <c r="G20" s="65"/>
      <c r="H20" s="14"/>
      <c r="I20" s="65"/>
      <c r="J20" s="14"/>
      <c r="K20" s="65"/>
      <c r="L20" s="14"/>
      <c r="M20" s="65"/>
      <c r="N20" s="14"/>
      <c r="O20" s="58"/>
      <c r="P20" s="14"/>
      <c r="Q20" s="65"/>
      <c r="R20" s="15"/>
      <c r="S20" s="65"/>
      <c r="T20" s="15"/>
      <c r="U20" s="65"/>
      <c r="V20" s="15"/>
      <c r="W20" s="65"/>
      <c r="X20" s="15"/>
      <c r="Y20" s="65"/>
      <c r="Z20" s="14"/>
      <c r="AA20" s="65"/>
      <c r="AB20" s="14"/>
      <c r="AC20" s="65"/>
      <c r="AD20" s="15"/>
      <c r="AE20" s="65"/>
      <c r="AF20" s="14"/>
      <c r="AG20" s="65"/>
      <c r="AH20" s="14"/>
      <c r="AI20" s="65"/>
      <c r="AJ20" s="14"/>
      <c r="AK20" s="65"/>
      <c r="AL20" s="14"/>
      <c r="AM20" s="65"/>
      <c r="AN20" s="14"/>
      <c r="AO20" s="65"/>
      <c r="AP20" s="509"/>
      <c r="AQ20" s="510"/>
      <c r="AR20" s="33"/>
      <c r="AS20" s="34"/>
      <c r="AT20" s="142">
        <v>16</v>
      </c>
      <c r="AU20" s="151" t="s">
        <v>128</v>
      </c>
      <c r="AV20" s="507"/>
      <c r="AW20" s="14"/>
      <c r="AX20" s="67" t="s">
        <v>33</v>
      </c>
      <c r="AY20" s="69"/>
      <c r="AZ20" s="67" t="s">
        <v>33</v>
      </c>
      <c r="BA20" s="69"/>
      <c r="BB20" s="72" t="s">
        <v>33</v>
      </c>
      <c r="BC20" s="87"/>
      <c r="BD20" s="67" t="s">
        <v>33</v>
      </c>
      <c r="BE20" s="14"/>
      <c r="BF20" s="70"/>
      <c r="BG20" s="72"/>
      <c r="BH20" s="70"/>
      <c r="BI20" s="72"/>
      <c r="BJ20" s="72"/>
      <c r="BK20" s="58"/>
      <c r="BL20" s="70"/>
      <c r="BM20" s="37"/>
      <c r="BN20" s="70"/>
      <c r="BO20" s="72"/>
      <c r="BP20" s="70"/>
      <c r="BQ20" s="72"/>
      <c r="BR20" s="72"/>
      <c r="BS20" s="15"/>
      <c r="BT20" s="70"/>
      <c r="BU20" s="96"/>
      <c r="BV20" s="67"/>
      <c r="BW20" s="72"/>
      <c r="BX20" s="67" t="s">
        <v>34</v>
      </c>
      <c r="BY20" s="72"/>
      <c r="BZ20" s="69" t="s">
        <v>34</v>
      </c>
      <c r="CA20" s="58"/>
      <c r="CB20" s="67" t="s">
        <v>34</v>
      </c>
      <c r="CC20" s="142">
        <v>16</v>
      </c>
      <c r="CD20" s="151" t="s">
        <v>128</v>
      </c>
      <c r="CE20" s="507"/>
      <c r="CF20" s="311">
        <f t="shared" si="2"/>
        <v>4</v>
      </c>
      <c r="CG20" s="76">
        <f t="shared" si="3"/>
        <v>3</v>
      </c>
      <c r="CH20" s="27"/>
      <c r="CI20" s="28"/>
      <c r="CJ20" s="449"/>
      <c r="CK20" s="450"/>
    </row>
    <row r="21" spans="1:89" ht="15" customHeight="1">
      <c r="A21" s="142">
        <v>17</v>
      </c>
      <c r="B21" s="151" t="s">
        <v>129</v>
      </c>
      <c r="C21" s="507"/>
      <c r="D21" s="14"/>
      <c r="E21" s="65"/>
      <c r="F21" s="14"/>
      <c r="G21" s="65"/>
      <c r="H21" s="14"/>
      <c r="I21" s="65"/>
      <c r="J21" s="14"/>
      <c r="K21" s="65"/>
      <c r="L21" s="14"/>
      <c r="M21" s="65"/>
      <c r="N21" s="14"/>
      <c r="O21" s="58"/>
      <c r="P21" s="14"/>
      <c r="Q21" s="65"/>
      <c r="R21" s="15"/>
      <c r="S21" s="65"/>
      <c r="T21" s="14"/>
      <c r="U21" s="65"/>
      <c r="V21" s="15"/>
      <c r="W21" s="65"/>
      <c r="X21" s="15"/>
      <c r="Y21" s="65"/>
      <c r="Z21" s="14"/>
      <c r="AA21" s="65"/>
      <c r="AB21" s="14"/>
      <c r="AC21" s="65"/>
      <c r="AD21" s="15"/>
      <c r="AE21" s="65"/>
      <c r="AF21" s="14"/>
      <c r="AG21" s="65"/>
      <c r="AH21" s="14"/>
      <c r="AI21" s="65"/>
      <c r="AJ21" s="14"/>
      <c r="AK21" s="65"/>
      <c r="AL21" s="14"/>
      <c r="AM21" s="65"/>
      <c r="AN21" s="14"/>
      <c r="AO21" s="65"/>
      <c r="AP21" s="523"/>
      <c r="AQ21" s="524"/>
      <c r="AR21" s="33"/>
      <c r="AS21" s="34"/>
      <c r="AT21" s="142">
        <v>17</v>
      </c>
      <c r="AU21" s="151" t="s">
        <v>129</v>
      </c>
      <c r="AV21" s="507"/>
      <c r="AW21" s="14"/>
      <c r="AX21" s="67" t="s">
        <v>34</v>
      </c>
      <c r="AY21" s="72"/>
      <c r="AZ21" s="67" t="s">
        <v>34</v>
      </c>
      <c r="BA21" s="72"/>
      <c r="BB21" s="69" t="s">
        <v>34</v>
      </c>
      <c r="BC21" s="58"/>
      <c r="BD21" s="67" t="s">
        <v>34</v>
      </c>
      <c r="BE21" s="14"/>
      <c r="BF21" s="67" t="s">
        <v>33</v>
      </c>
      <c r="BG21" s="69"/>
      <c r="BH21" s="67" t="s">
        <v>33</v>
      </c>
      <c r="BI21" s="69"/>
      <c r="BJ21" s="72" t="s">
        <v>33</v>
      </c>
      <c r="BK21" s="87"/>
      <c r="BL21" s="67" t="s">
        <v>33</v>
      </c>
      <c r="BM21" s="37"/>
      <c r="BN21" s="70"/>
      <c r="BO21" s="72"/>
      <c r="BP21" s="70"/>
      <c r="BQ21" s="72"/>
      <c r="BR21" s="72"/>
      <c r="BS21" s="15"/>
      <c r="BT21" s="70"/>
      <c r="BU21" s="96"/>
      <c r="BV21" s="67"/>
      <c r="BW21" s="69"/>
      <c r="BX21" s="67"/>
      <c r="BY21" s="69"/>
      <c r="BZ21" s="69"/>
      <c r="CA21" s="97"/>
      <c r="CB21" s="67"/>
      <c r="CC21" s="142">
        <v>17</v>
      </c>
      <c r="CD21" s="151" t="s">
        <v>129</v>
      </c>
      <c r="CE21" s="507"/>
      <c r="CF21" s="311">
        <f t="shared" si="2"/>
        <v>4</v>
      </c>
      <c r="CG21" s="76">
        <f t="shared" si="3"/>
        <v>4</v>
      </c>
      <c r="CH21" s="27"/>
      <c r="CI21" s="28"/>
      <c r="CJ21" s="449"/>
      <c r="CK21" s="450"/>
    </row>
    <row r="22" spans="1:89" ht="15" customHeight="1">
      <c r="A22" s="22">
        <v>18</v>
      </c>
      <c r="B22" s="13" t="s">
        <v>130</v>
      </c>
      <c r="C22" s="507"/>
      <c r="D22" s="16"/>
      <c r="E22" s="17"/>
      <c r="F22" s="16"/>
      <c r="G22" s="17"/>
      <c r="H22" s="16"/>
      <c r="I22" s="17"/>
      <c r="J22" s="16"/>
      <c r="K22" s="17"/>
      <c r="L22" s="16"/>
      <c r="M22" s="17"/>
      <c r="N22" s="16"/>
      <c r="O22" s="59"/>
      <c r="P22" s="16"/>
      <c r="Q22" s="17"/>
      <c r="R22" s="18"/>
      <c r="S22" s="17"/>
      <c r="T22" s="18"/>
      <c r="U22" s="17"/>
      <c r="V22" s="18"/>
      <c r="W22" s="17"/>
      <c r="X22" s="18"/>
      <c r="Y22" s="17"/>
      <c r="Z22" s="16"/>
      <c r="AA22" s="17"/>
      <c r="AB22" s="16"/>
      <c r="AC22" s="17"/>
      <c r="AD22" s="18"/>
      <c r="AE22" s="17"/>
      <c r="AF22" s="16"/>
      <c r="AG22" s="17"/>
      <c r="AH22" s="16"/>
      <c r="AI22" s="17"/>
      <c r="AJ22" s="16"/>
      <c r="AK22" s="17"/>
      <c r="AL22" s="16"/>
      <c r="AM22" s="17"/>
      <c r="AN22" s="16"/>
      <c r="AO22" s="17"/>
      <c r="AP22" s="529"/>
      <c r="AQ22" s="530"/>
      <c r="AR22" s="104"/>
      <c r="AS22" s="105"/>
      <c r="AT22" s="22">
        <v>18</v>
      </c>
      <c r="AU22" s="13" t="s">
        <v>130</v>
      </c>
      <c r="AV22" s="507"/>
      <c r="AW22" s="16"/>
      <c r="AX22" s="71"/>
      <c r="AY22" s="73"/>
      <c r="AZ22" s="71"/>
      <c r="BA22" s="73"/>
      <c r="BB22" s="73"/>
      <c r="BC22" s="59"/>
      <c r="BD22" s="71"/>
      <c r="BE22" s="16"/>
      <c r="BF22" s="66" t="s">
        <v>34</v>
      </c>
      <c r="BG22" s="73"/>
      <c r="BH22" s="66" t="s">
        <v>34</v>
      </c>
      <c r="BI22" s="73"/>
      <c r="BJ22" s="68" t="s">
        <v>34</v>
      </c>
      <c r="BK22" s="59"/>
      <c r="BL22" s="66" t="s">
        <v>34</v>
      </c>
      <c r="BM22" s="38"/>
      <c r="BN22" s="66" t="s">
        <v>33</v>
      </c>
      <c r="BO22" s="68"/>
      <c r="BP22" s="66" t="s">
        <v>33</v>
      </c>
      <c r="BQ22" s="68"/>
      <c r="BR22" s="73" t="s">
        <v>33</v>
      </c>
      <c r="BS22" s="110"/>
      <c r="BT22" s="71" t="s">
        <v>33</v>
      </c>
      <c r="BU22" s="108"/>
      <c r="BV22" s="66"/>
      <c r="BW22" s="68"/>
      <c r="BX22" s="66"/>
      <c r="BY22" s="68"/>
      <c r="BZ22" s="68"/>
      <c r="CA22" s="83"/>
      <c r="CB22" s="66"/>
      <c r="CC22" s="22">
        <v>18</v>
      </c>
      <c r="CD22" s="13" t="s">
        <v>130</v>
      </c>
      <c r="CE22" s="507"/>
      <c r="CF22" s="311">
        <f t="shared" si="2"/>
        <v>4</v>
      </c>
      <c r="CG22" s="76">
        <f t="shared" si="3"/>
        <v>4</v>
      </c>
      <c r="CH22" s="27"/>
      <c r="CI22" s="28"/>
      <c r="CJ22" s="449"/>
      <c r="CK22" s="450"/>
    </row>
    <row r="23" spans="1:89" ht="15" customHeight="1">
      <c r="A23" s="22">
        <v>19</v>
      </c>
      <c r="B23" s="13" t="s">
        <v>131</v>
      </c>
      <c r="C23" s="508"/>
      <c r="D23" s="16"/>
      <c r="E23" s="17"/>
      <c r="F23" s="16"/>
      <c r="G23" s="17"/>
      <c r="H23" s="16"/>
      <c r="I23" s="17"/>
      <c r="J23" s="16"/>
      <c r="K23" s="17"/>
      <c r="L23" s="16"/>
      <c r="M23" s="17"/>
      <c r="N23" s="16"/>
      <c r="O23" s="59"/>
      <c r="P23" s="16"/>
      <c r="Q23" s="17"/>
      <c r="R23" s="18"/>
      <c r="S23" s="17"/>
      <c r="T23" s="18"/>
      <c r="U23" s="17"/>
      <c r="V23" s="18"/>
      <c r="W23" s="17"/>
      <c r="X23" s="18"/>
      <c r="Y23" s="17"/>
      <c r="Z23" s="16"/>
      <c r="AA23" s="17"/>
      <c r="AB23" s="16"/>
      <c r="AC23" s="17"/>
      <c r="AD23" s="18"/>
      <c r="AE23" s="17"/>
      <c r="AF23" s="16"/>
      <c r="AG23" s="17"/>
      <c r="AH23" s="16"/>
      <c r="AI23" s="17"/>
      <c r="AJ23" s="16"/>
      <c r="AK23" s="17"/>
      <c r="AL23" s="16"/>
      <c r="AM23" s="17"/>
      <c r="AN23" s="16"/>
      <c r="AO23" s="17"/>
      <c r="AP23" s="529"/>
      <c r="AQ23" s="530"/>
      <c r="AR23" s="104"/>
      <c r="AS23" s="105"/>
      <c r="AT23" s="22">
        <v>19</v>
      </c>
      <c r="AU23" s="13" t="s">
        <v>131</v>
      </c>
      <c r="AV23" s="508"/>
      <c r="AW23" s="16"/>
      <c r="AX23" s="71"/>
      <c r="AY23" s="73"/>
      <c r="AZ23" s="71"/>
      <c r="BA23" s="73"/>
      <c r="BB23" s="73"/>
      <c r="BC23" s="59"/>
      <c r="BD23" s="71"/>
      <c r="BE23" s="16"/>
      <c r="BF23" s="71"/>
      <c r="BG23" s="73"/>
      <c r="BH23" s="71"/>
      <c r="BI23" s="73"/>
      <c r="BJ23" s="73"/>
      <c r="BK23" s="59"/>
      <c r="BL23" s="71"/>
      <c r="BM23" s="38"/>
      <c r="BN23" s="66" t="s">
        <v>34</v>
      </c>
      <c r="BO23" s="73"/>
      <c r="BP23" s="66" t="s">
        <v>34</v>
      </c>
      <c r="BQ23" s="73"/>
      <c r="BR23" s="68" t="s">
        <v>34</v>
      </c>
      <c r="BS23" s="59"/>
      <c r="BT23" s="75" t="s">
        <v>34</v>
      </c>
      <c r="BU23" s="108"/>
      <c r="BV23" s="66"/>
      <c r="BW23" s="68"/>
      <c r="BX23" s="66" t="s">
        <v>33</v>
      </c>
      <c r="BY23" s="68"/>
      <c r="BZ23" s="73" t="s">
        <v>33</v>
      </c>
      <c r="CA23" s="110"/>
      <c r="CB23" s="66" t="s">
        <v>33</v>
      </c>
      <c r="CC23" s="22">
        <v>19</v>
      </c>
      <c r="CD23" s="13" t="s">
        <v>131</v>
      </c>
      <c r="CE23" s="508"/>
      <c r="CF23" s="311">
        <f t="shared" si="2"/>
        <v>3</v>
      </c>
      <c r="CG23" s="76">
        <f t="shared" si="3"/>
        <v>4</v>
      </c>
      <c r="CH23" s="27"/>
      <c r="CI23" s="28"/>
      <c r="CJ23" s="545"/>
      <c r="CK23" s="546"/>
    </row>
    <row r="24" spans="1:89" ht="15" customHeight="1">
      <c r="A24" s="142">
        <v>20</v>
      </c>
      <c r="B24" s="151" t="s">
        <v>132</v>
      </c>
      <c r="C24" s="506">
        <v>38</v>
      </c>
      <c r="D24" s="167"/>
      <c r="E24" s="175"/>
      <c r="F24" s="167"/>
      <c r="G24" s="175"/>
      <c r="H24" s="167"/>
      <c r="I24" s="175"/>
      <c r="J24" s="167"/>
      <c r="K24" s="175"/>
      <c r="L24" s="167"/>
      <c r="M24" s="175"/>
      <c r="N24" s="167"/>
      <c r="O24" s="170"/>
      <c r="P24" s="167"/>
      <c r="Q24" s="175"/>
      <c r="R24" s="168"/>
      <c r="S24" s="175"/>
      <c r="T24" s="168"/>
      <c r="U24" s="175"/>
      <c r="V24" s="168"/>
      <c r="W24" s="175"/>
      <c r="X24" s="168"/>
      <c r="Y24" s="175"/>
      <c r="Z24" s="167"/>
      <c r="AA24" s="175"/>
      <c r="AB24" s="167"/>
      <c r="AC24" s="175"/>
      <c r="AD24" s="168"/>
      <c r="AE24" s="175"/>
      <c r="AF24" s="167"/>
      <c r="AG24" s="175"/>
      <c r="AH24" s="167"/>
      <c r="AI24" s="175"/>
      <c r="AJ24" s="167"/>
      <c r="AK24" s="175"/>
      <c r="AL24" s="167"/>
      <c r="AM24" s="175"/>
      <c r="AN24" s="167"/>
      <c r="AO24" s="175"/>
      <c r="AP24" s="558" t="s">
        <v>275</v>
      </c>
      <c r="AQ24" s="559"/>
      <c r="AR24" s="173"/>
      <c r="AS24" s="174"/>
      <c r="AT24" s="142">
        <v>20</v>
      </c>
      <c r="AU24" s="151" t="s">
        <v>132</v>
      </c>
      <c r="AV24" s="506">
        <v>39</v>
      </c>
      <c r="AW24" s="167"/>
      <c r="AX24" s="161" t="s">
        <v>33</v>
      </c>
      <c r="AY24" s="159"/>
      <c r="AZ24" s="161" t="s">
        <v>33</v>
      </c>
      <c r="BA24" s="159"/>
      <c r="BB24" s="160" t="s">
        <v>33</v>
      </c>
      <c r="BC24" s="162"/>
      <c r="BD24" s="161" t="s">
        <v>33</v>
      </c>
      <c r="BE24" s="167"/>
      <c r="BF24" s="158"/>
      <c r="BG24" s="160"/>
      <c r="BH24" s="158"/>
      <c r="BI24" s="160"/>
      <c r="BJ24" s="160"/>
      <c r="BK24" s="170"/>
      <c r="BL24" s="158"/>
      <c r="BM24" s="163"/>
      <c r="BN24" s="158"/>
      <c r="BO24" s="160"/>
      <c r="BP24" s="158"/>
      <c r="BQ24" s="160"/>
      <c r="BR24" s="160"/>
      <c r="BS24" s="168"/>
      <c r="BT24" s="158"/>
      <c r="BU24" s="166"/>
      <c r="BV24" s="161"/>
      <c r="BW24" s="160"/>
      <c r="BX24" s="161" t="s">
        <v>34</v>
      </c>
      <c r="BY24" s="160"/>
      <c r="BZ24" s="159" t="s">
        <v>34</v>
      </c>
      <c r="CA24" s="170"/>
      <c r="CB24" s="161" t="s">
        <v>34</v>
      </c>
      <c r="CC24" s="142">
        <v>20</v>
      </c>
      <c r="CD24" s="151" t="s">
        <v>132</v>
      </c>
      <c r="CE24" s="506">
        <v>38</v>
      </c>
      <c r="CF24" s="311">
        <f t="shared" si="2"/>
        <v>4</v>
      </c>
      <c r="CG24" s="76">
        <f t="shared" si="3"/>
        <v>3</v>
      </c>
      <c r="CH24" s="27"/>
      <c r="CI24" s="28"/>
      <c r="CJ24" s="277" t="s">
        <v>275</v>
      </c>
      <c r="CK24" s="278"/>
    </row>
    <row r="25" spans="1:89" ht="15" customHeight="1">
      <c r="A25" s="142">
        <v>21</v>
      </c>
      <c r="B25" s="151" t="s">
        <v>133</v>
      </c>
      <c r="C25" s="507"/>
      <c r="D25" s="167"/>
      <c r="E25" s="175"/>
      <c r="F25" s="167"/>
      <c r="G25" s="175"/>
      <c r="H25" s="167"/>
      <c r="I25" s="175"/>
      <c r="J25" s="167"/>
      <c r="K25" s="175"/>
      <c r="L25" s="167"/>
      <c r="M25" s="175"/>
      <c r="N25" s="167"/>
      <c r="O25" s="170"/>
      <c r="P25" s="167"/>
      <c r="Q25" s="175"/>
      <c r="R25" s="168"/>
      <c r="S25" s="175"/>
      <c r="T25" s="168"/>
      <c r="U25" s="175"/>
      <c r="V25" s="168"/>
      <c r="W25" s="175"/>
      <c r="X25" s="168"/>
      <c r="Y25" s="175"/>
      <c r="Z25" s="167"/>
      <c r="AA25" s="175"/>
      <c r="AB25" s="167"/>
      <c r="AC25" s="175"/>
      <c r="AD25" s="168"/>
      <c r="AE25" s="175"/>
      <c r="AF25" s="167"/>
      <c r="AG25" s="175"/>
      <c r="AH25" s="167"/>
      <c r="AI25" s="175"/>
      <c r="AJ25" s="167"/>
      <c r="AK25" s="175"/>
      <c r="AL25" s="167"/>
      <c r="AM25" s="175"/>
      <c r="AN25" s="167"/>
      <c r="AO25" s="175"/>
      <c r="AP25" s="558" t="s">
        <v>276</v>
      </c>
      <c r="AQ25" s="559"/>
      <c r="AR25" s="173"/>
      <c r="AS25" s="174"/>
      <c r="AT25" s="142">
        <v>21</v>
      </c>
      <c r="AU25" s="151" t="s">
        <v>133</v>
      </c>
      <c r="AV25" s="507"/>
      <c r="AW25" s="167"/>
      <c r="AX25" s="161" t="s">
        <v>34</v>
      </c>
      <c r="AY25" s="160"/>
      <c r="AZ25" s="161" t="s">
        <v>34</v>
      </c>
      <c r="BA25" s="160"/>
      <c r="BB25" s="160" t="s">
        <v>34</v>
      </c>
      <c r="BC25" s="170"/>
      <c r="BD25" s="161" t="s">
        <v>34</v>
      </c>
      <c r="BE25" s="167"/>
      <c r="BF25" s="67" t="s">
        <v>61</v>
      </c>
      <c r="BG25" s="159"/>
      <c r="BH25" s="67" t="s">
        <v>61</v>
      </c>
      <c r="BI25" s="159"/>
      <c r="BJ25" s="72" t="s">
        <v>61</v>
      </c>
      <c r="BK25" s="162"/>
      <c r="BL25" s="67" t="s">
        <v>61</v>
      </c>
      <c r="BM25" s="163"/>
      <c r="BN25" s="158"/>
      <c r="BO25" s="160"/>
      <c r="BP25" s="158"/>
      <c r="BQ25" s="160"/>
      <c r="BR25" s="160"/>
      <c r="BS25" s="168"/>
      <c r="BT25" s="158"/>
      <c r="BU25" s="166"/>
      <c r="BV25" s="161"/>
      <c r="BW25" s="159"/>
      <c r="BX25" s="161"/>
      <c r="BY25" s="159"/>
      <c r="BZ25" s="159"/>
      <c r="CA25" s="169"/>
      <c r="CB25" s="161"/>
      <c r="CC25" s="142">
        <v>21</v>
      </c>
      <c r="CD25" s="151" t="s">
        <v>133</v>
      </c>
      <c r="CE25" s="507"/>
      <c r="CF25" s="311">
        <f t="shared" si="2"/>
        <v>0</v>
      </c>
      <c r="CG25" s="76">
        <f t="shared" si="3"/>
        <v>4</v>
      </c>
      <c r="CH25" s="27"/>
      <c r="CI25" s="28"/>
      <c r="CJ25" s="277" t="s">
        <v>276</v>
      </c>
      <c r="CK25" s="278"/>
    </row>
    <row r="26" spans="1:89" ht="15" customHeight="1">
      <c r="A26" s="142">
        <v>22</v>
      </c>
      <c r="B26" s="151" t="s">
        <v>127</v>
      </c>
      <c r="C26" s="507"/>
      <c r="D26" s="14"/>
      <c r="E26" s="65"/>
      <c r="F26" s="14"/>
      <c r="G26" s="65"/>
      <c r="H26" s="112"/>
      <c r="I26" s="65"/>
      <c r="J26" s="14"/>
      <c r="K26" s="65"/>
      <c r="L26" s="112"/>
      <c r="M26" s="65"/>
      <c r="N26" s="14"/>
      <c r="O26" s="58"/>
      <c r="P26" s="14"/>
      <c r="Q26" s="65"/>
      <c r="R26" s="112"/>
      <c r="S26" s="65"/>
      <c r="T26" s="15"/>
      <c r="U26" s="65"/>
      <c r="V26" s="112"/>
      <c r="W26" s="65"/>
      <c r="X26" s="15" t="s">
        <v>41</v>
      </c>
      <c r="Y26" s="65"/>
      <c r="Z26" s="14"/>
      <c r="AA26" s="65"/>
      <c r="AB26" s="14"/>
      <c r="AC26" s="65"/>
      <c r="AD26" s="15"/>
      <c r="AE26" s="65"/>
      <c r="AF26" s="14"/>
      <c r="AG26" s="65"/>
      <c r="AH26" s="14"/>
      <c r="AI26" s="65"/>
      <c r="AJ26" s="14"/>
      <c r="AK26" s="65"/>
      <c r="AL26" s="14"/>
      <c r="AM26" s="65"/>
      <c r="AN26" s="14"/>
      <c r="AO26" s="65"/>
      <c r="AP26" s="523"/>
      <c r="AQ26" s="524"/>
      <c r="AR26" s="33"/>
      <c r="AS26" s="34"/>
      <c r="AT26" s="142">
        <v>22</v>
      </c>
      <c r="AU26" s="151" t="s">
        <v>127</v>
      </c>
      <c r="AV26" s="507"/>
      <c r="AW26" s="14"/>
      <c r="AX26" s="70"/>
      <c r="AY26" s="72"/>
      <c r="AZ26" s="70"/>
      <c r="BA26" s="72"/>
      <c r="BB26" s="72"/>
      <c r="BC26" s="58"/>
      <c r="BD26" s="70"/>
      <c r="BE26" s="14"/>
      <c r="BF26" s="67" t="s">
        <v>34</v>
      </c>
      <c r="BG26" s="72"/>
      <c r="BH26" s="67" t="s">
        <v>34</v>
      </c>
      <c r="BI26" s="72"/>
      <c r="BJ26" s="69" t="s">
        <v>34</v>
      </c>
      <c r="BK26" s="58"/>
      <c r="BL26" s="67" t="s">
        <v>34</v>
      </c>
      <c r="BM26" s="37"/>
      <c r="BN26" s="67" t="s">
        <v>33</v>
      </c>
      <c r="BO26" s="69"/>
      <c r="BP26" s="67" t="s">
        <v>33</v>
      </c>
      <c r="BQ26" s="69"/>
      <c r="BR26" s="72" t="s">
        <v>33</v>
      </c>
      <c r="BS26" s="87"/>
      <c r="BT26" s="67" t="s">
        <v>33</v>
      </c>
      <c r="BU26" s="96"/>
      <c r="BV26" s="67"/>
      <c r="BW26" s="69"/>
      <c r="BX26" s="67"/>
      <c r="BY26" s="69"/>
      <c r="BZ26" s="69"/>
      <c r="CA26" s="97"/>
      <c r="CB26" s="67"/>
      <c r="CC26" s="142">
        <v>22</v>
      </c>
      <c r="CD26" s="151" t="s">
        <v>127</v>
      </c>
      <c r="CE26" s="507"/>
      <c r="CF26" s="311">
        <f t="shared" si="2"/>
        <v>4</v>
      </c>
      <c r="CG26" s="76">
        <f t="shared" si="3"/>
        <v>4</v>
      </c>
      <c r="CH26" s="27"/>
      <c r="CI26" s="28"/>
      <c r="CJ26" s="449"/>
      <c r="CK26" s="450"/>
    </row>
    <row r="27" spans="1:89" ht="15" customHeight="1">
      <c r="A27" s="142">
        <v>23</v>
      </c>
      <c r="B27" s="151" t="s">
        <v>128</v>
      </c>
      <c r="C27" s="507"/>
      <c r="D27" s="14"/>
      <c r="E27" s="65"/>
      <c r="F27" s="14"/>
      <c r="G27" s="65"/>
      <c r="H27" s="14"/>
      <c r="I27" s="65"/>
      <c r="J27" s="14"/>
      <c r="K27" s="65"/>
      <c r="L27" s="14"/>
      <c r="M27" s="65"/>
      <c r="N27" s="14"/>
      <c r="O27" s="58"/>
      <c r="P27" s="14"/>
      <c r="Q27" s="65"/>
      <c r="R27" s="15"/>
      <c r="S27" s="65"/>
      <c r="T27" s="15"/>
      <c r="U27" s="65"/>
      <c r="V27" s="15"/>
      <c r="W27" s="65"/>
      <c r="X27" s="15" t="s">
        <v>41</v>
      </c>
      <c r="Y27" s="65"/>
      <c r="Z27" s="14"/>
      <c r="AA27" s="65"/>
      <c r="AB27" s="14"/>
      <c r="AC27" s="65"/>
      <c r="AD27" s="15"/>
      <c r="AE27" s="65"/>
      <c r="AF27" s="14"/>
      <c r="AG27" s="65"/>
      <c r="AH27" s="14"/>
      <c r="AI27" s="65"/>
      <c r="AJ27" s="14"/>
      <c r="AK27" s="65"/>
      <c r="AL27" s="14"/>
      <c r="AM27" s="65"/>
      <c r="AN27" s="14"/>
      <c r="AO27" s="65"/>
      <c r="AP27" s="523"/>
      <c r="AQ27" s="524"/>
      <c r="AR27" s="33"/>
      <c r="AS27" s="34"/>
      <c r="AT27" s="142">
        <v>23</v>
      </c>
      <c r="AU27" s="151" t="s">
        <v>128</v>
      </c>
      <c r="AV27" s="507"/>
      <c r="AW27" s="14"/>
      <c r="AX27" s="70"/>
      <c r="AY27" s="72"/>
      <c r="AZ27" s="70"/>
      <c r="BA27" s="72"/>
      <c r="BB27" s="72"/>
      <c r="BC27" s="58"/>
      <c r="BD27" s="70"/>
      <c r="BE27" s="14"/>
      <c r="BF27" s="70"/>
      <c r="BG27" s="72"/>
      <c r="BH27" s="70"/>
      <c r="BI27" s="72"/>
      <c r="BJ27" s="72"/>
      <c r="BK27" s="58"/>
      <c r="BL27" s="70"/>
      <c r="BM27" s="14"/>
      <c r="BN27" s="67" t="s">
        <v>34</v>
      </c>
      <c r="BO27" s="72"/>
      <c r="BP27" s="67" t="s">
        <v>34</v>
      </c>
      <c r="BQ27" s="72"/>
      <c r="BR27" s="69" t="s">
        <v>34</v>
      </c>
      <c r="BS27" s="58"/>
      <c r="BT27" s="67" t="s">
        <v>34</v>
      </c>
      <c r="BU27" s="96"/>
      <c r="BV27" s="67"/>
      <c r="BW27" s="69"/>
      <c r="BX27" s="67" t="s">
        <v>33</v>
      </c>
      <c r="BY27" s="69"/>
      <c r="BZ27" s="72" t="s">
        <v>33</v>
      </c>
      <c r="CA27" s="87"/>
      <c r="CB27" s="67" t="s">
        <v>33</v>
      </c>
      <c r="CC27" s="142">
        <v>23</v>
      </c>
      <c r="CD27" s="151" t="s">
        <v>128</v>
      </c>
      <c r="CE27" s="507"/>
      <c r="CF27" s="311">
        <f t="shared" si="2"/>
        <v>3</v>
      </c>
      <c r="CG27" s="76">
        <f t="shared" si="3"/>
        <v>4</v>
      </c>
      <c r="CH27" s="27"/>
      <c r="CI27" s="28"/>
      <c r="CJ27" s="449"/>
      <c r="CK27" s="450"/>
    </row>
    <row r="28" spans="1:89" ht="15" customHeight="1">
      <c r="A28" s="142">
        <v>24</v>
      </c>
      <c r="B28" s="151" t="s">
        <v>129</v>
      </c>
      <c r="C28" s="507"/>
      <c r="D28" s="14"/>
      <c r="E28" s="65"/>
      <c r="F28" s="14"/>
      <c r="G28" s="65"/>
      <c r="H28" s="14"/>
      <c r="I28" s="65"/>
      <c r="J28" s="14"/>
      <c r="K28" s="65"/>
      <c r="L28" s="14"/>
      <c r="M28" s="65"/>
      <c r="N28" s="14"/>
      <c r="O28" s="58"/>
      <c r="P28" s="14"/>
      <c r="Q28" s="65"/>
      <c r="R28" s="15"/>
      <c r="S28" s="65"/>
      <c r="T28" s="15"/>
      <c r="U28" s="65"/>
      <c r="V28" s="15"/>
      <c r="W28" s="65"/>
      <c r="X28" s="15" t="s">
        <v>41</v>
      </c>
      <c r="Y28" s="65"/>
      <c r="Z28" s="14"/>
      <c r="AA28" s="65"/>
      <c r="AB28" s="14"/>
      <c r="AC28" s="65"/>
      <c r="AD28" s="15"/>
      <c r="AE28" s="65"/>
      <c r="AF28" s="14"/>
      <c r="AG28" s="65"/>
      <c r="AH28" s="14"/>
      <c r="AI28" s="65"/>
      <c r="AJ28" s="14"/>
      <c r="AK28" s="65"/>
      <c r="AL28" s="14"/>
      <c r="AM28" s="65"/>
      <c r="AN28" s="14"/>
      <c r="AO28" s="65"/>
      <c r="AP28" s="523"/>
      <c r="AQ28" s="524"/>
      <c r="AR28" s="33"/>
      <c r="AS28" s="34"/>
      <c r="AT28" s="142">
        <v>24</v>
      </c>
      <c r="AU28" s="151" t="s">
        <v>129</v>
      </c>
      <c r="AV28" s="507"/>
      <c r="AW28" s="14"/>
      <c r="AX28" s="67" t="s">
        <v>33</v>
      </c>
      <c r="AY28" s="69"/>
      <c r="AZ28" s="67" t="s">
        <v>33</v>
      </c>
      <c r="BA28" s="69"/>
      <c r="BB28" s="72" t="s">
        <v>33</v>
      </c>
      <c r="BC28" s="87"/>
      <c r="BD28" s="67" t="s">
        <v>33</v>
      </c>
      <c r="BE28" s="14"/>
      <c r="BF28" s="70"/>
      <c r="BG28" s="72"/>
      <c r="BH28" s="70"/>
      <c r="BI28" s="72"/>
      <c r="BJ28" s="72"/>
      <c r="BK28" s="58"/>
      <c r="BL28" s="70"/>
      <c r="BM28" s="14"/>
      <c r="BN28" s="70"/>
      <c r="BO28" s="72"/>
      <c r="BP28" s="70"/>
      <c r="BQ28" s="72"/>
      <c r="BR28" s="72"/>
      <c r="BS28" s="15"/>
      <c r="BT28" s="70"/>
      <c r="BU28" s="96"/>
      <c r="BV28" s="67"/>
      <c r="BW28" s="72"/>
      <c r="BX28" s="67" t="s">
        <v>34</v>
      </c>
      <c r="BY28" s="72"/>
      <c r="BZ28" s="69" t="s">
        <v>34</v>
      </c>
      <c r="CA28" s="58"/>
      <c r="CB28" s="67" t="s">
        <v>34</v>
      </c>
      <c r="CC28" s="142">
        <v>24</v>
      </c>
      <c r="CD28" s="151" t="s">
        <v>129</v>
      </c>
      <c r="CE28" s="507"/>
      <c r="CF28" s="311">
        <f t="shared" si="2"/>
        <v>4</v>
      </c>
      <c r="CG28" s="76">
        <f t="shared" si="3"/>
        <v>3</v>
      </c>
      <c r="CH28" s="27"/>
      <c r="CI28" s="28"/>
      <c r="CJ28" s="449"/>
      <c r="CK28" s="450"/>
    </row>
    <row r="29" spans="1:89" ht="15" customHeight="1">
      <c r="A29" s="22">
        <v>25</v>
      </c>
      <c r="B29" s="13" t="s">
        <v>130</v>
      </c>
      <c r="C29" s="507"/>
      <c r="D29" s="16"/>
      <c r="E29" s="17"/>
      <c r="F29" s="16"/>
      <c r="G29" s="17"/>
      <c r="H29" s="16"/>
      <c r="I29" s="17"/>
      <c r="J29" s="16"/>
      <c r="K29" s="17"/>
      <c r="L29" s="16"/>
      <c r="M29" s="17"/>
      <c r="N29" s="16"/>
      <c r="O29" s="59"/>
      <c r="P29" s="16"/>
      <c r="Q29" s="17"/>
      <c r="R29" s="18"/>
      <c r="S29" s="17"/>
      <c r="T29" s="18"/>
      <c r="U29" s="17"/>
      <c r="V29" s="18"/>
      <c r="W29" s="17"/>
      <c r="X29" s="18"/>
      <c r="Y29" s="17"/>
      <c r="Z29" s="16"/>
      <c r="AA29" s="17"/>
      <c r="AB29" s="16"/>
      <c r="AC29" s="17"/>
      <c r="AD29" s="18"/>
      <c r="AE29" s="17"/>
      <c r="AF29" s="16"/>
      <c r="AG29" s="17"/>
      <c r="AH29" s="16"/>
      <c r="AI29" s="17"/>
      <c r="AJ29" s="16"/>
      <c r="AK29" s="17"/>
      <c r="AL29" s="16"/>
      <c r="AM29" s="17"/>
      <c r="AN29" s="16"/>
      <c r="AO29" s="17"/>
      <c r="AP29" s="529" t="s">
        <v>263</v>
      </c>
      <c r="AQ29" s="530"/>
      <c r="AR29" s="104"/>
      <c r="AS29" s="105"/>
      <c r="AT29" s="22">
        <v>25</v>
      </c>
      <c r="AU29" s="13" t="s">
        <v>130</v>
      </c>
      <c r="AV29" s="507"/>
      <c r="AW29" s="16"/>
      <c r="AX29" s="66" t="s">
        <v>34</v>
      </c>
      <c r="AY29" s="73"/>
      <c r="AZ29" s="66" t="s">
        <v>34</v>
      </c>
      <c r="BA29" s="73"/>
      <c r="BB29" s="68" t="s">
        <v>34</v>
      </c>
      <c r="BC29" s="59"/>
      <c r="BD29" s="66" t="s">
        <v>34</v>
      </c>
      <c r="BE29" s="16"/>
      <c r="BF29" s="71" t="s">
        <v>33</v>
      </c>
      <c r="BG29" s="68"/>
      <c r="BH29" s="66" t="s">
        <v>33</v>
      </c>
      <c r="BI29" s="68"/>
      <c r="BJ29" s="73" t="s">
        <v>33</v>
      </c>
      <c r="BK29" s="110"/>
      <c r="BL29" s="66" t="s">
        <v>33</v>
      </c>
      <c r="BM29" s="16"/>
      <c r="BN29" s="71"/>
      <c r="BO29" s="66"/>
      <c r="BP29" s="66"/>
      <c r="BQ29" s="66"/>
      <c r="BR29" s="66"/>
      <c r="BS29" s="66"/>
      <c r="BT29" s="71"/>
      <c r="BU29" s="108"/>
      <c r="BV29" s="66"/>
      <c r="BW29" s="66"/>
      <c r="BX29" s="66"/>
      <c r="BY29" s="66"/>
      <c r="BZ29" s="66"/>
      <c r="CA29" s="66"/>
      <c r="CB29" s="66"/>
      <c r="CC29" s="22">
        <v>25</v>
      </c>
      <c r="CD29" s="13" t="s">
        <v>130</v>
      </c>
      <c r="CE29" s="507"/>
      <c r="CF29" s="311">
        <f t="shared" si="2"/>
        <v>4</v>
      </c>
      <c r="CG29" s="76">
        <f t="shared" si="3"/>
        <v>4</v>
      </c>
      <c r="CH29" s="27"/>
      <c r="CI29" s="28"/>
      <c r="CJ29" s="449"/>
      <c r="CK29" s="450"/>
    </row>
    <row r="30" spans="1:89" ht="15" customHeight="1">
      <c r="A30" s="22">
        <v>26</v>
      </c>
      <c r="B30" s="13" t="s">
        <v>131</v>
      </c>
      <c r="C30" s="508"/>
      <c r="D30" s="111"/>
      <c r="E30" s="17"/>
      <c r="F30" s="111"/>
      <c r="G30" s="17"/>
      <c r="H30" s="111"/>
      <c r="I30" s="17"/>
      <c r="J30" s="111"/>
      <c r="K30" s="17"/>
      <c r="L30" s="111"/>
      <c r="M30" s="17"/>
      <c r="N30" s="16"/>
      <c r="O30" s="59"/>
      <c r="P30" s="16"/>
      <c r="Q30" s="17"/>
      <c r="R30" s="111"/>
      <c r="S30" s="17"/>
      <c r="T30" s="111"/>
      <c r="U30" s="17"/>
      <c r="V30" s="18"/>
      <c r="W30" s="17"/>
      <c r="X30" s="111"/>
      <c r="Y30" s="17"/>
      <c r="Z30" s="111"/>
      <c r="AA30" s="17"/>
      <c r="AB30" s="111"/>
      <c r="AC30" s="17"/>
      <c r="AD30" s="111"/>
      <c r="AE30" s="17"/>
      <c r="AF30" s="111"/>
      <c r="AG30" s="17"/>
      <c r="AH30" s="111"/>
      <c r="AI30" s="17"/>
      <c r="AJ30" s="16"/>
      <c r="AK30" s="17"/>
      <c r="AL30" s="111"/>
      <c r="AM30" s="17"/>
      <c r="AN30" s="111"/>
      <c r="AO30" s="17"/>
      <c r="AP30" s="529" t="s">
        <v>264</v>
      </c>
      <c r="AQ30" s="530"/>
      <c r="AR30" s="104"/>
      <c r="AS30" s="105"/>
      <c r="AT30" s="22">
        <v>26</v>
      </c>
      <c r="AU30" s="13" t="s">
        <v>131</v>
      </c>
      <c r="AV30" s="508"/>
      <c r="AW30" s="16"/>
      <c r="AX30" s="71"/>
      <c r="AY30" s="73"/>
      <c r="AZ30" s="71"/>
      <c r="BA30" s="73"/>
      <c r="BB30" s="73"/>
      <c r="BC30" s="59"/>
      <c r="BD30" s="71"/>
      <c r="BE30" s="16"/>
      <c r="BF30" s="66" t="s">
        <v>34</v>
      </c>
      <c r="BG30" s="73"/>
      <c r="BH30" s="66" t="s">
        <v>34</v>
      </c>
      <c r="BI30" s="73"/>
      <c r="BJ30" s="68" t="s">
        <v>34</v>
      </c>
      <c r="BK30" s="59"/>
      <c r="BL30" s="66" t="s">
        <v>34</v>
      </c>
      <c r="BM30" s="16"/>
      <c r="BN30" s="66" t="s">
        <v>33</v>
      </c>
      <c r="BO30" s="68"/>
      <c r="BP30" s="66" t="s">
        <v>33</v>
      </c>
      <c r="BQ30" s="68"/>
      <c r="BR30" s="73" t="s">
        <v>33</v>
      </c>
      <c r="BS30" s="110"/>
      <c r="BT30" s="70" t="s">
        <v>61</v>
      </c>
      <c r="BU30" s="108"/>
      <c r="BV30" s="66"/>
      <c r="BW30" s="68"/>
      <c r="BX30" s="66"/>
      <c r="BY30" s="68"/>
      <c r="BZ30" s="68"/>
      <c r="CA30" s="83"/>
      <c r="CB30" s="66"/>
      <c r="CC30" s="22">
        <v>26</v>
      </c>
      <c r="CD30" s="13" t="s">
        <v>131</v>
      </c>
      <c r="CE30" s="508"/>
      <c r="CF30" s="311">
        <f t="shared" si="2"/>
        <v>3</v>
      </c>
      <c r="CG30" s="76">
        <f t="shared" si="3"/>
        <v>4</v>
      </c>
      <c r="CH30" s="27"/>
      <c r="CI30" s="28"/>
      <c r="CJ30" s="449"/>
      <c r="CK30" s="450"/>
    </row>
    <row r="31" spans="1:89" ht="15" customHeight="1">
      <c r="A31" s="142">
        <v>27</v>
      </c>
      <c r="B31" s="151" t="s">
        <v>132</v>
      </c>
      <c r="C31" s="506">
        <v>39</v>
      </c>
      <c r="D31" s="167"/>
      <c r="E31" s="175"/>
      <c r="F31" s="167"/>
      <c r="G31" s="175"/>
      <c r="H31" s="167"/>
      <c r="I31" s="175"/>
      <c r="J31" s="167"/>
      <c r="K31" s="175"/>
      <c r="L31" s="167"/>
      <c r="M31" s="175"/>
      <c r="N31" s="167"/>
      <c r="O31" s="170"/>
      <c r="P31" s="167"/>
      <c r="Q31" s="175"/>
      <c r="R31" s="168"/>
      <c r="S31" s="175"/>
      <c r="T31" s="168"/>
      <c r="U31" s="175"/>
      <c r="V31" s="168"/>
      <c r="W31" s="175"/>
      <c r="X31" s="168"/>
      <c r="Y31" s="175"/>
      <c r="Z31" s="167"/>
      <c r="AA31" s="175"/>
      <c r="AB31" s="167"/>
      <c r="AC31" s="175"/>
      <c r="AD31" s="168"/>
      <c r="AE31" s="175"/>
      <c r="AF31" s="167"/>
      <c r="AG31" s="175"/>
      <c r="AH31" s="167"/>
      <c r="AI31" s="175"/>
      <c r="AJ31" s="167"/>
      <c r="AK31" s="175"/>
      <c r="AL31" s="167"/>
      <c r="AM31" s="175"/>
      <c r="AN31" s="167"/>
      <c r="AO31" s="175"/>
      <c r="AP31" s="558" t="s">
        <v>264</v>
      </c>
      <c r="AQ31" s="559"/>
      <c r="AR31" s="173"/>
      <c r="AS31" s="174"/>
      <c r="AT31" s="142">
        <v>27</v>
      </c>
      <c r="AU31" s="151" t="s">
        <v>132</v>
      </c>
      <c r="AV31" s="506">
        <v>40</v>
      </c>
      <c r="AW31" s="167"/>
      <c r="AX31" s="158"/>
      <c r="AY31" s="160"/>
      <c r="AZ31" s="158"/>
      <c r="BA31" s="160"/>
      <c r="BB31" s="160"/>
      <c r="BC31" s="170"/>
      <c r="BD31" s="158"/>
      <c r="BE31" s="167"/>
      <c r="BF31" s="158"/>
      <c r="BG31" s="160"/>
      <c r="BH31" s="158"/>
      <c r="BI31" s="160"/>
      <c r="BJ31" s="160"/>
      <c r="BK31" s="170"/>
      <c r="BL31" s="158"/>
      <c r="BM31" s="163"/>
      <c r="BN31" s="242" t="s">
        <v>41</v>
      </c>
      <c r="BO31" s="160"/>
      <c r="BP31" s="161" t="s">
        <v>34</v>
      </c>
      <c r="BQ31" s="160"/>
      <c r="BR31" s="159" t="s">
        <v>34</v>
      </c>
      <c r="BS31" s="170"/>
      <c r="BT31" s="161" t="s">
        <v>34</v>
      </c>
      <c r="BU31" s="166"/>
      <c r="BV31" s="161"/>
      <c r="BW31" s="159"/>
      <c r="BX31" s="161" t="s">
        <v>33</v>
      </c>
      <c r="BY31" s="159"/>
      <c r="BZ31" s="160" t="s">
        <v>33</v>
      </c>
      <c r="CA31" s="162"/>
      <c r="CB31" s="161" t="s">
        <v>33</v>
      </c>
      <c r="CC31" s="142">
        <v>27</v>
      </c>
      <c r="CD31" s="151" t="s">
        <v>132</v>
      </c>
      <c r="CE31" s="506">
        <v>39</v>
      </c>
      <c r="CF31" s="311">
        <f t="shared" si="2"/>
        <v>3</v>
      </c>
      <c r="CG31" s="76">
        <f t="shared" si="3"/>
        <v>3</v>
      </c>
      <c r="CH31" s="27"/>
      <c r="CI31" s="28"/>
      <c r="CJ31" s="449"/>
      <c r="CK31" s="450"/>
    </row>
    <row r="32" spans="1:89" ht="15" customHeight="1">
      <c r="A32" s="142">
        <v>28</v>
      </c>
      <c r="B32" s="151" t="s">
        <v>133</v>
      </c>
      <c r="C32" s="507"/>
      <c r="D32" s="167"/>
      <c r="E32" s="175"/>
      <c r="F32" s="167"/>
      <c r="G32" s="175"/>
      <c r="H32" s="167"/>
      <c r="I32" s="175"/>
      <c r="J32" s="167"/>
      <c r="K32" s="175"/>
      <c r="L32" s="167"/>
      <c r="M32" s="175"/>
      <c r="N32" s="167"/>
      <c r="O32" s="170"/>
      <c r="P32" s="167"/>
      <c r="Q32" s="175"/>
      <c r="R32" s="168"/>
      <c r="S32" s="175"/>
      <c r="T32" s="168"/>
      <c r="U32" s="175"/>
      <c r="V32" s="168"/>
      <c r="W32" s="175"/>
      <c r="X32" s="168"/>
      <c r="Y32" s="175"/>
      <c r="Z32" s="167"/>
      <c r="AA32" s="175"/>
      <c r="AB32" s="167"/>
      <c r="AC32" s="175"/>
      <c r="AD32" s="168"/>
      <c r="AE32" s="175"/>
      <c r="AF32" s="167"/>
      <c r="AG32" s="175"/>
      <c r="AH32" s="167"/>
      <c r="AI32" s="175"/>
      <c r="AJ32" s="167"/>
      <c r="AK32" s="175"/>
      <c r="AL32" s="167"/>
      <c r="AM32" s="175"/>
      <c r="AN32" s="167"/>
      <c r="AO32" s="175"/>
      <c r="AP32" s="558" t="s">
        <v>264</v>
      </c>
      <c r="AQ32" s="559"/>
      <c r="AR32" s="173"/>
      <c r="AS32" s="174"/>
      <c r="AT32" s="142">
        <v>28</v>
      </c>
      <c r="AU32" s="151" t="s">
        <v>133</v>
      </c>
      <c r="AV32" s="507"/>
      <c r="AW32" s="167"/>
      <c r="AX32" s="161" t="s">
        <v>33</v>
      </c>
      <c r="AY32" s="159"/>
      <c r="AZ32" s="161" t="s">
        <v>33</v>
      </c>
      <c r="BA32" s="159"/>
      <c r="BB32" s="160" t="s">
        <v>33</v>
      </c>
      <c r="BC32" s="162"/>
      <c r="BD32" s="161" t="s">
        <v>33</v>
      </c>
      <c r="BE32" s="167"/>
      <c r="BF32" s="158"/>
      <c r="BG32" s="160"/>
      <c r="BH32" s="158"/>
      <c r="BI32" s="160"/>
      <c r="BJ32" s="160"/>
      <c r="BK32" s="170"/>
      <c r="BL32" s="158"/>
      <c r="BM32" s="163"/>
      <c r="BN32" s="243" t="s">
        <v>41</v>
      </c>
      <c r="BO32" s="160"/>
      <c r="BP32" s="158"/>
      <c r="BQ32" s="160"/>
      <c r="BR32" s="160"/>
      <c r="BS32" s="168"/>
      <c r="BT32" s="158"/>
      <c r="BU32" s="166"/>
      <c r="BV32" s="161"/>
      <c r="BW32" s="160"/>
      <c r="BX32" s="161" t="s">
        <v>34</v>
      </c>
      <c r="BY32" s="160"/>
      <c r="BZ32" s="159" t="s">
        <v>34</v>
      </c>
      <c r="CA32" s="170"/>
      <c r="CB32" s="161" t="s">
        <v>34</v>
      </c>
      <c r="CC32" s="142">
        <v>28</v>
      </c>
      <c r="CD32" s="151" t="s">
        <v>133</v>
      </c>
      <c r="CE32" s="507"/>
      <c r="CF32" s="311">
        <f t="shared" si="2"/>
        <v>4</v>
      </c>
      <c r="CG32" s="76">
        <f t="shared" si="3"/>
        <v>3</v>
      </c>
      <c r="CH32" s="27"/>
      <c r="CI32" s="28"/>
      <c r="CJ32" s="449"/>
      <c r="CK32" s="450"/>
    </row>
    <row r="33" spans="1:89" ht="15" customHeight="1">
      <c r="A33" s="142">
        <v>29</v>
      </c>
      <c r="B33" s="151" t="s">
        <v>127</v>
      </c>
      <c r="C33" s="507"/>
      <c r="D33" s="167"/>
      <c r="E33" s="175"/>
      <c r="F33" s="167"/>
      <c r="G33" s="175"/>
      <c r="H33" s="167"/>
      <c r="I33" s="175"/>
      <c r="J33" s="167"/>
      <c r="K33" s="175"/>
      <c r="L33" s="167"/>
      <c r="M33" s="175"/>
      <c r="N33" s="167"/>
      <c r="O33" s="170"/>
      <c r="P33" s="167"/>
      <c r="Q33" s="175"/>
      <c r="R33" s="168"/>
      <c r="S33" s="175"/>
      <c r="T33" s="168"/>
      <c r="U33" s="175"/>
      <c r="V33" s="168"/>
      <c r="W33" s="175"/>
      <c r="X33" s="168"/>
      <c r="Y33" s="175"/>
      <c r="Z33" s="167"/>
      <c r="AA33" s="175"/>
      <c r="AB33" s="167"/>
      <c r="AC33" s="175"/>
      <c r="AD33" s="168"/>
      <c r="AE33" s="175"/>
      <c r="AF33" s="167"/>
      <c r="AG33" s="175"/>
      <c r="AH33" s="167"/>
      <c r="AI33" s="175"/>
      <c r="AJ33" s="167"/>
      <c r="AK33" s="175"/>
      <c r="AL33" s="167"/>
      <c r="AM33" s="175"/>
      <c r="AN33" s="167"/>
      <c r="AO33" s="175"/>
      <c r="AP33" s="558" t="s">
        <v>264</v>
      </c>
      <c r="AQ33" s="559"/>
      <c r="AR33" s="173"/>
      <c r="AS33" s="174"/>
      <c r="AT33" s="142">
        <v>29</v>
      </c>
      <c r="AU33" s="151" t="s">
        <v>127</v>
      </c>
      <c r="AV33" s="507"/>
      <c r="AW33" s="167"/>
      <c r="AX33" s="161" t="s">
        <v>34</v>
      </c>
      <c r="AY33" s="160"/>
      <c r="AZ33" s="161" t="s">
        <v>34</v>
      </c>
      <c r="BA33" s="160"/>
      <c r="BB33" s="159" t="s">
        <v>34</v>
      </c>
      <c r="BC33" s="170"/>
      <c r="BD33" s="161" t="s">
        <v>34</v>
      </c>
      <c r="BE33" s="167"/>
      <c r="BF33" s="161" t="s">
        <v>33</v>
      </c>
      <c r="BG33" s="159"/>
      <c r="BH33" s="161" t="s">
        <v>33</v>
      </c>
      <c r="BI33" s="159"/>
      <c r="BJ33" s="160" t="s">
        <v>33</v>
      </c>
      <c r="BK33" s="162"/>
      <c r="BL33" s="161" t="s">
        <v>33</v>
      </c>
      <c r="BM33" s="163"/>
      <c r="BN33" s="243" t="s">
        <v>41</v>
      </c>
      <c r="BO33" s="160"/>
      <c r="BP33" s="158"/>
      <c r="BQ33" s="160"/>
      <c r="BR33" s="160"/>
      <c r="BS33" s="168"/>
      <c r="BT33" s="158"/>
      <c r="BU33" s="166"/>
      <c r="BV33" s="161"/>
      <c r="BW33" s="159"/>
      <c r="BX33" s="161"/>
      <c r="BY33" s="159"/>
      <c r="BZ33" s="159"/>
      <c r="CA33" s="169"/>
      <c r="CB33" s="161"/>
      <c r="CC33" s="142">
        <v>29</v>
      </c>
      <c r="CD33" s="151" t="s">
        <v>127</v>
      </c>
      <c r="CE33" s="507"/>
      <c r="CF33" s="311">
        <f t="shared" si="2"/>
        <v>4</v>
      </c>
      <c r="CG33" s="76">
        <f t="shared" si="3"/>
        <v>4</v>
      </c>
      <c r="CH33" s="27"/>
      <c r="CI33" s="28"/>
      <c r="CJ33" s="449"/>
      <c r="CK33" s="450"/>
    </row>
    <row r="34" spans="1:89" ht="15" customHeight="1" thickBot="1">
      <c r="A34" s="142">
        <v>30</v>
      </c>
      <c r="B34" s="151" t="s">
        <v>128</v>
      </c>
      <c r="C34" s="508"/>
      <c r="D34" s="167"/>
      <c r="E34" s="175"/>
      <c r="F34" s="167"/>
      <c r="G34" s="175"/>
      <c r="H34" s="167"/>
      <c r="I34" s="175"/>
      <c r="J34" s="167"/>
      <c r="K34" s="175"/>
      <c r="L34" s="167"/>
      <c r="M34" s="175"/>
      <c r="N34" s="167"/>
      <c r="O34" s="170"/>
      <c r="P34" s="167"/>
      <c r="Q34" s="175"/>
      <c r="R34" s="168"/>
      <c r="S34" s="175"/>
      <c r="T34" s="168"/>
      <c r="U34" s="175"/>
      <c r="V34" s="168"/>
      <c r="W34" s="175"/>
      <c r="X34" s="168"/>
      <c r="Y34" s="175"/>
      <c r="Z34" s="167"/>
      <c r="AA34" s="175"/>
      <c r="AB34" s="167"/>
      <c r="AC34" s="175"/>
      <c r="AD34" s="168"/>
      <c r="AE34" s="175"/>
      <c r="AF34" s="167"/>
      <c r="AG34" s="175"/>
      <c r="AH34" s="167"/>
      <c r="AI34" s="175"/>
      <c r="AJ34" s="167"/>
      <c r="AK34" s="175"/>
      <c r="AL34" s="167"/>
      <c r="AM34" s="175"/>
      <c r="AN34" s="167"/>
      <c r="AO34" s="175"/>
      <c r="AP34" s="558" t="s">
        <v>264</v>
      </c>
      <c r="AQ34" s="559"/>
      <c r="AR34" s="177"/>
      <c r="AS34" s="178"/>
      <c r="AT34" s="142">
        <v>30</v>
      </c>
      <c r="AU34" s="151" t="s">
        <v>128</v>
      </c>
      <c r="AV34" s="508"/>
      <c r="AW34" s="167"/>
      <c r="AX34" s="158"/>
      <c r="AY34" s="160"/>
      <c r="AZ34" s="158"/>
      <c r="BA34" s="160"/>
      <c r="BB34" s="280"/>
      <c r="BC34" s="170"/>
      <c r="BD34" s="158"/>
      <c r="BE34" s="167"/>
      <c r="BF34" s="161" t="s">
        <v>34</v>
      </c>
      <c r="BG34" s="160"/>
      <c r="BH34" s="161" t="s">
        <v>34</v>
      </c>
      <c r="BI34" s="160"/>
      <c r="BJ34" s="159" t="s">
        <v>34</v>
      </c>
      <c r="BK34" s="170"/>
      <c r="BL34" s="161" t="s">
        <v>34</v>
      </c>
      <c r="BM34" s="163"/>
      <c r="BN34" s="242" t="s">
        <v>41</v>
      </c>
      <c r="BO34" s="159"/>
      <c r="BP34" s="161" t="s">
        <v>33</v>
      </c>
      <c r="BQ34" s="159"/>
      <c r="BR34" s="160" t="s">
        <v>33</v>
      </c>
      <c r="BS34" s="162"/>
      <c r="BT34" s="161" t="s">
        <v>33</v>
      </c>
      <c r="BU34" s="166"/>
      <c r="BV34" s="161"/>
      <c r="BW34" s="159"/>
      <c r="BX34" s="161"/>
      <c r="BY34" s="159"/>
      <c r="BZ34" s="159"/>
      <c r="CA34" s="169"/>
      <c r="CB34" s="161"/>
      <c r="CC34" s="142">
        <v>30</v>
      </c>
      <c r="CD34" s="151" t="s">
        <v>128</v>
      </c>
      <c r="CE34" s="508"/>
      <c r="CF34" s="312">
        <f t="shared" si="2"/>
        <v>3</v>
      </c>
      <c r="CG34" s="77">
        <f t="shared" si="3"/>
        <v>4</v>
      </c>
      <c r="CH34" s="26"/>
      <c r="CI34" s="21"/>
      <c r="CJ34" s="549"/>
      <c r="CK34" s="550"/>
    </row>
    <row r="35" spans="1:89" ht="15" customHeight="1" thickBot="1">
      <c r="D35" s="8">
        <f t="shared" ref="D35" si="4">(COUNTIF(D5:D34,"הרצליה")+COUNTIF(D5:D34,"חיפה")+COUNTIF(D5:D34,"רמון")+COUNTIF(D5:D34,"ראש פינה")+COUNTIF(D5:D34,"ה.ב"))</f>
        <v>0</v>
      </c>
      <c r="E35" s="9">
        <f t="shared" ref="E35" si="5">(COUNTIF(E5:E34,"כ")+COUNTIF(E5:E34,"כמ"))*6+(COUNTIF(E5:E34,"כש")+COUNTIF(E5:E34,"כמש"))*10</f>
        <v>0</v>
      </c>
      <c r="F35" s="8">
        <f t="shared" ref="F35" si="6">(COUNTIF(F5:F34,"הרצליה")+COUNTIF(F5:F34,"חיפה")+COUNTIF(F5:F34,"רמון")+COUNTIF(F5:F34,"ראש פינה")+COUNTIF(F5:F34,"ה.ב"))</f>
        <v>0</v>
      </c>
      <c r="G35" s="9">
        <f t="shared" ref="G35" si="7">(COUNTIF(G5:G34,"כ")+COUNTIF(G5:G34,"כמ"))*6+(COUNTIF(G5:G34,"כש")+COUNTIF(G5:G34,"כמש"))*10</f>
        <v>0</v>
      </c>
      <c r="H35" s="8">
        <f t="shared" ref="H35" si="8">(COUNTIF(H5:H34,"הרצליה")+COUNTIF(H5:H34,"חיפה")+COUNTIF(H5:H34,"רמון")+COUNTIF(H5:H34,"ראש פינה")+COUNTIF(H5:H34,"ה.ב"))</f>
        <v>0</v>
      </c>
      <c r="I35" s="9">
        <f t="shared" ref="I35" si="9">(COUNTIF(I5:I34,"כ")+COUNTIF(I5:I34,"כמ"))*6+(COUNTIF(I5:I34,"כש")+COUNTIF(I5:I34,"כמש"))*10</f>
        <v>0</v>
      </c>
      <c r="J35" s="8">
        <f t="shared" ref="J35" si="10">(COUNTIF(J5:J34,"הרצליה")+COUNTIF(J5:J34,"חיפה")+COUNTIF(J5:J34,"רמון")+COUNTIF(J5:J34,"ראש פינה")+COUNTIF(J5:J34,"ה.ב"))</f>
        <v>0</v>
      </c>
      <c r="K35" s="9">
        <f t="shared" ref="K35" si="11">(COUNTIF(K5:K34,"כ")+COUNTIF(K5:K34,"כמ"))*6+(COUNTIF(K5:K34,"כש")+COUNTIF(K5:K34,"כמש"))*10</f>
        <v>0</v>
      </c>
      <c r="L35" s="8">
        <f t="shared" ref="L35" si="12">(COUNTIF(L5:L34,"הרצליה")+COUNTIF(L5:L34,"חיפה")+COUNTIF(L5:L34,"רמון")+COUNTIF(L5:L34,"ראש פינה")+COUNTIF(L5:L34,"ה.ב"))</f>
        <v>0</v>
      </c>
      <c r="M35" s="9">
        <f t="shared" ref="M35" si="13">(COUNTIF(M5:M34,"כ")+COUNTIF(M5:M34,"כמ"))*6+(COUNTIF(M5:M34,"כש")+COUNTIF(M5:M34,"כמש"))*10</f>
        <v>0</v>
      </c>
      <c r="N35" s="8">
        <f t="shared" ref="N35" si="14">(COUNTIF(N5:N34,"הרצליה")+COUNTIF(N5:N34,"חיפה")+COUNTIF(N5:N34,"רמון")+COUNTIF(N5:N34,"ראש פינה")+COUNTIF(N5:N34,"ה.ב"))</f>
        <v>0</v>
      </c>
      <c r="O35" s="9">
        <f t="shared" ref="O35" si="15">(COUNTIF(O5:O34,"כ")+COUNTIF(O5:O34,"כמ"))*6+(COUNTIF(O5:O34,"כש")+COUNTIF(O5:O34,"כמש"))*10</f>
        <v>0</v>
      </c>
      <c r="P35" s="8">
        <f t="shared" ref="P35" si="16">(COUNTIF(P5:P34,"הרצליה")+COUNTIF(P5:P34,"חיפה")+COUNTIF(P5:P34,"רמון")+COUNTIF(P5:P34,"ראש פינה")+COUNTIF(P5:P34,"ה.ב"))</f>
        <v>0</v>
      </c>
      <c r="Q35" s="9">
        <f t="shared" ref="Q35" si="17">(COUNTIF(Q5:Q34,"כ")+COUNTIF(Q5:Q34,"כמ"))*6+(COUNTIF(Q5:Q34,"כש")+COUNTIF(Q5:Q34,"כמש"))*10</f>
        <v>0</v>
      </c>
      <c r="R35" s="8">
        <f t="shared" ref="R35" si="18">(COUNTIF(R5:R34,"הרצליה")+COUNTIF(R5:R34,"חיפה")+COUNTIF(R5:R34,"רמון")+COUNTIF(R5:R34,"ראש פינה")+COUNTIF(R5:R34,"ה.ב"))</f>
        <v>0</v>
      </c>
      <c r="S35" s="9">
        <f t="shared" ref="S35" si="19">(COUNTIF(S5:S34,"כ")+COUNTIF(S5:S34,"כמ"))*6+(COUNTIF(S5:S34,"כש")+COUNTIF(S5:S34,"כמש"))*10</f>
        <v>0</v>
      </c>
      <c r="T35" s="8">
        <f t="shared" ref="T35" si="20">(COUNTIF(T5:T34,"הרצליה")+COUNTIF(T5:T34,"חיפה")+COUNTIF(T5:T34,"רמון")+COUNTIF(T5:T34,"ראש פינה")+COUNTIF(T5:T34,"ה.ב"))</f>
        <v>0</v>
      </c>
      <c r="U35" s="9">
        <f t="shared" ref="U35" si="21">(COUNTIF(U5:U34,"כ")+COUNTIF(U5:U34,"כמ"))*6+(COUNTIF(U5:U34,"כש")+COUNTIF(U5:U34,"כמש"))*10</f>
        <v>0</v>
      </c>
      <c r="V35" s="8">
        <f t="shared" ref="V35" si="22">(COUNTIF(V5:V34,"הרצליה")+COUNTIF(V5:V34,"חיפה")+COUNTIF(V5:V34,"רמון")+COUNTIF(V5:V34,"ראש פינה")+COUNTIF(V5:V34,"ה.ב"))</f>
        <v>0</v>
      </c>
      <c r="W35" s="9">
        <f t="shared" ref="W35" si="23">(COUNTIF(W5:W34,"כ")+COUNTIF(W5:W34,"כמ"))*6+(COUNTIF(W5:W34,"כש")+COUNTIF(W5:W34,"כמש"))*10</f>
        <v>0</v>
      </c>
      <c r="X35" s="8">
        <f t="shared" ref="X35" si="24">(COUNTIF(X5:X34,"הרצליה")+COUNTIF(X5:X34,"חיפה")+COUNTIF(X5:X34,"רמון")+COUNTIF(X5:X34,"ראש פינה")+COUNTIF(X5:X34,"ה.ב"))</f>
        <v>1</v>
      </c>
      <c r="Y35" s="9">
        <f t="shared" ref="Y35" si="25">(COUNTIF(Y5:Y34,"כ")+COUNTIF(Y5:Y34,"כמ"))*6+(COUNTIF(Y5:Y34,"כש")+COUNTIF(Y5:Y34,"כמש"))*10</f>
        <v>0</v>
      </c>
      <c r="Z35" s="8">
        <f t="shared" ref="Z35" si="26">(COUNTIF(Z5:Z34,"הרצליה")+COUNTIF(Z5:Z34,"חיפה")+COUNTIF(Z5:Z34,"רמון")+COUNTIF(Z5:Z34,"ראש פינה")+COUNTIF(Z5:Z34,"ה.ב"))</f>
        <v>0</v>
      </c>
      <c r="AA35" s="9">
        <f t="shared" ref="AA35" si="27">(COUNTIF(AA5:AA34,"כ")+COUNTIF(AA5:AA34,"כמ"))*6+(COUNTIF(AA5:AA34,"כש")+COUNTIF(AA5:AA34,"כמש"))*10</f>
        <v>0</v>
      </c>
      <c r="AB35" s="8">
        <f t="shared" ref="AB35" si="28">(COUNTIF(AB5:AB34,"הרצליה")+COUNTIF(AB5:AB34,"חיפה")+COUNTIF(AB5:AB34,"רמון")+COUNTIF(AB5:AB34,"ראש פינה")+COUNTIF(AB5:AB34,"ה.ב"))</f>
        <v>0</v>
      </c>
      <c r="AC35" s="9">
        <f t="shared" ref="AC35" si="29">(COUNTIF(AC5:AC34,"כ")+COUNTIF(AC5:AC34,"כמ"))*6+(COUNTIF(AC5:AC34,"כש")+COUNTIF(AC5:AC34,"כמש"))*10</f>
        <v>0</v>
      </c>
      <c r="AD35" s="8">
        <f t="shared" ref="AD35" si="30">(COUNTIF(AD5:AD34,"הרצליה")+COUNTIF(AD5:AD34,"חיפה")+COUNTIF(AD5:AD34,"רמון")+COUNTIF(AD5:AD34,"ראש פינה")+COUNTIF(AD5:AD34,"ה.ב"))</f>
        <v>0</v>
      </c>
      <c r="AE35" s="9">
        <f t="shared" ref="AE35" si="31">(COUNTIF(AE5:AE34,"כ")+COUNTIF(AE5:AE34,"כמ"))*6+(COUNTIF(AE5:AE34,"כש")+COUNTIF(AE5:AE34,"כמש"))*10</f>
        <v>0</v>
      </c>
      <c r="AF35" s="8">
        <f t="shared" ref="AF35" si="32">(COUNTIF(AF5:AF34,"הרצליה")+COUNTIF(AF5:AF34,"חיפה")+COUNTIF(AF5:AF34,"רמון")+COUNTIF(AF5:AF34,"ראש פינה")+COUNTIF(AF5:AF34,"ה.ב"))</f>
        <v>0</v>
      </c>
      <c r="AG35" s="9">
        <f t="shared" ref="AG35" si="33">(COUNTIF(AG5:AG34,"כ")+COUNTIF(AG5:AG34,"כמ"))*6+(COUNTIF(AG5:AG34,"כש")+COUNTIF(AG5:AG34,"כמש"))*10</f>
        <v>0</v>
      </c>
      <c r="AH35" s="8">
        <f t="shared" ref="AH35" si="34">(COUNTIF(AH5:AH34,"הרצליה")+COUNTIF(AH5:AH34,"חיפה")+COUNTIF(AH5:AH34,"רמון")+COUNTIF(AH5:AH34,"ראש פינה")+COUNTIF(AH5:AH34,"ה.ב"))</f>
        <v>0</v>
      </c>
      <c r="AI35" s="9">
        <f t="shared" ref="AI35" si="35">(COUNTIF(AI5:AI34,"כ")+COUNTIF(AI5:AI34,"כמ"))*6+(COUNTIF(AI5:AI34,"כש")+COUNTIF(AI5:AI34,"כמש"))*10</f>
        <v>0</v>
      </c>
      <c r="AJ35" s="8">
        <f t="shared" ref="AJ35" si="36">(COUNTIF(AJ5:AJ34,"הרצליה")+COUNTIF(AJ5:AJ34,"חיפה")+COUNTIF(AJ5:AJ34,"רמון")+COUNTIF(AJ5:AJ34,"ראש פינה")+COUNTIF(AJ5:AJ34,"ה.ב"))</f>
        <v>0</v>
      </c>
      <c r="AK35" s="9">
        <f t="shared" ref="AK35" si="37">(COUNTIF(AK5:AK34,"כ")+COUNTIF(AK5:AK34,"כמ"))*6+(COUNTIF(AK5:AK34,"כש")+COUNTIF(AK5:AK34,"כמש"))*10</f>
        <v>0</v>
      </c>
      <c r="AL35" s="8">
        <f t="shared" ref="AL35" si="38">(COUNTIF(AL5:AL34,"הרצליה")+COUNTIF(AL5:AL34,"חיפה")+COUNTIF(AL5:AL34,"רמון")+COUNTIF(AL5:AL34,"ראש פינה")+COUNTIF(AL5:AL34,"ה.ב"))</f>
        <v>0</v>
      </c>
      <c r="AM35" s="9">
        <f t="shared" ref="AM35" si="39">(COUNTIF(AM5:AM34,"כ")+COUNTIF(AM5:AM34,"כמ"))*6+(COUNTIF(AM5:AM34,"כש")+COUNTIF(AM5:AM34,"כמש"))*10</f>
        <v>0</v>
      </c>
      <c r="AN35" s="8">
        <f t="shared" ref="AN35" si="40">(COUNTIF(AN5:AN34,"הרצליה")+COUNTIF(AN5:AN34,"חיפה")+COUNTIF(AN5:AN34,"רמון")+COUNTIF(AN5:AN34,"ראש פינה")+COUNTIF(AN5:AN34,"ה.ב"))</f>
        <v>0</v>
      </c>
      <c r="AO35" s="9">
        <f t="shared" ref="AO35" si="41">(COUNTIF(AO5:AO34,"כ")+COUNTIF(AO5:AO34,"כמ"))*6+(COUNTIF(AO5:AO34,"כש")+COUNTIF(AO5:AO34,"כמש"))*10</f>
        <v>0</v>
      </c>
      <c r="AT35" s="482" t="s">
        <v>38</v>
      </c>
      <c r="AU35" s="483"/>
      <c r="AV35" s="484"/>
      <c r="AW35" s="485">
        <f>COUNTIF(AX4:AX34,"י")+COUNTIF(AX4:AX34,"Y")+COUNTIF(AX4:AX34,"2")</f>
        <v>7</v>
      </c>
      <c r="AX35" s="465"/>
      <c r="AY35" s="464">
        <f>COUNTIF(AZ4:AZ34,"י")+COUNTIF(AZ4:AZ34,"Y")+COUNTIF(AZ4:AZ34,"2")</f>
        <v>7</v>
      </c>
      <c r="AZ35" s="465"/>
      <c r="BA35" s="464">
        <f>COUNTIF(BB4:BB34,"י")+COUNTIF(BB4:BB34,"Y")+COUNTIF(BB4:BB34,"2")</f>
        <v>7</v>
      </c>
      <c r="BB35" s="465"/>
      <c r="BC35" s="464">
        <f>COUNTIF(BD4:BD34,"י")+COUNTIF(BD4:BD34,"Y")+COUNTIF(BD4:BD34,"2")</f>
        <v>7</v>
      </c>
      <c r="BD35" s="465"/>
      <c r="BE35" s="464">
        <f>COUNTIF(BF4:BF34,"י")+COUNTIF(BF4:BF34,"Y")+COUNTIF(BF4:BF34,"2")</f>
        <v>4</v>
      </c>
      <c r="BF35" s="465"/>
      <c r="BG35" s="464">
        <f>COUNTIF(BH4:BH34,"י")+COUNTIF(BH4:BH34,"Y")+COUNTIF(BH4:BH34,"2")</f>
        <v>7</v>
      </c>
      <c r="BH35" s="465"/>
      <c r="BI35" s="464">
        <f>COUNTIF(BJ4:BJ34,"י")+COUNTIF(BJ4:BJ34,"Y")+COUNTIF(BJ4:BJ34,"2")</f>
        <v>7</v>
      </c>
      <c r="BJ35" s="465"/>
      <c r="BK35" s="464">
        <f>COUNTIF(BL4:BL34,"י")+COUNTIF(BL4:BL34,"Y")+COUNTIF(BL4:BL34,"2")</f>
        <v>7</v>
      </c>
      <c r="BL35" s="465"/>
      <c r="BM35" s="464">
        <f>COUNTIF(BN4:BN34,"י")+COUNTIF(BN4:BN34,"Y")+COUNTIF(BN4:BN34,"2")</f>
        <v>7</v>
      </c>
      <c r="BN35" s="465"/>
      <c r="BO35" s="464">
        <f>COUNTIF(BP4:BP34,"י")+COUNTIF(BP4:BP34,"Y")+COUNTIF(BP4:BP34,"2")</f>
        <v>8</v>
      </c>
      <c r="BP35" s="465"/>
      <c r="BQ35" s="464">
        <f>COUNTIF(BR4:BR34,"י")+COUNTIF(BR4:BR34,"Y")+COUNTIF(BR4:BR34,"2")</f>
        <v>8</v>
      </c>
      <c r="BR35" s="465"/>
      <c r="BS35" s="464">
        <f>COUNTIF(BT4:BT34,"י")+COUNTIF(BT4:BT34,"Y")+COUNTIF(BT4:BT34,"2")</f>
        <v>6</v>
      </c>
      <c r="BT35" s="465"/>
      <c r="BU35" s="464">
        <f>COUNTIF(BV4:BV34,"י")+COUNTIF(BV4:BV34,"Y")+COUNTIF(BV4:BV34,"2")</f>
        <v>0</v>
      </c>
      <c r="BV35" s="465"/>
      <c r="BW35" s="464">
        <f>COUNTIF(BX4:BX34,"י")+COUNTIF(BX4:BX34,"Y")+COUNTIF(BX4:BX34,"2")</f>
        <v>7</v>
      </c>
      <c r="BX35" s="465"/>
      <c r="BY35" s="464">
        <f>COUNTIF(BZ4:BZ34,"י")+COUNTIF(BZ4:BZ34,"Y")+COUNTIF(BZ4:BZ34,"2")</f>
        <v>7</v>
      </c>
      <c r="BZ35" s="465"/>
      <c r="CA35" s="466">
        <f>COUNTIF(CB4:CB34,"י")+COUNTIF(CB4:CB34,"Y")+COUNTIF(CB4:CB34,"2")</f>
        <v>7</v>
      </c>
      <c r="CB35" s="467"/>
      <c r="CC35" s="468" t="s">
        <v>140</v>
      </c>
      <c r="CD35" s="469"/>
      <c r="CE35" s="470"/>
    </row>
    <row r="36" spans="1:89" ht="15" customHeight="1" thickBot="1">
      <c r="C36" t="s">
        <v>322</v>
      </c>
      <c r="D36" s="234">
        <f>D35+אוגוסט!D37</f>
        <v>8</v>
      </c>
      <c r="E36" s="234">
        <f>E35+אוגוסט!E37</f>
        <v>94</v>
      </c>
      <c r="F36" s="234">
        <f>F35+אוגוסט!F37</f>
        <v>9</v>
      </c>
      <c r="G36" s="234">
        <f>G35+אוגוסט!G37</f>
        <v>108</v>
      </c>
      <c r="H36" s="234">
        <f>H35+אוגוסט!H37</f>
        <v>7</v>
      </c>
      <c r="I36" s="234">
        <f>I35+אוגוסט!I37</f>
        <v>98</v>
      </c>
      <c r="J36" s="234">
        <f>J35+אוגוסט!J37</f>
        <v>6</v>
      </c>
      <c r="K36" s="234">
        <f>K35+אוגוסט!K37</f>
        <v>54</v>
      </c>
      <c r="L36" s="234">
        <f>L35+אוגוסט!L37</f>
        <v>5</v>
      </c>
      <c r="M36" s="234">
        <f>M35+אוגוסט!M37</f>
        <v>110</v>
      </c>
      <c r="N36" s="234">
        <f>N35+אוגוסט!N37</f>
        <v>12</v>
      </c>
      <c r="O36" s="234">
        <f>O35+אוגוסט!O37</f>
        <v>178</v>
      </c>
      <c r="P36" s="234">
        <f>P35+אוגוסט!P37</f>
        <v>9</v>
      </c>
      <c r="Q36" s="234">
        <f>Q35+אוגוסט!Q37</f>
        <v>104</v>
      </c>
      <c r="R36" s="234">
        <f>R35+אוגוסט!R37</f>
        <v>4</v>
      </c>
      <c r="S36" s="234">
        <f>S35+אוגוסט!S37</f>
        <v>90</v>
      </c>
      <c r="T36" s="234">
        <f>T35+אוגוסט!T37</f>
        <v>9</v>
      </c>
      <c r="U36" s="234">
        <f>U35+אוגוסט!U37</f>
        <v>94</v>
      </c>
      <c r="V36" s="234">
        <f>V35+אוגוסט!V37</f>
        <v>2</v>
      </c>
      <c r="W36" s="234">
        <f>W35+אוגוסט!W37</f>
        <v>90</v>
      </c>
      <c r="X36" s="234">
        <f>X35+אוגוסט!X37</f>
        <v>18</v>
      </c>
      <c r="Y36" s="234">
        <f>Y35+אוגוסט!Y37</f>
        <v>246</v>
      </c>
      <c r="Z36" s="234">
        <f>Z35+אוגוסט!Z37</f>
        <v>2</v>
      </c>
      <c r="AA36" s="234">
        <f>AA35+אוגוסט!AA37</f>
        <v>0</v>
      </c>
      <c r="AB36" s="234">
        <f>AB35+אוגוסט!AB37</f>
        <v>4</v>
      </c>
      <c r="AC36" s="234">
        <f>AC35+אוגוסט!AC37</f>
        <v>164</v>
      </c>
      <c r="AD36" s="234">
        <f>AD35+אוגוסט!AD37</f>
        <v>1</v>
      </c>
      <c r="AE36" s="234">
        <f>AE35+אוגוסט!AE37</f>
        <v>180</v>
      </c>
      <c r="AF36" s="234">
        <f>AF35+אוגוסט!AF37</f>
        <v>10</v>
      </c>
      <c r="AG36" s="234">
        <f>AG35+אוגוסט!AG37</f>
        <v>200</v>
      </c>
      <c r="AH36" s="234">
        <f>AH35+אוגוסט!AH37</f>
        <v>2</v>
      </c>
      <c r="AI36" s="234">
        <f>AI35+אוגוסט!AI37</f>
        <v>168</v>
      </c>
      <c r="AJ36" s="234">
        <f>AJ35+אוגוסט!AJ37</f>
        <v>6</v>
      </c>
      <c r="AK36" s="234">
        <f>AK35+אוגוסט!AK37</f>
        <v>102</v>
      </c>
      <c r="AL36" s="234">
        <f>AL35+אוגוסט!AL37</f>
        <v>9</v>
      </c>
      <c r="AM36" s="234">
        <f>AM35+אוגוסט!AM37</f>
        <v>90</v>
      </c>
      <c r="AN36" s="234">
        <f>AN35+אוגוסט!AN37</f>
        <v>1</v>
      </c>
      <c r="AO36" s="234">
        <f>AO35+אוגוסט!AO37</f>
        <v>42</v>
      </c>
      <c r="AT36" s="478" t="s">
        <v>39</v>
      </c>
      <c r="AU36" s="479"/>
      <c r="AV36" s="480"/>
      <c r="AW36" s="481">
        <f>COUNTIF(AX4:AX34,"ל")+COUNTIF(AX4:AX34,"L")+COUNTIF(AX4:AX34,"ל2")</f>
        <v>8</v>
      </c>
      <c r="AX36" s="475"/>
      <c r="AY36" s="474">
        <f>COUNTIF(AZ4:AZ34,"ל")+COUNTIF(AZ4:AZ34,"L")+COUNTIF(AZ4:AZ34,"ל2")</f>
        <v>8</v>
      </c>
      <c r="AZ36" s="475"/>
      <c r="BA36" s="474">
        <f>COUNTIF(BB4:BB34,"ל")+COUNTIF(BB4:BB34,"L")+COUNTIF(BB4:BB34,"ל2")</f>
        <v>8</v>
      </c>
      <c r="BB36" s="475"/>
      <c r="BC36" s="474">
        <f>COUNTIF(BD4:BD34,"ל")+COUNTIF(BD4:BD34,"L")+COUNTIF(BD4:BD34,"ל2")</f>
        <v>8</v>
      </c>
      <c r="BD36" s="475"/>
      <c r="BE36" s="474">
        <f>COUNTIF(BF4:BF34,"ל")+COUNTIF(BF4:BF34,"L")+COUNTIF(BF4:BF34,"ל2")</f>
        <v>5</v>
      </c>
      <c r="BF36" s="475"/>
      <c r="BG36" s="474">
        <f>COUNTIF(BH4:BH34,"ל")+COUNTIF(BH4:BH34,"L")+COUNTIF(BH4:BH34,"ל2")</f>
        <v>8</v>
      </c>
      <c r="BH36" s="475"/>
      <c r="BI36" s="474">
        <f>COUNTIF(BJ4:BJ34,"ל")+COUNTIF(BJ4:BJ34,"L")+COUNTIF(BJ4:BJ34,"ל2")</f>
        <v>8</v>
      </c>
      <c r="BJ36" s="475"/>
      <c r="BK36" s="474">
        <f>COUNTIF(BL4:BL34,"ל")+COUNTIF(BL4:BL34,"L")+COUNTIF(BL4:BL34,"ל2")</f>
        <v>8</v>
      </c>
      <c r="BL36" s="475"/>
      <c r="BM36" s="474">
        <f>COUNTIF(BN4:BN34,"ל")+COUNTIF(BN4:BN34,"L")+COUNTIF(BN4:BN34,"ל2")</f>
        <v>5</v>
      </c>
      <c r="BN36" s="475"/>
      <c r="BO36" s="474">
        <f>COUNTIF(BP4:BP34,"ל")+COUNTIF(BP4:BP34,"L")+COUNTIF(BP4:BP34,"ל2")</f>
        <v>7</v>
      </c>
      <c r="BP36" s="475"/>
      <c r="BQ36" s="474">
        <f>COUNTIF(BR4:BR34,"ל")+COUNTIF(BR4:BR34,"L")+COUNTIF(BR4:BR34,"ל2")</f>
        <v>7</v>
      </c>
      <c r="BR36" s="475"/>
      <c r="BS36" s="474">
        <f>COUNTIF(BT4:BT34,"ל")+COUNTIF(BT4:BT34,"L")+COUNTIF(BT4:BT34,"ל2")</f>
        <v>6</v>
      </c>
      <c r="BT36" s="475"/>
      <c r="BU36" s="474">
        <f>COUNTIF(BV4:BV34,"ל")+COUNTIF(BV4:BV34,"L")+COUNTIF(BV4:BV34,"ל2")</f>
        <v>0</v>
      </c>
      <c r="BV36" s="475"/>
      <c r="BW36" s="474">
        <f>COUNTIF(BX4:BX34,"ל")+COUNTIF(BX4:BX34,"L")+COUNTIF(BX4:BX34,"ל2")</f>
        <v>7</v>
      </c>
      <c r="BX36" s="475"/>
      <c r="BY36" s="474">
        <f>COUNTIF(BZ4:BZ34,"ל")+COUNTIF(BZ4:BZ34,"L")+COUNTIF(BZ4:BZ34,"ל2")</f>
        <v>7</v>
      </c>
      <c r="BZ36" s="475"/>
      <c r="CA36" s="476">
        <f>COUNTIF(CB4:CB34,"ל")+COUNTIF(CB4:CB34,"L")+COUNTIF(CB4:CB34,"ל2")</f>
        <v>7</v>
      </c>
      <c r="CB36" s="477"/>
      <c r="CC36" s="471"/>
      <c r="CD36" s="472"/>
      <c r="CE36" s="473"/>
    </row>
    <row r="37" spans="1:89" s="63" customFormat="1" ht="15" customHeight="1" thickBot="1">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W37" s="488">
        <f>(AW35*12)+(AW36*12)+(COUNTIF(AX4:AX34,"ק")*8)+(COUNTIF(AX4:AX34,"ח")*8)+(COUNTIF(AX4:AX34,"מ")*8)+(COUNTIF(AX4:AX34,"מיל")*8)</f>
        <v>180</v>
      </c>
      <c r="AX37" s="487"/>
      <c r="AY37" s="486">
        <f>(AY35*12)+(AY36*12)+(COUNTIF(AZ4:AZ34,"ק")*8)+(COUNTIF(AZ4:AZ34,"ח")*8)+(COUNTIF(AZ4:AZ34,"מ")*8)+(COUNTIF(AZ4:AZ34,"מיל")*8)</f>
        <v>180</v>
      </c>
      <c r="AZ37" s="487"/>
      <c r="BA37" s="486">
        <f>(BA35*12)+(BA36*12)+(COUNTIF(BB4:BB34,"ק")*8)+(COUNTIF(BB4:BB34,"ח")*8)+(COUNTIF(BB4:BB34,"מ")*8)+(COUNTIF(BB4:BB34,"מיל")*8)</f>
        <v>180</v>
      </c>
      <c r="BB37" s="487"/>
      <c r="BC37" s="486">
        <f>(BC35*12)+(BC36*12)+(COUNTIF(BD4:BD34,"ק")*8)+(COUNTIF(BD4:BD34,"ח")*8)+(COUNTIF(BD4:BD34,"מ")*8)+(COUNTIF(BD4:BD34,"מיל")*8)</f>
        <v>180</v>
      </c>
      <c r="BD37" s="487"/>
      <c r="BE37" s="486">
        <f>(BE35*12)+(BE36*12)+(COUNTIF(BF4:BF34,"ק")*8)+(COUNTIF(BF4:BF34,"ח")*8)+(COUNTIF(BF4:BF34,"מ")*8)+(COUNTIF(BF4:BF34,"מיל")*8)</f>
        <v>172</v>
      </c>
      <c r="BF37" s="487"/>
      <c r="BG37" s="486">
        <f>(BG35*12)+(BG36*12)+(COUNTIF(BH4:BH34,"ק")*8)+(COUNTIF(BH4:BH34,"ח")*8)+(COUNTIF(BH4:BH34,"מ")*8)+(COUNTIF(BH4:BH34,"מיל")*8)</f>
        <v>180</v>
      </c>
      <c r="BH37" s="487"/>
      <c r="BI37" s="486">
        <f>(BI35*12)+(BI36*12)+(COUNTIF(BJ4:BJ34,"ק")*8)+(COUNTIF(BJ4:BJ34,"ח")*8)+(COUNTIF(BJ4:BJ34,"מ")*8)+(COUNTIF(BJ4:BJ34,"מיל")*8)</f>
        <v>180</v>
      </c>
      <c r="BJ37" s="487"/>
      <c r="BK37" s="486">
        <f>(BK35*12)+(BK36*12)+(COUNTIF(BL4:BL34,"ק")*8)+(COUNTIF(BL4:BL34,"ח")*8)+(COUNTIF(BL4:BL34,"מ")*8)+(COUNTIF(BL4:BL34,"מיל")*8)</f>
        <v>180</v>
      </c>
      <c r="BL37" s="487"/>
      <c r="BM37" s="486">
        <f>(BM35*12)+(BM36*12)+(COUNTIF(BN4:BN34,"ק")*8)+(COUNTIF(BN4:BN34,"ח")*8)+(COUNTIF(BN4:BN34,"מ")*8)+(COUNTIF(BN4:BN34,"מיל")*8)</f>
        <v>176</v>
      </c>
      <c r="BN37" s="487"/>
      <c r="BO37" s="486">
        <f>(BO35*12)+(BO36*12)+(COUNTIF(BP4:BP34,"ק")*8)+(COUNTIF(BP4:BP34,"ח")*8)+(COUNTIF(BP4:BP34,"מ")*8)+(COUNTIF(BP4:BP34,"מיל")*8)</f>
        <v>180</v>
      </c>
      <c r="BP37" s="487"/>
      <c r="BQ37" s="486">
        <f>(BQ35*12)+(BQ36*12)+(COUNTIF(BR4:BR34,"ק")*8)+(COUNTIF(BR4:BR34,"ח")*8)+(COUNTIF(BR4:BR34,"מ")*8)+(COUNTIF(BR4:BR34,"מיל")*8)</f>
        <v>180</v>
      </c>
      <c r="BR37" s="487"/>
      <c r="BS37" s="486">
        <f>(BS35*12)+(BS36*12)+(COUNTIF(BT4:BT34,"ק")*8)+(COUNTIF(BT4:BT34,"ח")*8)+(COUNTIF(BT4:BT34,"מ")*8)+(COUNTIF(BT4:BT34,"מיל")*8)</f>
        <v>144</v>
      </c>
      <c r="BT37" s="487"/>
      <c r="BU37" s="486">
        <f>(BU35*12)+(BU36*12)+(COUNTIF(BV4:BV34,"ק")*8)+(COUNTIF(BV4:BV34,"ח")*8)+(COUNTIF(BV4:BV34,"מ")*8)+(COUNTIF(BV4:BV34,"מיל")*8)</f>
        <v>0</v>
      </c>
      <c r="BV37" s="487"/>
      <c r="BW37" s="486">
        <f>(BW35*12)+(BW36*12)+(COUNTIF(BX4:BX34,"ק")*8)+(COUNTIF(BX4:BX34,"ח")*8)+(COUNTIF(BX4:BX34,"מ")*8)+(COUNTIF(BX4:BX34,"מיל")*8)</f>
        <v>168</v>
      </c>
      <c r="BX37" s="487"/>
      <c r="BY37" s="486">
        <f>(BY35*12)+(BY36*12)+(COUNTIF(BZ4:BZ34,"ק")*8)+(COUNTIF(BZ4:BZ34,"ח")*8)+(COUNTIF(BZ4:BZ34,"מ")*8)+(COUNTIF(BZ4:BZ34,"מיל")*8)</f>
        <v>168</v>
      </c>
      <c r="BZ37" s="487"/>
      <c r="CA37" s="486">
        <f>(CA35*12)+(CA36*12)+(COUNTIF(CB4:CB34,"ק")*8)+(COUNTIF(CB4:CB34,"ח")*8)+(COUNTIF(CB4:CB34,"מ")*8)+(COUNTIF(CB4:CB34,"מיל")*8)</f>
        <v>168</v>
      </c>
      <c r="CB37" s="496"/>
      <c r="CC37" s="497">
        <v>152.5</v>
      </c>
      <c r="CD37" s="498"/>
      <c r="CE37" s="499"/>
    </row>
    <row r="38" spans="1:89" ht="15" customHeight="1" thickBot="1">
      <c r="AW38" s="500">
        <f>AW37-CC37</f>
        <v>27.5</v>
      </c>
      <c r="AX38" s="491"/>
      <c r="AY38" s="490">
        <f>AY37-CC37</f>
        <v>27.5</v>
      </c>
      <c r="AZ38" s="491"/>
      <c r="BA38" s="490">
        <f>BA37-CC37</f>
        <v>27.5</v>
      </c>
      <c r="BB38" s="491"/>
      <c r="BC38" s="490">
        <f>BC37-CC37</f>
        <v>27.5</v>
      </c>
      <c r="BD38" s="491"/>
      <c r="BE38" s="490">
        <f>BE37-CC37</f>
        <v>19.5</v>
      </c>
      <c r="BF38" s="491"/>
      <c r="BG38" s="490">
        <f>BG37-CC37</f>
        <v>27.5</v>
      </c>
      <c r="BH38" s="491"/>
      <c r="BI38" s="490">
        <f>BI37-CC37</f>
        <v>27.5</v>
      </c>
      <c r="BJ38" s="491"/>
      <c r="BK38" s="490">
        <f>BK37-CC37</f>
        <v>27.5</v>
      </c>
      <c r="BL38" s="491"/>
      <c r="BM38" s="490">
        <f>BM37-CC37</f>
        <v>23.5</v>
      </c>
      <c r="BN38" s="491"/>
      <c r="BO38" s="490">
        <f>BO37-CC37</f>
        <v>27.5</v>
      </c>
      <c r="BP38" s="491"/>
      <c r="BQ38" s="490">
        <f>BQ37-CC37</f>
        <v>27.5</v>
      </c>
      <c r="BR38" s="491"/>
      <c r="BS38" s="490">
        <f>BS37-CC37</f>
        <v>-8.5</v>
      </c>
      <c r="BT38" s="491"/>
      <c r="BU38" s="490">
        <f>BU37-CC37</f>
        <v>-152.5</v>
      </c>
      <c r="BV38" s="491"/>
      <c r="BW38" s="490">
        <f>BW37-CC37</f>
        <v>15.5</v>
      </c>
      <c r="BX38" s="491"/>
      <c r="BY38" s="490">
        <f>BY37-CC37</f>
        <v>15.5</v>
      </c>
      <c r="BZ38" s="491"/>
      <c r="CA38" s="492">
        <f>CA37-CC37</f>
        <v>15.5</v>
      </c>
      <c r="CB38" s="493"/>
      <c r="CC38" s="494" t="s">
        <v>222</v>
      </c>
      <c r="CD38" s="494"/>
      <c r="CE38" s="495"/>
    </row>
  </sheetData>
  <customSheetViews>
    <customSheetView guid="{C6961C98-214A-4770-9A2D-B399A95C6C8B}" scale="80">
      <pane ySplit="4" topLeftCell="A5" activePane="bottomLeft" state="frozen"/>
      <selection pane="bottomLeft" activeCell="D5" sqref="D5"/>
      <pageMargins left="0.7" right="0.7" top="0.75" bottom="0.75" header="0.3" footer="0.3"/>
      <pageSetup paperSize="9" orientation="portrait" r:id="rId1"/>
    </customSheetView>
    <customSheetView guid="{A704065A-5B6F-476C-AE5F-F67C013164B0}" scale="80">
      <pane ySplit="4" topLeftCell="A5" activePane="bottomLeft" state="frozen"/>
      <selection pane="bottomLeft" activeCell="I39" sqref="I39"/>
      <pageMargins left="0.7" right="0.7" top="0.75" bottom="0.75" header="0.3" footer="0.3"/>
      <pageSetup paperSize="9" orientation="portrait" horizontalDpi="0" verticalDpi="0" r:id="rId2"/>
    </customSheetView>
    <customSheetView guid="{319CE2B6-D20C-48B8-B7D9-15D19162A7CD}" scale="80">
      <pane ySplit="4" topLeftCell="A5" activePane="bottomLeft" state="frozen"/>
      <selection pane="bottomLeft" activeCell="D5" sqref="D5"/>
      <pageMargins left="0.7" right="0.7" top="0.75" bottom="0.75" header="0.3" footer="0.3"/>
      <pageSetup paperSize="9" orientation="portrait" r:id="rId3"/>
    </customSheetView>
    <customSheetView guid="{C5360886-767B-4F33-B24F-A6512AA390CC}" scale="80" topLeftCell="AM1">
      <pane ySplit="4" topLeftCell="A5" activePane="bottomLeft" state="frozen"/>
      <selection pane="bottomLeft" activeCell="BE41" sqref="BE41"/>
      <pageMargins left="0.7" right="0.7" top="0.75" bottom="0.75" header="0.3" footer="0.3"/>
      <pageSetup paperSize="9" orientation="portrait" r:id="rId4"/>
    </customSheetView>
    <customSheetView guid="{9C777CA9-4E1C-4A90-9032-5D0586052FC8}" scale="80">
      <pane ySplit="4" topLeftCell="A5" activePane="bottomLeft" state="frozen"/>
      <selection pane="bottomLeft" activeCell="P27" sqref="P27"/>
      <pageMargins left="0.7" right="0.7" top="0.75" bottom="0.75" header="0.3" footer="0.3"/>
      <pageSetup paperSize="9" orientation="portrait" horizontalDpi="0" verticalDpi="0" r:id="rId5"/>
    </customSheetView>
    <customSheetView guid="{FEBD343F-EB1E-4B3A-B093-25A74DB60DAB}" scale="80" topLeftCell="T1">
      <selection activeCell="AO21" sqref="AO21"/>
      <pageMargins left="0.7" right="0.7" top="0.75" bottom="0.75" header="0.3" footer="0.3"/>
      <pageSetup paperSize="9" orientation="portrait" horizontalDpi="0" verticalDpi="0" r:id="rId6"/>
    </customSheetView>
    <customSheetView guid="{1D39CB39-D8E6-4DA4-ABBA-40E2E6F11928}" scale="80">
      <pane ySplit="4" topLeftCell="A5" activePane="bottomLeft" state="frozen"/>
      <selection pane="bottomLeft" activeCell="A15" sqref="A15:XFD15"/>
      <pageMargins left="0.7" right="0.7" top="0.75" bottom="0.75" header="0.3" footer="0.3"/>
      <pageSetup paperSize="9" orientation="portrait" horizontalDpi="0" verticalDpi="0" r:id="rId7"/>
    </customSheetView>
    <customSheetView guid="{6779E260-5140-4C15-8A0E-E477B8C8425E}" scale="90" topLeftCell="AJ1">
      <pane ySplit="4" topLeftCell="A5" activePane="bottomLeft" state="frozen"/>
      <selection pane="bottomLeft" activeCell="BE42" sqref="BE42"/>
      <pageMargins left="0.7" right="0.7" top="0.75" bottom="0.75" header="0.3" footer="0.3"/>
      <pageSetup paperSize="9" orientation="portrait" horizontalDpi="0" verticalDpi="0" r:id="rId8"/>
    </customSheetView>
    <customSheetView guid="{FA0A1515-2E1A-4AAF-AD6A-7E4D0198DCFF}" scale="80">
      <pane ySplit="4" topLeftCell="A14" activePane="bottomLeft" state="frozen"/>
      <selection pane="bottomLeft" activeCell="E26" sqref="E26"/>
      <pageMargins left="0.7" right="0.7" top="0.75" bottom="0.75" header="0.3" footer="0.3"/>
      <pageSetup paperSize="9" orientation="portrait" horizontalDpi="0" verticalDpi="0" r:id="rId9"/>
    </customSheetView>
    <customSheetView guid="{CC86EB9B-590B-4DCB-8154-1EBCE97DCC27}" scale="80">
      <pane ySplit="4" topLeftCell="A5" activePane="bottomLeft" state="frozen"/>
      <selection pane="bottomLeft" activeCell="D5" sqref="D5"/>
      <pageMargins left="0.7" right="0.7" top="0.75" bottom="0.75" header="0.3" footer="0.3"/>
      <pageSetup paperSize="9" orientation="portrait" r:id="rId10"/>
    </customSheetView>
    <customSheetView guid="{03543009-41DE-4C7D-B8BE-69526021AF29}" scale="90" topLeftCell="AT1">
      <pane ySplit="4" topLeftCell="A5" activePane="bottomLeft" state="frozen"/>
      <selection pane="bottomLeft" activeCell="BA42" sqref="BA42"/>
      <pageMargins left="0.7" right="0.7" top="0.75" bottom="0.75" header="0.3" footer="0.3"/>
      <pageSetup paperSize="9" orientation="portrait" r:id="rId11"/>
    </customSheetView>
    <customSheetView guid="{03CD1AFD-FDA7-4904-966E-FB90CD2C490F}" scale="90" topLeftCell="G1">
      <pane ySplit="2" topLeftCell="A4" activePane="bottomLeft" state="frozen"/>
      <selection pane="bottomLeft" activeCell="AB4" sqref="AB4:AC4"/>
      <pageMargins left="0.7" right="0.7" top="0.75" bottom="0.75" header="0.3" footer="0.3"/>
      <pageSetup paperSize="9" orientation="portrait" r:id="rId12"/>
    </customSheetView>
  </customSheetViews>
  <mergeCells count="231">
    <mergeCell ref="C5:C9"/>
    <mergeCell ref="C10:C16"/>
    <mergeCell ref="C17:C23"/>
    <mergeCell ref="C24:C30"/>
    <mergeCell ref="C31:C34"/>
    <mergeCell ref="AV5:AV9"/>
    <mergeCell ref="AV10:AV16"/>
    <mergeCell ref="AV17:AV23"/>
    <mergeCell ref="AV24:AV30"/>
    <mergeCell ref="AV31:AV34"/>
    <mergeCell ref="AP32:AQ32"/>
    <mergeCell ref="AP22:AQ22"/>
    <mergeCell ref="AP20:AQ20"/>
    <mergeCell ref="AP21:AQ21"/>
    <mergeCell ref="AP24:AQ24"/>
    <mergeCell ref="AP27:AQ27"/>
    <mergeCell ref="AP28:AQ28"/>
    <mergeCell ref="AP29:AQ29"/>
    <mergeCell ref="AW38:AX38"/>
    <mergeCell ref="AY36:AZ36"/>
    <mergeCell ref="AY37:AZ37"/>
    <mergeCell ref="AY38:AZ38"/>
    <mergeCell ref="BA36:BB36"/>
    <mergeCell ref="BA37:BB37"/>
    <mergeCell ref="BA38:BB38"/>
    <mergeCell ref="AW36:AX36"/>
    <mergeCell ref="CC38:CE38"/>
    <mergeCell ref="BC38:BD38"/>
    <mergeCell ref="BE38:BF38"/>
    <mergeCell ref="BG38:BH38"/>
    <mergeCell ref="BI38:BJ38"/>
    <mergeCell ref="BK38:BL38"/>
    <mergeCell ref="BM38:BN38"/>
    <mergeCell ref="BO38:BP38"/>
    <mergeCell ref="BQ38:BR38"/>
    <mergeCell ref="BS38:BT38"/>
    <mergeCell ref="BU38:BV38"/>
    <mergeCell ref="BW38:BX38"/>
    <mergeCell ref="BY38:BZ38"/>
    <mergeCell ref="CA38:CB38"/>
    <mergeCell ref="BE37:BF37"/>
    <mergeCell ref="BC37:BD37"/>
    <mergeCell ref="CA36:CB36"/>
    <mergeCell ref="AT35:AV35"/>
    <mergeCell ref="AT36:AV36"/>
    <mergeCell ref="BU36:BV36"/>
    <mergeCell ref="BY36:BZ36"/>
    <mergeCell ref="BG36:BH36"/>
    <mergeCell ref="BE36:BF36"/>
    <mergeCell ref="BC36:BD36"/>
    <mergeCell ref="BK35:BL35"/>
    <mergeCell ref="BI35:BJ35"/>
    <mergeCell ref="AW37:AX37"/>
    <mergeCell ref="CJ32:CK32"/>
    <mergeCell ref="AP33:AQ33"/>
    <mergeCell ref="CJ33:CK33"/>
    <mergeCell ref="AP34:AQ34"/>
    <mergeCell ref="CJ34:CK34"/>
    <mergeCell ref="AP25:AQ25"/>
    <mergeCell ref="AP26:AQ26"/>
    <mergeCell ref="CJ26:CK26"/>
    <mergeCell ref="CJ27:CK27"/>
    <mergeCell ref="CJ30:CK30"/>
    <mergeCell ref="CJ28:CK28"/>
    <mergeCell ref="CJ29:CK29"/>
    <mergeCell ref="AP31:AQ31"/>
    <mergeCell ref="CC37:CE37"/>
    <mergeCell ref="CA37:CB37"/>
    <mergeCell ref="BY37:BZ37"/>
    <mergeCell ref="BW37:BX37"/>
    <mergeCell ref="BU37:BV37"/>
    <mergeCell ref="BS36:BT36"/>
    <mergeCell ref="BS37:BT37"/>
    <mergeCell ref="BK36:BL36"/>
    <mergeCell ref="BI36:BJ36"/>
    <mergeCell ref="BQ37:BR37"/>
    <mergeCell ref="CJ21:CK21"/>
    <mergeCell ref="CJ22:CK22"/>
    <mergeCell ref="CJ23:CK23"/>
    <mergeCell ref="CJ16:CK16"/>
    <mergeCell ref="AP17:AQ17"/>
    <mergeCell ref="CJ17:CK17"/>
    <mergeCell ref="AP18:AQ18"/>
    <mergeCell ref="CJ18:CK18"/>
    <mergeCell ref="CJ31:CK31"/>
    <mergeCell ref="AP23:AQ23"/>
    <mergeCell ref="AP16:AQ16"/>
    <mergeCell ref="AP30:AQ30"/>
    <mergeCell ref="CJ19:CK19"/>
    <mergeCell ref="CE10:CE16"/>
    <mergeCell ref="CE17:CE23"/>
    <mergeCell ref="CE24:CE30"/>
    <mergeCell ref="CE31:CE34"/>
    <mergeCell ref="AP12:AQ12"/>
    <mergeCell ref="CJ12:CK12"/>
    <mergeCell ref="AP13:AQ13"/>
    <mergeCell ref="CJ13:CK13"/>
    <mergeCell ref="AP14:AQ14"/>
    <mergeCell ref="CJ14:CK14"/>
    <mergeCell ref="CJ15:CK15"/>
    <mergeCell ref="CJ20:CK20"/>
    <mergeCell ref="AP15:AQ15"/>
    <mergeCell ref="CJ9:CK9"/>
    <mergeCell ref="AP10:AQ10"/>
    <mergeCell ref="CJ10:CK10"/>
    <mergeCell ref="AP11:AQ11"/>
    <mergeCell ref="CJ11:CK11"/>
    <mergeCell ref="AP5:AQ5"/>
    <mergeCell ref="CJ5:CK5"/>
    <mergeCell ref="AP6:AQ6"/>
    <mergeCell ref="CJ6:CK6"/>
    <mergeCell ref="AP7:AQ7"/>
    <mergeCell ref="CJ7:CK7"/>
    <mergeCell ref="AP8:AQ8"/>
    <mergeCell ref="CE5:CE9"/>
    <mergeCell ref="AP9:AQ9"/>
    <mergeCell ref="AP19:AQ19"/>
    <mergeCell ref="D4:E4"/>
    <mergeCell ref="F4:G4"/>
    <mergeCell ref="H4:I4"/>
    <mergeCell ref="J4:K4"/>
    <mergeCell ref="L4:M4"/>
    <mergeCell ref="P4:Q4"/>
    <mergeCell ref="N4:O4"/>
    <mergeCell ref="AD3:AE3"/>
    <mergeCell ref="D3:E3"/>
    <mergeCell ref="F3:G3"/>
    <mergeCell ref="X4:Y4"/>
    <mergeCell ref="H3:I3"/>
    <mergeCell ref="J3:K3"/>
    <mergeCell ref="Z4:AA4"/>
    <mergeCell ref="T3:U3"/>
    <mergeCell ref="V3:W3"/>
    <mergeCell ref="AB4:AC4"/>
    <mergeCell ref="R3:S3"/>
    <mergeCell ref="CH2:CI3"/>
    <mergeCell ref="CJ2:CK4"/>
    <mergeCell ref="BQ36:BR36"/>
    <mergeCell ref="BO36:BP36"/>
    <mergeCell ref="BM36:BN36"/>
    <mergeCell ref="BW36:BX36"/>
    <mergeCell ref="BY35:BZ35"/>
    <mergeCell ref="BS35:BT35"/>
    <mergeCell ref="BW35:BX35"/>
    <mergeCell ref="BY3:BZ3"/>
    <mergeCell ref="CJ8:CK8"/>
    <mergeCell ref="CA35:CB35"/>
    <mergeCell ref="CC35:CE36"/>
    <mergeCell ref="BU35:BV35"/>
    <mergeCell ref="BQ35:BR35"/>
    <mergeCell ref="BO35:BP35"/>
    <mergeCell ref="BM35:BN35"/>
    <mergeCell ref="BQ3:BR3"/>
    <mergeCell ref="BY4:BZ4"/>
    <mergeCell ref="CA4:CB4"/>
    <mergeCell ref="BW4:BX4"/>
    <mergeCell ref="CA3:CB3"/>
    <mergeCell ref="BS3:BT3"/>
    <mergeCell ref="BM3:BN3"/>
    <mergeCell ref="CF2:CG3"/>
    <mergeCell ref="BU3:BV3"/>
    <mergeCell ref="BW3:BX3"/>
    <mergeCell ref="BE4:BF4"/>
    <mergeCell ref="AW2:BD2"/>
    <mergeCell ref="BE2:BL2"/>
    <mergeCell ref="AY3:AZ3"/>
    <mergeCell ref="BA3:BB3"/>
    <mergeCell ref="BO3:BP3"/>
    <mergeCell ref="BG4:BH4"/>
    <mergeCell ref="BI4:BJ4"/>
    <mergeCell ref="BM4:BN4"/>
    <mergeCell ref="BO4:BP4"/>
    <mergeCell ref="BQ4:BR4"/>
    <mergeCell ref="BU4:BV4"/>
    <mergeCell ref="AW3:AX3"/>
    <mergeCell ref="BC3:BD3"/>
    <mergeCell ref="BG3:BH3"/>
    <mergeCell ref="BI3:BJ3"/>
    <mergeCell ref="BK3:BL3"/>
    <mergeCell ref="AW4:AX4"/>
    <mergeCell ref="BK4:BL4"/>
    <mergeCell ref="AY4:AZ4"/>
    <mergeCell ref="BA4:BB4"/>
    <mergeCell ref="BS4:BT4"/>
    <mergeCell ref="CC1:CE4"/>
    <mergeCell ref="AW1:CB1"/>
    <mergeCell ref="A1:C4"/>
    <mergeCell ref="X2:Y2"/>
    <mergeCell ref="Z2:AA2"/>
    <mergeCell ref="AF2:AG2"/>
    <mergeCell ref="N3:O3"/>
    <mergeCell ref="Z3:AA3"/>
    <mergeCell ref="AB3:AC3"/>
    <mergeCell ref="AF3:AG3"/>
    <mergeCell ref="BE3:BF3"/>
    <mergeCell ref="AH2:AO2"/>
    <mergeCell ref="D1:AS1"/>
    <mergeCell ref="AT1:AV4"/>
    <mergeCell ref="R4:S4"/>
    <mergeCell ref="T4:U4"/>
    <mergeCell ref="V4:W4"/>
    <mergeCell ref="X3:Y3"/>
    <mergeCell ref="BM2:BT2"/>
    <mergeCell ref="BU2:CB2"/>
    <mergeCell ref="AH3:AI3"/>
    <mergeCell ref="AJ3:AK3"/>
    <mergeCell ref="AD4:AE4"/>
    <mergeCell ref="AL4:AM4"/>
    <mergeCell ref="AN4:AO4"/>
    <mergeCell ref="L3:M3"/>
    <mergeCell ref="P3:Q3"/>
    <mergeCell ref="BO37:BP37"/>
    <mergeCell ref="BM37:BN37"/>
    <mergeCell ref="BK37:BL37"/>
    <mergeCell ref="BI37:BJ37"/>
    <mergeCell ref="BG37:BH37"/>
    <mergeCell ref="BG35:BH35"/>
    <mergeCell ref="BE35:BF35"/>
    <mergeCell ref="BC35:BD35"/>
    <mergeCell ref="AW35:AX35"/>
    <mergeCell ref="AY35:AZ35"/>
    <mergeCell ref="BA35:BB35"/>
    <mergeCell ref="AN3:AO3"/>
    <mergeCell ref="AP2:AQ4"/>
    <mergeCell ref="AR2:AS3"/>
    <mergeCell ref="AF4:AG4"/>
    <mergeCell ref="AH4:AI4"/>
    <mergeCell ref="AJ4:AK4"/>
    <mergeCell ref="BC4:BD4"/>
    <mergeCell ref="AL3:AM3"/>
    <mergeCell ref="D2:W2"/>
  </mergeCells>
  <phoneticPr fontId="27" type="noConversion"/>
  <conditionalFormatting sqref="A1:C4 X2:AH2 AP2 AR2 D3:N3 AD3:AE24 D4:Q4 AR4:AS4 C5 Z5:AF6 AH5:AS6 D5:X9 A5:B34 Z7:AS7 Z8:AF9 AH8:AS9 D10:AC11 AF10:AS11 D12:X13 Z12:AF16 D14:P15 R14:X15 D16:X17 Z17:AO17 D18:AC18 AF18 AI18:AO18 Z19:AF20 AH19:AH20 AJ19:AQ20 D19:X23 Z21:AP21 AH22:AP22 Z22:AF23 AH23:AO23 D24:AC24 AF24 AI24:AP25 D25:AF25 D26:X34 Z26:AF34 AH26:AP34">
    <cfRule type="cellIs" dxfId="4184" priority="3183" operator="equal">
      <formula>"י"</formula>
    </cfRule>
    <cfRule type="cellIs" dxfId="4183" priority="3189" operator="equal">
      <formula>"מ"</formula>
    </cfRule>
    <cfRule type="cellIs" dxfId="4182" priority="3187" operator="equal">
      <formula>"כמ"</formula>
    </cfRule>
    <cfRule type="cellIs" dxfId="4181" priority="3194" operator="equal">
      <formula>"כ"</formula>
    </cfRule>
    <cfRule type="cellIs" dxfId="4180" priority="3190" operator="equal">
      <formula>"מנוחה"</formula>
    </cfRule>
    <cfRule type="cellIs" dxfId="4179" priority="3191" operator="equal">
      <formula>"מיל"</formula>
    </cfRule>
    <cfRule type="cellIs" dxfId="4178" priority="3188" operator="equal">
      <formula>"ק"</formula>
    </cfRule>
    <cfRule type="cellIs" dxfId="4177" priority="3193" operator="equal">
      <formula>"כש"</formula>
    </cfRule>
    <cfRule type="cellIs" dxfId="4176" priority="3182" operator="equal">
      <formula>"ל"</formula>
    </cfRule>
    <cfRule type="cellIs" dxfId="4175" priority="3186" operator="equal">
      <formula>"כמש"</formula>
    </cfRule>
  </conditionalFormatting>
  <conditionalFormatting sqref="D3:N3 AD3:AE4 D4:S4">
    <cfRule type="cellIs" dxfId="4174" priority="821" operator="equal">
      <formula>"ח"</formula>
    </cfRule>
  </conditionalFormatting>
  <conditionalFormatting sqref="P3:Q3">
    <cfRule type="cellIs" dxfId="4173" priority="815" operator="equal">
      <formula>"כמש"</formula>
    </cfRule>
    <cfRule type="cellIs" dxfId="4172" priority="822" operator="equal">
      <formula>"כש"</formula>
    </cfRule>
    <cfRule type="cellIs" dxfId="4171" priority="820" operator="equal">
      <formula>"מיל"</formula>
    </cfRule>
    <cfRule type="cellIs" dxfId="4170" priority="819" operator="equal">
      <formula>"מנוחה"</formula>
    </cfRule>
    <cfRule type="cellIs" dxfId="4169" priority="818" operator="equal">
      <formula>"מ"</formula>
    </cfRule>
    <cfRule type="cellIs" dxfId="4168" priority="817" operator="equal">
      <formula>"ק"</formula>
    </cfRule>
    <cfRule type="cellIs" dxfId="4167" priority="823" operator="equal">
      <formula>"כ"</formula>
    </cfRule>
    <cfRule type="cellIs" dxfId="4166" priority="816" operator="equal">
      <formula>"כמ"</formula>
    </cfRule>
    <cfRule type="cellIs" dxfId="4165" priority="814" operator="equal">
      <formula>"י"</formula>
    </cfRule>
    <cfRule type="cellIs" dxfId="4164" priority="813" operator="equal">
      <formula>"ל"</formula>
    </cfRule>
  </conditionalFormatting>
  <conditionalFormatting sqref="P3:W3">
    <cfRule type="cellIs" dxfId="4163" priority="788" operator="equal">
      <formula>"ח"</formula>
    </cfRule>
  </conditionalFormatting>
  <conditionalFormatting sqref="R3:AO4">
    <cfRule type="cellIs" dxfId="4162" priority="604" operator="equal">
      <formula>"ל"</formula>
    </cfRule>
    <cfRule type="cellIs" dxfId="4161" priority="614" operator="equal">
      <formula>"כ"</formula>
    </cfRule>
    <cfRule type="cellIs" dxfId="4160" priority="613" operator="equal">
      <formula>"כש"</formula>
    </cfRule>
    <cfRule type="cellIs" dxfId="4159" priority="605" operator="equal">
      <formula>"י"</formula>
    </cfRule>
    <cfRule type="cellIs" dxfId="4158" priority="611" operator="equal">
      <formula>"מיל"</formula>
    </cfRule>
    <cfRule type="cellIs" dxfId="4157" priority="610" operator="equal">
      <formula>"מנוחה"</formula>
    </cfRule>
    <cfRule type="cellIs" dxfId="4156" priority="606" operator="equal">
      <formula>"כמש"</formula>
    </cfRule>
    <cfRule type="cellIs" dxfId="4155" priority="609" operator="equal">
      <formula>"מ"</formula>
    </cfRule>
    <cfRule type="cellIs" dxfId="4154" priority="608" operator="equal">
      <formula>"ק"</formula>
    </cfRule>
    <cfRule type="cellIs" dxfId="4153" priority="607" operator="equal">
      <formula>"כמ"</formula>
    </cfRule>
  </conditionalFormatting>
  <conditionalFormatting sqref="T4:W4">
    <cfRule type="cellIs" dxfId="4152" priority="634" operator="equal">
      <formula>"ח"</formula>
    </cfRule>
  </conditionalFormatting>
  <conditionalFormatting sqref="X4:Y4">
    <cfRule type="cellIs" dxfId="4151" priority="832" operator="equal">
      <formula>"ח"</formula>
    </cfRule>
  </conditionalFormatting>
  <conditionalFormatting sqref="X3:AO3 Z4:AK4 AW5:AW34 AY5:AY34 BA5:BA34 BC5:BC34 BE5:BE34 BG5:BG34 BI5:BI34 BK5:BK34 BM27:BM30 BU28:BU29 BM6:BO28 BM30:BO34 BU5:BW28 BU30:BW34 A1:C4 X2:AH2 AP2 AR2 AR4:AS4 C5 BM5 BO5 Z5:AF6 AH5:AS6 D5:X9 AD5:AE23 BQ5:BQ28 BS5:BS28 BY5:BY28 CA5:CA28 A5:B34 Z7:AS7 Z8:AF9 AH8:AS9 D10:AC11 AF10:AS11 D12:X13 AP12:AP13 AR12:AS13 Z12:AF16 AH12:AO16 D14:P15 R14:X15 D16:X17 Z17:AO17 D18:AC18 AF18 AI18:AO18 AR18:AS34 Z19:AF20 AH19:AH20 AJ19:AQ20 D19:X23 Z21:AP21 AH22:AP22 Z22:AF23 AH23:AO23 D24:AF25 AI24:AP25 D26:X34 Z26:AF34 AH26:AP34 BQ30:BQ34 BS30:BS34 BY30:BY34 CA30:CA34">
    <cfRule type="cellIs" dxfId="4150" priority="3192" operator="equal">
      <formula>"ח"</formula>
    </cfRule>
  </conditionalFormatting>
  <conditionalFormatting sqref="AH12:AP14 AR12:AS34 AH15:AO16">
    <cfRule type="cellIs" dxfId="4149" priority="3174" operator="equal">
      <formula>"כמ"</formula>
    </cfRule>
    <cfRule type="cellIs" dxfId="4148" priority="3173" operator="equal">
      <formula>"כמש"</formula>
    </cfRule>
    <cfRule type="cellIs" dxfId="4147" priority="3170" operator="equal">
      <formula>"י"</formula>
    </cfRule>
    <cfRule type="cellIs" dxfId="4146" priority="3169" operator="equal">
      <formula>"ל"</formula>
    </cfRule>
    <cfRule type="cellIs" dxfId="4145" priority="3180" operator="equal">
      <formula>"כש"</formula>
    </cfRule>
    <cfRule type="cellIs" dxfId="4144" priority="3178" operator="equal">
      <formula>"מיל"</formula>
    </cfRule>
    <cfRule type="cellIs" dxfId="4143" priority="3177" operator="equal">
      <formula>"מנוחה"</formula>
    </cfRule>
    <cfRule type="cellIs" dxfId="4142" priority="3175" operator="equal">
      <formula>"ק"</formula>
    </cfRule>
    <cfRule type="cellIs" dxfId="4141" priority="3176" operator="equal">
      <formula>"מ"</formula>
    </cfRule>
    <cfRule type="cellIs" dxfId="4140" priority="3181" operator="equal">
      <formula>"כ"</formula>
    </cfRule>
  </conditionalFormatting>
  <conditionalFormatting sqref="AL4:AO4">
    <cfRule type="cellIs" dxfId="4139" priority="612" operator="equal">
      <formula>"ח"</formula>
    </cfRule>
  </conditionalFormatting>
  <conditionalFormatting sqref="AP14 AR14:AS17">
    <cfRule type="cellIs" dxfId="4138" priority="3179" operator="equal">
      <formula>"ח"</formula>
    </cfRule>
  </conditionalFormatting>
  <conditionalFormatting sqref="AP15:AP18">
    <cfRule type="cellIs" dxfId="4137" priority="570" operator="equal">
      <formula>"כ"</formula>
    </cfRule>
    <cfRule type="cellIs" dxfId="4136" priority="569" operator="equal">
      <formula>"כש"</formula>
    </cfRule>
    <cfRule type="cellIs" dxfId="4135" priority="568" operator="equal">
      <formula>"ח"</formula>
    </cfRule>
    <cfRule type="cellIs" dxfId="4134" priority="567" operator="equal">
      <formula>"מיל"</formula>
    </cfRule>
    <cfRule type="cellIs" dxfId="4133" priority="565" operator="equal">
      <formula>"מ"</formula>
    </cfRule>
    <cfRule type="cellIs" dxfId="4132" priority="564" operator="equal">
      <formula>"ק"</formula>
    </cfRule>
    <cfRule type="cellIs" dxfId="4131" priority="563" operator="equal">
      <formula>"כמ"</formula>
    </cfRule>
    <cfRule type="cellIs" dxfId="4130" priority="562" operator="equal">
      <formula>"כמש"</formula>
    </cfRule>
    <cfRule type="cellIs" dxfId="4129" priority="561" operator="equal">
      <formula>"י"</formula>
    </cfRule>
    <cfRule type="cellIs" dxfId="4128" priority="560" operator="equal">
      <formula>"ל"</formula>
    </cfRule>
    <cfRule type="cellIs" dxfId="4127" priority="566" operator="equal">
      <formula>"מנוחה"</formula>
    </cfRule>
  </conditionalFormatting>
  <conditionalFormatting sqref="AT1:AV4">
    <cfRule type="cellIs" dxfId="4126" priority="600" operator="equal">
      <formula>"מיל"</formula>
    </cfRule>
    <cfRule type="cellIs" dxfId="4125" priority="602" operator="equal">
      <formula>"כש"</formula>
    </cfRule>
    <cfRule type="cellIs" dxfId="4124" priority="601" operator="equal">
      <formula>"ח"</formula>
    </cfRule>
    <cfRule type="cellIs" dxfId="4123" priority="593" operator="equal">
      <formula>"ל"</formula>
    </cfRule>
    <cfRule type="cellIs" dxfId="4122" priority="599" operator="equal">
      <formula>"מנוחה"</formula>
    </cfRule>
    <cfRule type="cellIs" dxfId="4121" priority="603" operator="equal">
      <formula>"כ"</formula>
    </cfRule>
    <cfRule type="cellIs" dxfId="4120" priority="597" operator="equal">
      <formula>"ק"</formula>
    </cfRule>
    <cfRule type="cellIs" dxfId="4119" priority="598" operator="equal">
      <formula>"מ"</formula>
    </cfRule>
    <cfRule type="cellIs" dxfId="4118" priority="596" operator="equal">
      <formula>"כמ"</formula>
    </cfRule>
    <cfRule type="cellIs" dxfId="4117" priority="595" operator="equal">
      <formula>"כמש"</formula>
    </cfRule>
    <cfRule type="cellIs" dxfId="4116" priority="594" operator="equal">
      <formula>"י"</formula>
    </cfRule>
  </conditionalFormatting>
  <conditionalFormatting sqref="AV5 AT5:AU34">
    <cfRule type="cellIs" dxfId="4115" priority="550" operator="equal">
      <formula>"י"</formula>
    </cfRule>
    <cfRule type="cellIs" dxfId="4114" priority="559" operator="equal">
      <formula>"כ"</formula>
    </cfRule>
    <cfRule type="cellIs" dxfId="4113" priority="551" operator="equal">
      <formula>"כמש"</formula>
    </cfRule>
    <cfRule type="cellIs" dxfId="4112" priority="558" operator="equal">
      <formula>"כש"</formula>
    </cfRule>
    <cfRule type="cellIs" dxfId="4111" priority="557" operator="equal">
      <formula>"ח"</formula>
    </cfRule>
    <cfRule type="cellIs" dxfId="4110" priority="556" operator="equal">
      <formula>"מיל"</formula>
    </cfRule>
    <cfRule type="cellIs" dxfId="4109" priority="555" operator="equal">
      <formula>"מנוחה"</formula>
    </cfRule>
    <cfRule type="cellIs" dxfId="4108" priority="554" operator="equal">
      <formula>"מ"</formula>
    </cfRule>
    <cfRule type="cellIs" dxfId="4107" priority="553" operator="equal">
      <formula>"ק"</formula>
    </cfRule>
    <cfRule type="cellIs" dxfId="4106" priority="552" operator="equal">
      <formula>"כמ"</formula>
    </cfRule>
    <cfRule type="cellIs" dxfId="4105" priority="549" operator="equal">
      <formula>"ל"</formula>
    </cfRule>
  </conditionalFormatting>
  <conditionalFormatting sqref="AW29">
    <cfRule type="cellIs" dxfId="4104" priority="423" operator="equal">
      <formula>"כ"</formula>
    </cfRule>
    <cfRule type="cellIs" dxfId="4103" priority="422" operator="equal">
      <formula>"כש"</formula>
    </cfRule>
  </conditionalFormatting>
  <conditionalFormatting sqref="AW38 AY38 BA38 BC38 BE38 BG38 BI38 BK38 BM38 BO38 BQ38 BS38 BU38 BW38 BY38 CA38:CB38">
    <cfRule type="cellIs" dxfId="4102" priority="880" operator="greaterThan">
      <formula>$CE$38</formula>
    </cfRule>
    <cfRule type="cellIs" dxfId="4101" priority="879" operator="lessThan">
      <formula>$CE$38</formula>
    </cfRule>
  </conditionalFormatting>
  <conditionalFormatting sqref="AW5:BL28 BB25:BB31 BJ25:BJ32 BN26:BT27 BC27:BF30 BK27:BN30 AX28:BD29 BF29:BL30 BN30:BT31">
    <cfRule type="cellIs" dxfId="4100" priority="1748" operator="equal">
      <formula>"כש"</formula>
    </cfRule>
    <cfRule type="cellIs" dxfId="4099" priority="1749" operator="equal">
      <formula>"כ"</formula>
    </cfRule>
  </conditionalFormatting>
  <conditionalFormatting sqref="AW2:CB2 AW3:AZ3 BE3:BO3 AW4:AY4 BE4 BG4 BI4 BK4:BM4 BO4 BS4:BU4 BW4 BY4 CA4">
    <cfRule type="cellIs" dxfId="4098" priority="678" operator="equal">
      <formula>"ח"</formula>
    </cfRule>
    <cfRule type="cellIs" dxfId="4097" priority="679" operator="equal">
      <formula>"כש"</formula>
    </cfRule>
    <cfRule type="cellIs" dxfId="4096" priority="680" operator="equal">
      <formula>"כ"</formula>
    </cfRule>
    <cfRule type="cellIs" dxfId="4095" priority="670" operator="equal">
      <formula>"ל"</formula>
    </cfRule>
    <cfRule type="cellIs" dxfId="4094" priority="671" operator="equal">
      <formula>"י"</formula>
    </cfRule>
    <cfRule type="cellIs" dxfId="4093" priority="672" operator="equal">
      <formula>"כמש"</formula>
    </cfRule>
    <cfRule type="cellIs" dxfId="4092" priority="673" operator="equal">
      <formula>"כמ"</formula>
    </cfRule>
    <cfRule type="cellIs" dxfId="4091" priority="674" operator="equal">
      <formula>"ק"</formula>
    </cfRule>
    <cfRule type="cellIs" dxfId="4090" priority="675" operator="equal">
      <formula>"מ"</formula>
    </cfRule>
    <cfRule type="cellIs" dxfId="4089" priority="676" operator="equal">
      <formula>"מנוחה"</formula>
    </cfRule>
    <cfRule type="cellIs" dxfId="4088" priority="677" operator="equal">
      <formula>"מיל"</formula>
    </cfRule>
  </conditionalFormatting>
  <conditionalFormatting sqref="AW29:CB29">
    <cfRule type="cellIs" dxfId="4087" priority="579" operator="equal">
      <formula>"ח"</formula>
    </cfRule>
  </conditionalFormatting>
  <conditionalFormatting sqref="AW29:CB34">
    <cfRule type="cellIs" dxfId="4086" priority="581" operator="equal">
      <formula>"כ"</formula>
    </cfRule>
    <cfRule type="cellIs" dxfId="4085" priority="580" operator="equal">
      <formula>"כש"</formula>
    </cfRule>
  </conditionalFormatting>
  <conditionalFormatting sqref="AX5:AX34">
    <cfRule type="cellIs" dxfId="4084" priority="3001" operator="equal">
      <formula>"ח"</formula>
    </cfRule>
  </conditionalFormatting>
  <conditionalFormatting sqref="AX8:AX9">
    <cfRule type="cellIs" dxfId="4083" priority="516" operator="equal">
      <formula>"ח"</formula>
    </cfRule>
  </conditionalFormatting>
  <conditionalFormatting sqref="AX12:AX13">
    <cfRule type="cellIs" dxfId="4082" priority="505" operator="equal">
      <formula>"ח"</formula>
    </cfRule>
  </conditionalFormatting>
  <conditionalFormatting sqref="AX16:AX17">
    <cfRule type="cellIs" dxfId="4081" priority="488" operator="equal">
      <formula>"ח"</formula>
    </cfRule>
  </conditionalFormatting>
  <conditionalFormatting sqref="AX20:AX21">
    <cfRule type="cellIs" dxfId="4080" priority="474" operator="equal">
      <formula>"ח"</formula>
    </cfRule>
  </conditionalFormatting>
  <conditionalFormatting sqref="AX24:AX25">
    <cfRule type="cellIs" dxfId="4079" priority="460" operator="equal">
      <formula>"ח"</formula>
    </cfRule>
  </conditionalFormatting>
  <conditionalFormatting sqref="AX28:AX29">
    <cfRule type="cellIs" dxfId="4078" priority="446" operator="equal">
      <formula>"ח"</formula>
    </cfRule>
  </conditionalFormatting>
  <conditionalFormatting sqref="AX32:AX33">
    <cfRule type="cellIs" dxfId="4077" priority="430" operator="equal">
      <formula>"ח"</formula>
    </cfRule>
  </conditionalFormatting>
  <conditionalFormatting sqref="AX32:BD33">
    <cfRule type="cellIs" dxfId="4076" priority="438" operator="equal">
      <formula>"כש"</formula>
    </cfRule>
    <cfRule type="cellIs" dxfId="4075" priority="439" operator="equal">
      <formula>"כ"</formula>
    </cfRule>
  </conditionalFormatting>
  <conditionalFormatting sqref="AZ5">
    <cfRule type="cellIs" dxfId="4074" priority="537" operator="equal">
      <formula>"ח"</formula>
    </cfRule>
  </conditionalFormatting>
  <conditionalFormatting sqref="AZ5:AZ34">
    <cfRule type="cellIs" dxfId="4073" priority="2297" operator="equal">
      <formula>"ח"</formula>
    </cfRule>
  </conditionalFormatting>
  <conditionalFormatting sqref="AZ8:AZ9">
    <cfRule type="cellIs" dxfId="4072" priority="515" operator="equal">
      <formula>"ח"</formula>
    </cfRule>
  </conditionalFormatting>
  <conditionalFormatting sqref="AZ12:AZ13">
    <cfRule type="cellIs" dxfId="4071" priority="504" operator="equal">
      <formula>"ח"</formula>
    </cfRule>
  </conditionalFormatting>
  <conditionalFormatting sqref="AZ16:AZ17">
    <cfRule type="cellIs" dxfId="4070" priority="487" operator="equal">
      <formula>"ח"</formula>
    </cfRule>
  </conditionalFormatting>
  <conditionalFormatting sqref="AZ20:AZ21">
    <cfRule type="cellIs" dxfId="4069" priority="473" operator="equal">
      <formula>"ח"</formula>
    </cfRule>
  </conditionalFormatting>
  <conditionalFormatting sqref="AZ24:AZ25">
    <cfRule type="cellIs" dxfId="4068" priority="459" operator="equal">
      <formula>"ח"</formula>
    </cfRule>
  </conditionalFormatting>
  <conditionalFormatting sqref="AZ28:AZ29">
    <cfRule type="cellIs" dxfId="4067" priority="445" operator="equal">
      <formula>"ח"</formula>
    </cfRule>
  </conditionalFormatting>
  <conditionalFormatting sqref="AZ32:AZ33">
    <cfRule type="cellIs" dxfId="4066" priority="429" operator="equal">
      <formula>"ח"</formula>
    </cfRule>
  </conditionalFormatting>
  <conditionalFormatting sqref="BB5">
    <cfRule type="cellIs" dxfId="4065" priority="536" operator="equal">
      <formula>"ח"</formula>
    </cfRule>
  </conditionalFormatting>
  <conditionalFormatting sqref="BB5:BB34">
    <cfRule type="cellIs" dxfId="4064" priority="2187" operator="equal">
      <formula>"ח"</formula>
    </cfRule>
  </conditionalFormatting>
  <conditionalFormatting sqref="BB8:BB9">
    <cfRule type="cellIs" dxfId="4063" priority="499" operator="equal">
      <formula>"ח"</formula>
    </cfRule>
  </conditionalFormatting>
  <conditionalFormatting sqref="BB12:BB13">
    <cfRule type="cellIs" dxfId="4062" priority="496" operator="equal">
      <formula>"ח"</formula>
    </cfRule>
  </conditionalFormatting>
  <conditionalFormatting sqref="BB16:BB17">
    <cfRule type="cellIs" dxfId="4061" priority="482" operator="equal">
      <formula>"ח"</formula>
    </cfRule>
  </conditionalFormatting>
  <conditionalFormatting sqref="BB20:BB21">
    <cfRule type="cellIs" dxfId="4060" priority="468" operator="equal">
      <formula>"ח"</formula>
    </cfRule>
  </conditionalFormatting>
  <conditionalFormatting sqref="BB24:BB25">
    <cfRule type="cellIs" dxfId="4059" priority="454" operator="equal">
      <formula>"ח"</formula>
    </cfRule>
  </conditionalFormatting>
  <conditionalFormatting sqref="BB28:BB29">
    <cfRule type="cellIs" dxfId="4058" priority="440" operator="equal">
      <formula>"ח"</formula>
    </cfRule>
  </conditionalFormatting>
  <conditionalFormatting sqref="BB32:BB33">
    <cfRule type="cellIs" dxfId="4057" priority="424" operator="equal">
      <formula>"ח"</formula>
    </cfRule>
  </conditionalFormatting>
  <conditionalFormatting sqref="BC3:BC4">
    <cfRule type="cellIs" dxfId="4056" priority="658" operator="equal">
      <formula>"כ"</formula>
    </cfRule>
    <cfRule type="cellIs" dxfId="4055" priority="650" operator="equal">
      <formula>"כמש"</formula>
    </cfRule>
    <cfRule type="cellIs" dxfId="4054" priority="652" operator="equal">
      <formula>"ק"</formula>
    </cfRule>
    <cfRule type="cellIs" dxfId="4053" priority="656" operator="equal">
      <formula>"ח"</formula>
    </cfRule>
    <cfRule type="cellIs" dxfId="4052" priority="655" operator="equal">
      <formula>"מיל"</formula>
    </cfRule>
    <cfRule type="cellIs" dxfId="4051" priority="654" operator="equal">
      <formula>"מנוחה"</formula>
    </cfRule>
    <cfRule type="cellIs" dxfId="4050" priority="653" operator="equal">
      <formula>"מ"</formula>
    </cfRule>
    <cfRule type="cellIs" dxfId="4049" priority="651" operator="equal">
      <formula>"כמ"</formula>
    </cfRule>
    <cfRule type="cellIs" dxfId="4048" priority="649" operator="equal">
      <formula>"י"</formula>
    </cfRule>
    <cfRule type="cellIs" dxfId="4047" priority="648" operator="equal">
      <formula>"ל"</formula>
    </cfRule>
    <cfRule type="cellIs" dxfId="4046" priority="657" operator="equal">
      <formula>"כש"</formula>
    </cfRule>
  </conditionalFormatting>
  <conditionalFormatting sqref="BD5">
    <cfRule type="cellIs" dxfId="4045" priority="535" operator="equal">
      <formula>"ח"</formula>
    </cfRule>
  </conditionalFormatting>
  <conditionalFormatting sqref="BD5:BD34">
    <cfRule type="cellIs" dxfId="4044" priority="2077" operator="equal">
      <formula>"ח"</formula>
    </cfRule>
  </conditionalFormatting>
  <conditionalFormatting sqref="BD8:BD9">
    <cfRule type="cellIs" dxfId="4043" priority="513" operator="equal">
      <formula>"ח"</formula>
    </cfRule>
  </conditionalFormatting>
  <conditionalFormatting sqref="BD12:BD13">
    <cfRule type="cellIs" dxfId="4042" priority="502" operator="equal">
      <formula>"ח"</formula>
    </cfRule>
  </conditionalFormatting>
  <conditionalFormatting sqref="BD16:BD17">
    <cfRule type="cellIs" dxfId="4041" priority="485" operator="equal">
      <formula>"ח"</formula>
    </cfRule>
  </conditionalFormatting>
  <conditionalFormatting sqref="BD20:BD21">
    <cfRule type="cellIs" dxfId="4040" priority="471" operator="equal">
      <formula>"ח"</formula>
    </cfRule>
  </conditionalFormatting>
  <conditionalFormatting sqref="BD24:BD25">
    <cfRule type="cellIs" dxfId="4039" priority="457" operator="equal">
      <formula>"ח"</formula>
    </cfRule>
  </conditionalFormatting>
  <conditionalFormatting sqref="BD28:BD29">
    <cfRule type="cellIs" dxfId="4038" priority="443" operator="equal">
      <formula>"ח"</formula>
    </cfRule>
  </conditionalFormatting>
  <conditionalFormatting sqref="BD29">
    <cfRule type="cellIs" dxfId="4037" priority="527" operator="equal">
      <formula>"כ"</formula>
    </cfRule>
    <cfRule type="cellIs" dxfId="4036" priority="526" operator="equal">
      <formula>"כש"</formula>
    </cfRule>
  </conditionalFormatting>
  <conditionalFormatting sqref="BD32:BD33">
    <cfRule type="cellIs" dxfId="4035" priority="427" operator="equal">
      <formula>"ח"</formula>
    </cfRule>
  </conditionalFormatting>
  <conditionalFormatting sqref="BF5:BF34">
    <cfRule type="cellIs" dxfId="4034" priority="2902" operator="equal">
      <formula>"ח"</formula>
    </cfRule>
  </conditionalFormatting>
  <conditionalFormatting sqref="BF6">
    <cfRule type="cellIs" dxfId="4033" priority="531" operator="equal">
      <formula>"ח"</formula>
    </cfRule>
  </conditionalFormatting>
  <conditionalFormatting sqref="BF9:BF10">
    <cfRule type="cellIs" dxfId="4032" priority="410" operator="equal">
      <formula>"ח"</formula>
    </cfRule>
  </conditionalFormatting>
  <conditionalFormatting sqref="BF13:BF14">
    <cfRule type="cellIs" dxfId="4031" priority="392" operator="equal">
      <formula>"ח"</formula>
    </cfRule>
  </conditionalFormatting>
  <conditionalFormatting sqref="BF17:BF18">
    <cfRule type="cellIs" dxfId="4030" priority="374" operator="equal">
      <formula>"ח"</formula>
    </cfRule>
  </conditionalFormatting>
  <conditionalFormatting sqref="BF21:BF22">
    <cfRule type="cellIs" dxfId="4029" priority="356" operator="equal">
      <formula>"ח"</formula>
    </cfRule>
  </conditionalFormatting>
  <conditionalFormatting sqref="BF25:BF26">
    <cfRule type="cellIs" dxfId="4028" priority="338" operator="equal">
      <formula>"ח"</formula>
    </cfRule>
  </conditionalFormatting>
  <conditionalFormatting sqref="BF29:BF30">
    <cfRule type="cellIs" dxfId="4027" priority="320" operator="equal">
      <formula>"ח"</formula>
    </cfRule>
  </conditionalFormatting>
  <conditionalFormatting sqref="BF33:BF34">
    <cfRule type="cellIs" dxfId="4026" priority="300" operator="equal">
      <formula>"ח"</formula>
    </cfRule>
  </conditionalFormatting>
  <conditionalFormatting sqref="BF33:BL34">
    <cfRule type="cellIs" dxfId="4025" priority="308" operator="equal">
      <formula>"כש"</formula>
    </cfRule>
    <cfRule type="cellIs" dxfId="4024" priority="309" operator="equal">
      <formula>"כ"</formula>
    </cfRule>
  </conditionalFormatting>
  <conditionalFormatting sqref="BH5:BH34">
    <cfRule type="cellIs" dxfId="4023" priority="299" operator="equal">
      <formula>"ח"</formula>
    </cfRule>
  </conditionalFormatting>
  <conditionalFormatting sqref="BJ5:BJ6">
    <cfRule type="cellIs" dxfId="4022" priority="529" operator="equal">
      <formula>"ח"</formula>
    </cfRule>
  </conditionalFormatting>
  <conditionalFormatting sqref="BJ5:BJ34">
    <cfRule type="cellIs" dxfId="4021" priority="1857" operator="equal">
      <formula>"ח"</formula>
    </cfRule>
  </conditionalFormatting>
  <conditionalFormatting sqref="BJ9:BJ10">
    <cfRule type="cellIs" dxfId="4020" priority="404" operator="equal">
      <formula>"ח"</formula>
    </cfRule>
  </conditionalFormatting>
  <conditionalFormatting sqref="BJ13:BJ14">
    <cfRule type="cellIs" dxfId="4019" priority="386" operator="equal">
      <formula>"ח"</formula>
    </cfRule>
  </conditionalFormatting>
  <conditionalFormatting sqref="BJ17:BJ18">
    <cfRule type="cellIs" dxfId="4018" priority="368" operator="equal">
      <formula>"ח"</formula>
    </cfRule>
  </conditionalFormatting>
  <conditionalFormatting sqref="BJ21:BJ22">
    <cfRule type="cellIs" dxfId="4017" priority="350" operator="equal">
      <formula>"ח"</formula>
    </cfRule>
  </conditionalFormatting>
  <conditionalFormatting sqref="BJ25:BJ26">
    <cfRule type="cellIs" dxfId="4016" priority="332" operator="equal">
      <formula>"ח"</formula>
    </cfRule>
  </conditionalFormatting>
  <conditionalFormatting sqref="BJ29:BJ30">
    <cfRule type="cellIs" dxfId="4015" priority="314" operator="equal">
      <formula>"ח"</formula>
    </cfRule>
  </conditionalFormatting>
  <conditionalFormatting sqref="BJ33:BJ34">
    <cfRule type="cellIs" dxfId="4014" priority="294" operator="equal">
      <formula>"ח"</formula>
    </cfRule>
  </conditionalFormatting>
  <conditionalFormatting sqref="BL5:BL34">
    <cfRule type="cellIs" dxfId="4013" priority="297" operator="equal">
      <formula>"ח"</formula>
    </cfRule>
  </conditionalFormatting>
  <conditionalFormatting sqref="BM5:BO28">
    <cfRule type="cellIs" dxfId="4012" priority="2474" operator="equal">
      <formula>"כש"</formula>
    </cfRule>
    <cfRule type="cellIs" dxfId="4011" priority="2475" operator="equal">
      <formula>"כ"</formula>
    </cfRule>
  </conditionalFormatting>
  <conditionalFormatting sqref="BN5">
    <cfRule type="cellIs" dxfId="4010" priority="2473" stopIfTrue="1" operator="equal">
      <formula>"ח"</formula>
    </cfRule>
  </conditionalFormatting>
  <conditionalFormatting sqref="BN6:BN7">
    <cfRule type="cellIs" dxfId="4009" priority="280" operator="equal">
      <formula>"ח"</formula>
    </cfRule>
  </conditionalFormatting>
  <conditionalFormatting sqref="BN10:BN11">
    <cfRule type="cellIs" dxfId="4008" priority="260" operator="equal">
      <formula>"ח"</formula>
    </cfRule>
  </conditionalFormatting>
  <conditionalFormatting sqref="BN14:BN15">
    <cfRule type="cellIs" dxfId="4007" priority="240" operator="equal">
      <formula>"ח"</formula>
    </cfRule>
  </conditionalFormatting>
  <conditionalFormatting sqref="BN18:BN19">
    <cfRule type="cellIs" dxfId="4006" priority="220" operator="equal">
      <formula>"ח"</formula>
    </cfRule>
  </conditionalFormatting>
  <conditionalFormatting sqref="BN22:BN23">
    <cfRule type="cellIs" dxfId="4005" priority="200" operator="equal">
      <formula>"ח"</formula>
    </cfRule>
  </conditionalFormatting>
  <conditionalFormatting sqref="BN26:BN31">
    <cfRule type="cellIs" dxfId="4004" priority="164" operator="equal">
      <formula>"ח"</formula>
    </cfRule>
  </conditionalFormatting>
  <conditionalFormatting sqref="BN34">
    <cfRule type="cellIs" dxfId="4003" priority="10" operator="equal">
      <formula>"ח"</formula>
    </cfRule>
  </conditionalFormatting>
  <conditionalFormatting sqref="BN6:BT7">
    <cfRule type="cellIs" dxfId="4002" priority="289" operator="equal">
      <formula>"כ"</formula>
    </cfRule>
    <cfRule type="cellIs" dxfId="4001" priority="288" operator="equal">
      <formula>"כש"</formula>
    </cfRule>
  </conditionalFormatting>
  <conditionalFormatting sqref="BN10:BT11">
    <cfRule type="cellIs" dxfId="4000" priority="269" operator="equal">
      <formula>"כ"</formula>
    </cfRule>
    <cfRule type="cellIs" dxfId="3999" priority="268" operator="equal">
      <formula>"כש"</formula>
    </cfRule>
  </conditionalFormatting>
  <conditionalFormatting sqref="BN14:BT15">
    <cfRule type="cellIs" dxfId="3998" priority="249" operator="equal">
      <formula>"כ"</formula>
    </cfRule>
    <cfRule type="cellIs" dxfId="3997" priority="248" operator="equal">
      <formula>"כש"</formula>
    </cfRule>
  </conditionalFormatting>
  <conditionalFormatting sqref="BN18:BT19">
    <cfRule type="cellIs" dxfId="3996" priority="228" operator="equal">
      <formula>"כש"</formula>
    </cfRule>
    <cfRule type="cellIs" dxfId="3995" priority="229" operator="equal">
      <formula>"כ"</formula>
    </cfRule>
  </conditionalFormatting>
  <conditionalFormatting sqref="BN22:BT23">
    <cfRule type="cellIs" dxfId="3994" priority="208" operator="equal">
      <formula>"כש"</formula>
    </cfRule>
    <cfRule type="cellIs" dxfId="3993" priority="209" operator="equal">
      <formula>"כ"</formula>
    </cfRule>
  </conditionalFormatting>
  <conditionalFormatting sqref="BN34:BT34">
    <cfRule type="cellIs" dxfId="3992" priority="17" operator="equal">
      <formula>"כ"</formula>
    </cfRule>
    <cfRule type="cellIs" dxfId="3991" priority="16" operator="equal">
      <formula>"כש"</formula>
    </cfRule>
  </conditionalFormatting>
  <conditionalFormatting sqref="BP5">
    <cfRule type="cellIs" dxfId="3990" priority="1604" stopIfTrue="1" operator="equal">
      <formula>"ח"</formula>
    </cfRule>
  </conditionalFormatting>
  <conditionalFormatting sqref="BP6:BP7">
    <cfRule type="cellIs" dxfId="3989" priority="279" operator="equal">
      <formula>"ח"</formula>
    </cfRule>
  </conditionalFormatting>
  <conditionalFormatting sqref="BP6:BP28 BP30:BP34">
    <cfRule type="cellIs" dxfId="3988" priority="1637" operator="equal">
      <formula>"ח"</formula>
    </cfRule>
  </conditionalFormatting>
  <conditionalFormatting sqref="BP10:BP11">
    <cfRule type="cellIs" dxfId="3987" priority="259" operator="equal">
      <formula>"ח"</formula>
    </cfRule>
  </conditionalFormatting>
  <conditionalFormatting sqref="BP14:BP15">
    <cfRule type="cellIs" dxfId="3986" priority="239" operator="equal">
      <formula>"ח"</formula>
    </cfRule>
  </conditionalFormatting>
  <conditionalFormatting sqref="BP18:BP19">
    <cfRule type="cellIs" dxfId="3985" priority="219" operator="equal">
      <formula>"ח"</formula>
    </cfRule>
  </conditionalFormatting>
  <conditionalFormatting sqref="BP22:BP23">
    <cfRule type="cellIs" dxfId="3984" priority="199" operator="equal">
      <formula>"ח"</formula>
    </cfRule>
  </conditionalFormatting>
  <conditionalFormatting sqref="BP26:BP27">
    <cfRule type="cellIs" dxfId="3983" priority="181" operator="equal">
      <formula>"ח"</formula>
    </cfRule>
  </conditionalFormatting>
  <conditionalFormatting sqref="BP30:BP31">
    <cfRule type="cellIs" dxfId="3982" priority="163" operator="equal">
      <formula>"ח"</formula>
    </cfRule>
  </conditionalFormatting>
  <conditionalFormatting sqref="BP34">
    <cfRule type="cellIs" dxfId="3981" priority="6" operator="equal">
      <formula>"ח"</formula>
    </cfRule>
  </conditionalFormatting>
  <conditionalFormatting sqref="BP5:BQ28">
    <cfRule type="cellIs" dxfId="3980" priority="1605" operator="equal">
      <formula>"כש"</formula>
    </cfRule>
    <cfRule type="cellIs" dxfId="3979" priority="1606" operator="equal">
      <formula>"כ"</formula>
    </cfRule>
  </conditionalFormatting>
  <conditionalFormatting sqref="BQ3:CA3 BQ4">
    <cfRule type="cellIs" dxfId="3978" priority="660" operator="equal">
      <formula>"י"</formula>
    </cfRule>
    <cfRule type="cellIs" dxfId="3977" priority="661" operator="equal">
      <formula>"כמש"</formula>
    </cfRule>
    <cfRule type="cellIs" dxfId="3976" priority="662" operator="equal">
      <formula>"כמ"</formula>
    </cfRule>
    <cfRule type="cellIs" dxfId="3975" priority="663" operator="equal">
      <formula>"ק"</formula>
    </cfRule>
    <cfRule type="cellIs" dxfId="3974" priority="664" operator="equal">
      <formula>"מ"</formula>
    </cfRule>
    <cfRule type="cellIs" dxfId="3973" priority="665" operator="equal">
      <formula>"מנוחה"</formula>
    </cfRule>
    <cfRule type="cellIs" dxfId="3972" priority="667" operator="equal">
      <formula>"ח"</formula>
    </cfRule>
    <cfRule type="cellIs" dxfId="3971" priority="668" operator="equal">
      <formula>"כש"</formula>
    </cfRule>
    <cfRule type="cellIs" dxfId="3970" priority="669" operator="equal">
      <formula>"כ"</formula>
    </cfRule>
    <cfRule type="cellIs" dxfId="3969" priority="666" operator="equal">
      <formula>"מיל"</formula>
    </cfRule>
    <cfRule type="cellIs" dxfId="3968" priority="659" operator="equal">
      <formula>"ל"</formula>
    </cfRule>
  </conditionalFormatting>
  <conditionalFormatting sqref="BR5">
    <cfRule type="cellIs" dxfId="3967" priority="1483" stopIfTrue="1" operator="equal">
      <formula>"ח"</formula>
    </cfRule>
  </conditionalFormatting>
  <conditionalFormatting sqref="BR6:BR7">
    <cfRule type="cellIs" dxfId="3966" priority="274" operator="equal">
      <formula>"ח"</formula>
    </cfRule>
  </conditionalFormatting>
  <conditionalFormatting sqref="BR6:BR28 BR30:BR34">
    <cfRule type="cellIs" dxfId="3965" priority="1516" operator="equal">
      <formula>"ח"</formula>
    </cfRule>
  </conditionalFormatting>
  <conditionalFormatting sqref="BR10:BR11">
    <cfRule type="cellIs" dxfId="3964" priority="254" operator="equal">
      <formula>"ח"</formula>
    </cfRule>
  </conditionalFormatting>
  <conditionalFormatting sqref="BR14:BR15">
    <cfRule type="cellIs" dxfId="3963" priority="234" operator="equal">
      <formula>"ח"</formula>
    </cfRule>
  </conditionalFormatting>
  <conditionalFormatting sqref="BR18:BR19">
    <cfRule type="cellIs" dxfId="3962" priority="214" operator="equal">
      <formula>"ח"</formula>
    </cfRule>
  </conditionalFormatting>
  <conditionalFormatting sqref="BR22:BR23">
    <cfRule type="cellIs" dxfId="3961" priority="194" operator="equal">
      <formula>"ח"</formula>
    </cfRule>
  </conditionalFormatting>
  <conditionalFormatting sqref="BR26:BR27">
    <cfRule type="cellIs" dxfId="3960" priority="176" operator="equal">
      <formula>"ח"</formula>
    </cfRule>
  </conditionalFormatting>
  <conditionalFormatting sqref="BR30:BR31">
    <cfRule type="cellIs" dxfId="3959" priority="158" operator="equal">
      <formula>"ח"</formula>
    </cfRule>
  </conditionalFormatting>
  <conditionalFormatting sqref="BR34">
    <cfRule type="cellIs" dxfId="3958" priority="1" operator="equal">
      <formula>"ח"</formula>
    </cfRule>
  </conditionalFormatting>
  <conditionalFormatting sqref="BR5:BS28">
    <cfRule type="cellIs" dxfId="3957" priority="1484" operator="equal">
      <formula>"כש"</formula>
    </cfRule>
    <cfRule type="cellIs" dxfId="3956" priority="1485" operator="equal">
      <formula>"כ"</formula>
    </cfRule>
  </conditionalFormatting>
  <conditionalFormatting sqref="BT5">
    <cfRule type="cellIs" dxfId="3955" priority="1362" stopIfTrue="1" operator="equal">
      <formula>"ח"</formula>
    </cfRule>
  </conditionalFormatting>
  <conditionalFormatting sqref="BT6:BT7">
    <cfRule type="cellIs" dxfId="3954" priority="277" operator="equal">
      <formula>"ח"</formula>
    </cfRule>
  </conditionalFormatting>
  <conditionalFormatting sqref="BT6:BT34">
    <cfRule type="cellIs" dxfId="3953" priority="1395" operator="equal">
      <formula>"ח"</formula>
    </cfRule>
  </conditionalFormatting>
  <conditionalFormatting sqref="BT10:BT11">
    <cfRule type="cellIs" dxfId="3952" priority="257" operator="equal">
      <formula>"ח"</formula>
    </cfRule>
  </conditionalFormatting>
  <conditionalFormatting sqref="BT14:BT15">
    <cfRule type="cellIs" dxfId="3951" priority="237" operator="equal">
      <formula>"ח"</formula>
    </cfRule>
  </conditionalFormatting>
  <conditionalFormatting sqref="BT18:BT19">
    <cfRule type="cellIs" dxfId="3950" priority="217" operator="equal">
      <formula>"ח"</formula>
    </cfRule>
  </conditionalFormatting>
  <conditionalFormatting sqref="BT22:BT23">
    <cfRule type="cellIs" dxfId="3949" priority="197" operator="equal">
      <formula>"ח"</formula>
    </cfRule>
  </conditionalFormatting>
  <conditionalFormatting sqref="BT26:BT27">
    <cfRule type="cellIs" dxfId="3948" priority="179" operator="equal">
      <formula>"ח"</formula>
    </cfRule>
  </conditionalFormatting>
  <conditionalFormatting sqref="BT30:BT31">
    <cfRule type="cellIs" dxfId="3947" priority="161" operator="equal">
      <formula>"ח"</formula>
    </cfRule>
  </conditionalFormatting>
  <conditionalFormatting sqref="BT34">
    <cfRule type="cellIs" dxfId="3946" priority="4" operator="equal">
      <formula>"ח"</formula>
    </cfRule>
  </conditionalFormatting>
  <conditionalFormatting sqref="BT5:BW28 BT28:BU29">
    <cfRule type="cellIs" dxfId="3945" priority="1363" operator="equal">
      <formula>"כש"</formula>
    </cfRule>
    <cfRule type="cellIs" dxfId="3944" priority="1364" operator="equal">
      <formula>"כ"</formula>
    </cfRule>
  </conditionalFormatting>
  <conditionalFormatting sqref="BV7:BV8">
    <cfRule type="cellIs" dxfId="3943" priority="144" operator="equal">
      <formula>"ח"</formula>
    </cfRule>
  </conditionalFormatting>
  <conditionalFormatting sqref="BV11:BV12">
    <cfRule type="cellIs" dxfId="3942" priority="124" operator="equal">
      <formula>"ח"</formula>
    </cfRule>
  </conditionalFormatting>
  <conditionalFormatting sqref="BV15:BV16">
    <cfRule type="cellIs" dxfId="3941" priority="104" operator="equal">
      <formula>"ח"</formula>
    </cfRule>
  </conditionalFormatting>
  <conditionalFormatting sqref="BV19:BV20">
    <cfRule type="cellIs" dxfId="3940" priority="84" operator="equal">
      <formula>"ח"</formula>
    </cfRule>
  </conditionalFormatting>
  <conditionalFormatting sqref="BV23:BV24">
    <cfRule type="cellIs" dxfId="3939" priority="64" operator="equal">
      <formula>"ח"</formula>
    </cfRule>
  </conditionalFormatting>
  <conditionalFormatting sqref="BV27:BV28">
    <cfRule type="cellIs" dxfId="3938" priority="44" operator="equal">
      <formula>"ח"</formula>
    </cfRule>
  </conditionalFormatting>
  <conditionalFormatting sqref="BV31:BV32">
    <cfRule type="cellIs" dxfId="3937" priority="24" operator="equal">
      <formula>"ח"</formula>
    </cfRule>
  </conditionalFormatting>
  <conditionalFormatting sqref="BV7:CB8">
    <cfRule type="cellIs" dxfId="3936" priority="153" operator="equal">
      <formula>"כ"</formula>
    </cfRule>
    <cfRule type="cellIs" dxfId="3935" priority="152" operator="equal">
      <formula>"כש"</formula>
    </cfRule>
  </conditionalFormatting>
  <conditionalFormatting sqref="BV11:CB12">
    <cfRule type="cellIs" dxfId="3934" priority="133" operator="equal">
      <formula>"כ"</formula>
    </cfRule>
    <cfRule type="cellIs" dxfId="3933" priority="132" operator="equal">
      <formula>"כש"</formula>
    </cfRule>
  </conditionalFormatting>
  <conditionalFormatting sqref="BV15:CB16">
    <cfRule type="cellIs" dxfId="3932" priority="113" operator="equal">
      <formula>"כ"</formula>
    </cfRule>
    <cfRule type="cellIs" dxfId="3931" priority="112" operator="equal">
      <formula>"כש"</formula>
    </cfRule>
  </conditionalFormatting>
  <conditionalFormatting sqref="BV19:CB20">
    <cfRule type="cellIs" dxfId="3930" priority="92" operator="equal">
      <formula>"כש"</formula>
    </cfRule>
    <cfRule type="cellIs" dxfId="3929" priority="93" operator="equal">
      <formula>"כ"</formula>
    </cfRule>
  </conditionalFormatting>
  <conditionalFormatting sqref="BV23:CB24">
    <cfRule type="cellIs" dxfId="3928" priority="72" operator="equal">
      <formula>"כש"</formula>
    </cfRule>
    <cfRule type="cellIs" dxfId="3927" priority="73" operator="equal">
      <formula>"כ"</formula>
    </cfRule>
  </conditionalFormatting>
  <conditionalFormatting sqref="BV27:CB28">
    <cfRule type="cellIs" dxfId="3926" priority="53" operator="equal">
      <formula>"כ"</formula>
    </cfRule>
    <cfRule type="cellIs" dxfId="3925" priority="52" operator="equal">
      <formula>"כש"</formula>
    </cfRule>
  </conditionalFormatting>
  <conditionalFormatting sqref="BV31:CB32">
    <cfRule type="cellIs" dxfId="3924" priority="32" operator="equal">
      <formula>"כש"</formula>
    </cfRule>
    <cfRule type="cellIs" dxfId="3923" priority="33" operator="equal">
      <formula>"כ"</formula>
    </cfRule>
  </conditionalFormatting>
  <conditionalFormatting sqref="BX5:BX28 BX30:BX34">
    <cfRule type="cellIs" dxfId="3922" priority="1274" operator="equal">
      <formula>"ח"</formula>
    </cfRule>
  </conditionalFormatting>
  <conditionalFormatting sqref="BX7:BX8">
    <cfRule type="cellIs" dxfId="3921" priority="143" operator="equal">
      <formula>"ח"</formula>
    </cfRule>
  </conditionalFormatting>
  <conditionalFormatting sqref="BX11:BX12">
    <cfRule type="cellIs" dxfId="3920" priority="123" operator="equal">
      <formula>"ח"</formula>
    </cfRule>
  </conditionalFormatting>
  <conditionalFormatting sqref="BX15:BX16">
    <cfRule type="cellIs" dxfId="3919" priority="103" operator="equal">
      <formula>"ח"</formula>
    </cfRule>
  </conditionalFormatting>
  <conditionalFormatting sqref="BX19:BX20">
    <cfRule type="cellIs" dxfId="3918" priority="83" operator="equal">
      <formula>"ח"</formula>
    </cfRule>
  </conditionalFormatting>
  <conditionalFormatting sqref="BX23:BX24">
    <cfRule type="cellIs" dxfId="3917" priority="63" operator="equal">
      <formula>"ח"</formula>
    </cfRule>
  </conditionalFormatting>
  <conditionalFormatting sqref="BX27:BX28">
    <cfRule type="cellIs" dxfId="3916" priority="43" operator="equal">
      <formula>"ח"</formula>
    </cfRule>
  </conditionalFormatting>
  <conditionalFormatting sqref="BX31:BX32">
    <cfRule type="cellIs" dxfId="3915" priority="23" operator="equal">
      <formula>"ח"</formula>
    </cfRule>
  </conditionalFormatting>
  <conditionalFormatting sqref="BX5:CB28">
    <cfRule type="cellIs" dxfId="3914" priority="1012" operator="equal">
      <formula>"כ"</formula>
    </cfRule>
    <cfRule type="cellIs" dxfId="3913" priority="1011" operator="equal">
      <formula>"כש"</formula>
    </cfRule>
  </conditionalFormatting>
  <conditionalFormatting sqref="BZ5:BZ28 BZ30:BZ34">
    <cfRule type="cellIs" dxfId="3912" priority="1142" operator="equal">
      <formula>"ח"</formula>
    </cfRule>
  </conditionalFormatting>
  <conditionalFormatting sqref="BZ7:BZ8">
    <cfRule type="cellIs" dxfId="3911" priority="138" operator="equal">
      <formula>"ח"</formula>
    </cfRule>
  </conditionalFormatting>
  <conditionalFormatting sqref="BZ11:BZ12">
    <cfRule type="cellIs" dxfId="3910" priority="118" operator="equal">
      <formula>"ח"</formula>
    </cfRule>
  </conditionalFormatting>
  <conditionalFormatting sqref="BZ15:BZ16">
    <cfRule type="cellIs" dxfId="3909" priority="98" operator="equal">
      <formula>"ח"</formula>
    </cfRule>
  </conditionalFormatting>
  <conditionalFormatting sqref="BZ19:BZ20">
    <cfRule type="cellIs" dxfId="3908" priority="78" operator="equal">
      <formula>"ח"</formula>
    </cfRule>
  </conditionalFormatting>
  <conditionalFormatting sqref="BZ23:BZ24">
    <cfRule type="cellIs" dxfId="3907" priority="58" operator="equal">
      <formula>"ח"</formula>
    </cfRule>
  </conditionalFormatting>
  <conditionalFormatting sqref="BZ27:BZ28">
    <cfRule type="cellIs" dxfId="3906" priority="38" operator="equal">
      <formula>"ח"</formula>
    </cfRule>
  </conditionalFormatting>
  <conditionalFormatting sqref="BZ31:BZ32">
    <cfRule type="cellIs" dxfId="3905" priority="18" operator="equal">
      <formula>"ח"</formula>
    </cfRule>
  </conditionalFormatting>
  <conditionalFormatting sqref="CB5:CB28 CB30:CB34">
    <cfRule type="cellIs" dxfId="3904" priority="1010" operator="equal">
      <formula>"ח"</formula>
    </cfRule>
  </conditionalFormatting>
  <conditionalFormatting sqref="CB7:CB8">
    <cfRule type="cellIs" dxfId="3903" priority="141" operator="equal">
      <formula>"ח"</formula>
    </cfRule>
  </conditionalFormatting>
  <conditionalFormatting sqref="CB11:CB12">
    <cfRule type="cellIs" dxfId="3902" priority="121" operator="equal">
      <formula>"ח"</formula>
    </cfRule>
  </conditionalFormatting>
  <conditionalFormatting sqref="CB15:CB16">
    <cfRule type="cellIs" dxfId="3901" priority="101" operator="equal">
      <formula>"ח"</formula>
    </cfRule>
  </conditionalFormatting>
  <conditionalFormatting sqref="CB19:CB20">
    <cfRule type="cellIs" dxfId="3900" priority="81" operator="equal">
      <formula>"ח"</formula>
    </cfRule>
  </conditionalFormatting>
  <conditionalFormatting sqref="CB23:CB24">
    <cfRule type="cellIs" dxfId="3899" priority="61" operator="equal">
      <formula>"ח"</formula>
    </cfRule>
  </conditionalFormatting>
  <conditionalFormatting sqref="CB27:CB28">
    <cfRule type="cellIs" dxfId="3898" priority="41" operator="equal">
      <formula>"ח"</formula>
    </cfRule>
  </conditionalFormatting>
  <conditionalFormatting sqref="CB31:CB32">
    <cfRule type="cellIs" dxfId="3897" priority="21" operator="equal">
      <formula>"ח"</formula>
    </cfRule>
  </conditionalFormatting>
  <conditionalFormatting sqref="CC1:CE4">
    <cfRule type="cellIs" dxfId="3896" priority="588" operator="equal">
      <formula>"מנוחה"</formula>
    </cfRule>
    <cfRule type="cellIs" dxfId="3895" priority="589" operator="equal">
      <formula>"מיל"</formula>
    </cfRule>
    <cfRule type="cellIs" dxfId="3894" priority="590" operator="equal">
      <formula>"ח"</formula>
    </cfRule>
    <cfRule type="cellIs" dxfId="3893" priority="591" operator="equal">
      <formula>"כש"</formula>
    </cfRule>
    <cfRule type="cellIs" dxfId="3892" priority="582" operator="equal">
      <formula>"ל"</formula>
    </cfRule>
    <cfRule type="cellIs" dxfId="3891" priority="583" operator="equal">
      <formula>"י"</formula>
    </cfRule>
    <cfRule type="cellIs" dxfId="3890" priority="592" operator="equal">
      <formula>"כ"</formula>
    </cfRule>
    <cfRule type="cellIs" dxfId="3889" priority="584" operator="equal">
      <formula>"כמש"</formula>
    </cfRule>
    <cfRule type="cellIs" dxfId="3888" priority="585" operator="equal">
      <formula>"כמ"</formula>
    </cfRule>
    <cfRule type="cellIs" dxfId="3887" priority="587" operator="equal">
      <formula>"מ"</formula>
    </cfRule>
    <cfRule type="cellIs" dxfId="3886" priority="586" operator="equal">
      <formula>"ק"</formula>
    </cfRule>
  </conditionalFormatting>
  <conditionalFormatting sqref="CE5 AW5:CD34">
    <cfRule type="cellIs" dxfId="3885" priority="539" operator="equal">
      <formula>"י"</formula>
    </cfRule>
    <cfRule type="cellIs" dxfId="3884" priority="540" operator="equal">
      <formula>"כמש"</formula>
    </cfRule>
    <cfRule type="cellIs" dxfId="3883" priority="541" operator="equal">
      <formula>"כמ"</formula>
    </cfRule>
    <cfRule type="cellIs" dxfId="3882" priority="542" operator="equal">
      <formula>"ק"</formula>
    </cfRule>
    <cfRule type="cellIs" dxfId="3881" priority="543" operator="equal">
      <formula>"מ"</formula>
    </cfRule>
    <cfRule type="cellIs" dxfId="3880" priority="545" operator="equal">
      <formula>"מיל"</formula>
    </cfRule>
    <cfRule type="cellIs" dxfId="3879" priority="538" operator="equal">
      <formula>"ל"</formula>
    </cfRule>
    <cfRule type="cellIs" dxfId="3878" priority="544" operator="equal">
      <formula>"מנוחה"</formula>
    </cfRule>
  </conditionalFormatting>
  <conditionalFormatting sqref="CE5 CC5:CD34">
    <cfRule type="cellIs" dxfId="3877" priority="546" operator="equal">
      <formula>"ח"</formula>
    </cfRule>
    <cfRule type="cellIs" dxfId="3876" priority="548" operator="equal">
      <formula>"כ"</formula>
    </cfRule>
    <cfRule type="cellIs" dxfId="3875" priority="547" operator="equal">
      <formula>"כש"</formula>
    </cfRule>
  </conditionalFormatting>
  <conditionalFormatting sqref="CF5:CG34">
    <cfRule type="cellIs" dxfId="3874" priority="3172" operator="lessThan">
      <formula>4</formula>
    </cfRule>
  </conditionalFormatting>
  <hyperlinks>
    <hyperlink ref="X4:Y4" r:id="rId13" tooltip="עדכון במייל" display="עדכון במייל" xr:uid="{00000000-0004-0000-0800-000000000000}"/>
  </hyperlinks>
  <pageMargins left="0.7" right="0.7" top="0.75" bottom="0.75" header="0.3" footer="0.3"/>
  <pageSetup paperSize="9" orientation="portrait" r:id="rId14"/>
  <legacyDrawing r:id="rId15"/>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800-000000000000}">
          <x14:formula1>
            <xm:f>מיילים!$M$2:$M$40</xm:f>
          </x14:formula1>
          <xm:sqref>X3:AO3</xm:sqref>
        </x14:dataValidation>
        <x14:dataValidation type="list" allowBlank="1" showInputMessage="1" xr:uid="{00000000-0002-0000-0800-000001000000}">
          <x14:formula1>
            <xm:f>מקרא!$B$5:$B$60</xm:f>
          </x14:formula1>
          <xm:sqref>AH8:AO9 Z8:AF9 Z17:AO17 Z19:AF20 Z21:AO21 Z22:AF23 Z5:AF6 AH5:AO6 AI18:AO18 AH22:AO23 Z7:AO7 AH26:AO34 AI24:AO25 AH19:AH20 AJ19:AO20 Z12:AF16 AH12:AO16 R14:X15 AW5:BM34 BU5:CB34 BS5 BO5 BQ5 BN6:BT34 AD5:AE9 D5:X9 D14:P15 D12:X13 AD12:AE17 D16:X17 AD19:AE23 D19:X23 D24:AF25 D10:AO11 Z26:AF34 D26:X34 D18:AF18</xm:sqref>
        </x14:dataValidation>
        <x14:dataValidation type="list" allowBlank="1" showInputMessage="1" showErrorMessage="1" xr:uid="{00000000-0002-0000-0800-000002000000}">
          <x14:formula1>
            <xm:f>מקרא!$B$5:$B$60</xm:f>
          </x14:formula1>
          <xm:sqref>BP5 BR5 BN5 BT5</xm:sqref>
        </x14:dataValidation>
        <x14:dataValidation type="list" allowBlank="1" showInputMessage="1" showErrorMessage="1" xr:uid="{00000000-0002-0000-0800-000003000000}">
          <x14:formula1>
            <xm:f>מיילים!$M$2:$M$36</xm:f>
          </x14:formula1>
          <xm:sqref>T3:U3</xm:sqref>
        </x14:dataValidation>
        <x14:dataValidation type="list" allowBlank="1" showInputMessage="1" showErrorMessage="1" xr:uid="{00000000-0002-0000-0800-000004000000}">
          <x14:formula1>
            <xm:f>מיילים!$M$3:$M$37</xm:f>
          </x14:formula1>
          <xm:sqref>R3:S3 V3:W3</xm:sqref>
        </x14:dataValidation>
        <x14:dataValidation type="list" allowBlank="1" showInputMessage="1" showErrorMessage="1" xr:uid="{00000000-0002-0000-0800-000005000000}">
          <x14:formula1>
            <xm:f>מיילים!$M$2:$M$31</xm:f>
          </x14:formula1>
          <xm:sqref>P3:Q3 AW3:AZ3 BS3:CA3 BE3:BO3 AD3:AE3 D3:N3</xm:sqref>
        </x14:dataValidation>
        <x14:dataValidation type="list" allowBlank="1" showInputMessage="1" showErrorMessage="1" xr:uid="{00000000-0002-0000-0800-000006000000}">
          <x14:formula1>
            <xm:f>מיילים!$M$2:$M$38</xm:f>
          </x14:formula1>
          <xm:sqref>BQ3:BR3 BC3</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K39"/>
  <sheetViews>
    <sheetView rightToLeft="1" zoomScale="80" zoomScaleNormal="80" workbookViewId="0">
      <pane ySplit="4" topLeftCell="A5" activePane="bottomLeft" state="frozen"/>
      <selection pane="bottomLeft" activeCell="D5" sqref="D5"/>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29" width="4.625" style="1" customWidth="1"/>
    <col min="30" max="30" width="8.625" style="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295</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581" t="s">
        <v>247</v>
      </c>
      <c r="AU1" s="338"/>
      <c r="AV1" s="339"/>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581" t="s">
        <v>247</v>
      </c>
      <c r="CD1" s="338"/>
      <c r="CE1" s="339"/>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40"/>
      <c r="CD2" s="341"/>
      <c r="CE2" s="342"/>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390"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5"/>
      <c r="BO3" s="533" t="s">
        <v>21</v>
      </c>
      <c r="BP3" s="534"/>
      <c r="BQ3" s="533" t="s">
        <v>23</v>
      </c>
      <c r="BR3" s="534"/>
      <c r="BS3" s="535" t="s">
        <v>28</v>
      </c>
      <c r="BT3" s="536"/>
      <c r="BU3" s="393"/>
      <c r="BV3" s="394"/>
      <c r="BW3" s="395" t="s">
        <v>30</v>
      </c>
      <c r="BX3" s="395"/>
      <c r="BY3" s="395" t="s">
        <v>31</v>
      </c>
      <c r="BZ3" s="395"/>
      <c r="CA3" s="396" t="s">
        <v>227</v>
      </c>
      <c r="CB3" s="397"/>
      <c r="CC3" s="340"/>
      <c r="CD3" s="341"/>
      <c r="CE3" s="342"/>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384"/>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2"/>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43"/>
      <c r="CD4" s="344"/>
      <c r="CE4" s="342"/>
      <c r="CF4" s="24" t="s">
        <v>38</v>
      </c>
      <c r="CG4" s="23" t="s">
        <v>39</v>
      </c>
      <c r="CH4" s="95" t="s">
        <v>36</v>
      </c>
      <c r="CI4" s="95" t="s">
        <v>37</v>
      </c>
      <c r="CJ4" s="412"/>
      <c r="CK4" s="413"/>
    </row>
    <row r="5" spans="1:89" ht="15" customHeight="1">
      <c r="A5" s="142">
        <v>1</v>
      </c>
      <c r="B5" s="151" t="s">
        <v>129</v>
      </c>
      <c r="C5" s="506">
        <v>39</v>
      </c>
      <c r="D5" s="84"/>
      <c r="E5" s="80"/>
      <c r="F5" s="84"/>
      <c r="G5" s="80"/>
      <c r="H5" s="133"/>
      <c r="I5" s="80"/>
      <c r="J5" s="84"/>
      <c r="K5" s="80"/>
      <c r="L5" s="133"/>
      <c r="M5" s="80"/>
      <c r="N5" s="84"/>
      <c r="O5" s="87"/>
      <c r="P5" s="84"/>
      <c r="Q5" s="80"/>
      <c r="R5" s="133"/>
      <c r="S5" s="80"/>
      <c r="T5" s="133"/>
      <c r="U5" s="80"/>
      <c r="V5" s="133"/>
      <c r="W5" s="80"/>
      <c r="X5" s="97"/>
      <c r="Y5" s="80"/>
      <c r="Z5" s="84"/>
      <c r="AA5" s="80"/>
      <c r="AB5" s="84"/>
      <c r="AC5" s="80"/>
      <c r="AD5" s="97"/>
      <c r="AE5" s="80"/>
      <c r="AF5" s="84"/>
      <c r="AG5" s="80"/>
      <c r="AH5" s="84"/>
      <c r="AI5" s="80"/>
      <c r="AJ5" s="84"/>
      <c r="AK5" s="80"/>
      <c r="AL5" s="84"/>
      <c r="AM5" s="80"/>
      <c r="AN5" s="84"/>
      <c r="AO5" s="80"/>
      <c r="AP5" s="509" t="s">
        <v>264</v>
      </c>
      <c r="AQ5" s="510"/>
      <c r="AR5" s="33"/>
      <c r="AS5" s="34"/>
      <c r="AT5" s="142">
        <v>1</v>
      </c>
      <c r="AU5" s="151" t="s">
        <v>129</v>
      </c>
      <c r="AV5" s="506">
        <v>40</v>
      </c>
      <c r="AW5" s="84"/>
      <c r="AX5" s="67"/>
      <c r="AY5" s="69"/>
      <c r="AZ5" s="67"/>
      <c r="BA5" s="69"/>
      <c r="BB5" s="69"/>
      <c r="BC5" s="87"/>
      <c r="BD5" s="67"/>
      <c r="BE5" s="84"/>
      <c r="BF5" s="67"/>
      <c r="BG5" s="69"/>
      <c r="BH5" s="67"/>
      <c r="BI5" s="69"/>
      <c r="BJ5" s="69"/>
      <c r="BK5" s="87"/>
      <c r="BL5" s="67"/>
      <c r="BM5" s="37"/>
      <c r="BN5" s="262" t="s">
        <v>41</v>
      </c>
      <c r="BO5" s="72"/>
      <c r="BP5" s="74" t="s">
        <v>34</v>
      </c>
      <c r="BQ5" s="72"/>
      <c r="BR5" s="74" t="s">
        <v>34</v>
      </c>
      <c r="BS5" s="78"/>
      <c r="BT5" s="74" t="s">
        <v>34</v>
      </c>
      <c r="BU5" s="96"/>
      <c r="BV5" s="67"/>
      <c r="BW5" s="69"/>
      <c r="BX5" s="67" t="s">
        <v>33</v>
      </c>
      <c r="BY5" s="69"/>
      <c r="BZ5" s="139" t="s">
        <v>33</v>
      </c>
      <c r="CA5" s="97"/>
      <c r="CB5" s="67" t="s">
        <v>33</v>
      </c>
      <c r="CC5" s="142">
        <v>1</v>
      </c>
      <c r="CD5" s="151" t="s">
        <v>129</v>
      </c>
      <c r="CE5" s="506">
        <v>39</v>
      </c>
      <c r="CF5" s="311">
        <f t="shared" ref="CF5:CF35" si="0">COUNTIF(AX5:CB5,"י")+COUNTIF(AX5:CB5,"Y")+COUNTIF(AX5:CB5,"2")</f>
        <v>3</v>
      </c>
      <c r="CG5" s="76">
        <f t="shared" ref="CG5:CG35" si="1">COUNTIF(AW5:CB5,"ל")+COUNTIF(AW5:CB5,"L")+COUNTIF(AW5:CB5,"ל2")</f>
        <v>3</v>
      </c>
      <c r="CH5" s="93"/>
      <c r="CI5" s="94"/>
      <c r="CJ5" s="449"/>
      <c r="CK5" s="450"/>
    </row>
    <row r="6" spans="1:89" ht="15" customHeight="1">
      <c r="A6" s="22">
        <v>2</v>
      </c>
      <c r="B6" s="13" t="s">
        <v>130</v>
      </c>
      <c r="C6" s="507"/>
      <c r="D6" s="16"/>
      <c r="E6" s="17"/>
      <c r="F6" s="16"/>
      <c r="G6" s="17"/>
      <c r="H6" s="16"/>
      <c r="I6" s="17"/>
      <c r="J6" s="16"/>
      <c r="K6" s="17"/>
      <c r="L6" s="16"/>
      <c r="M6" s="17"/>
      <c r="N6" s="16"/>
      <c r="O6" s="59"/>
      <c r="P6" s="16"/>
      <c r="Q6" s="17"/>
      <c r="R6" s="18"/>
      <c r="S6" s="17"/>
      <c r="T6" s="18"/>
      <c r="U6" s="17"/>
      <c r="V6" s="18"/>
      <c r="W6" s="17"/>
      <c r="X6" s="18"/>
      <c r="Y6" s="82"/>
      <c r="Z6" s="16"/>
      <c r="AA6" s="17"/>
      <c r="AB6" s="16"/>
      <c r="AC6" s="82"/>
      <c r="AD6" s="18"/>
      <c r="AE6" s="17"/>
      <c r="AF6" s="16"/>
      <c r="AG6" s="82"/>
      <c r="AH6" s="16"/>
      <c r="AI6" s="17"/>
      <c r="AJ6" s="16"/>
      <c r="AK6" s="17"/>
      <c r="AL6" s="16"/>
      <c r="AM6" s="17"/>
      <c r="AN6" s="16"/>
      <c r="AO6" s="17"/>
      <c r="AP6" s="525" t="s">
        <v>264</v>
      </c>
      <c r="AQ6" s="526"/>
      <c r="AR6" s="104"/>
      <c r="AS6" s="105"/>
      <c r="AT6" s="22">
        <v>2</v>
      </c>
      <c r="AU6" s="13" t="s">
        <v>130</v>
      </c>
      <c r="AV6" s="507"/>
      <c r="AW6" s="16"/>
      <c r="AX6" s="66" t="s">
        <v>33</v>
      </c>
      <c r="AY6" s="68"/>
      <c r="AZ6" s="66" t="s">
        <v>33</v>
      </c>
      <c r="BA6" s="68"/>
      <c r="BB6" s="73" t="s">
        <v>33</v>
      </c>
      <c r="BC6" s="83"/>
      <c r="BD6" s="66" t="s">
        <v>33</v>
      </c>
      <c r="BE6" s="16"/>
      <c r="BF6" s="71"/>
      <c r="BG6" s="73"/>
      <c r="BH6" s="71"/>
      <c r="BI6" s="73"/>
      <c r="BJ6" s="73"/>
      <c r="BK6" s="59"/>
      <c r="BL6" s="71"/>
      <c r="BM6" s="38"/>
      <c r="BN6" s="263" t="s">
        <v>61</v>
      </c>
      <c r="BO6" s="73"/>
      <c r="BP6" s="71"/>
      <c r="BQ6" s="73"/>
      <c r="BR6" s="73"/>
      <c r="BS6" s="18"/>
      <c r="BT6" s="71"/>
      <c r="BU6" s="108"/>
      <c r="BV6" s="75"/>
      <c r="BW6" s="68"/>
      <c r="BX6" s="75" t="s">
        <v>34</v>
      </c>
      <c r="BY6" s="68"/>
      <c r="BZ6" s="75" t="s">
        <v>34</v>
      </c>
      <c r="CA6" s="83"/>
      <c r="CB6" s="75" t="s">
        <v>34</v>
      </c>
      <c r="CC6" s="22">
        <v>2</v>
      </c>
      <c r="CD6" s="13" t="s">
        <v>130</v>
      </c>
      <c r="CE6" s="507"/>
      <c r="CF6" s="311">
        <f t="shared" si="0"/>
        <v>4</v>
      </c>
      <c r="CG6" s="76">
        <f t="shared" si="1"/>
        <v>3</v>
      </c>
      <c r="CH6" s="27"/>
      <c r="CI6" s="28"/>
      <c r="CJ6" s="449"/>
      <c r="CK6" s="450"/>
    </row>
    <row r="7" spans="1:89" ht="15" customHeight="1">
      <c r="A7" s="22">
        <v>3</v>
      </c>
      <c r="B7" s="13" t="s">
        <v>131</v>
      </c>
      <c r="C7" s="508"/>
      <c r="D7" s="16"/>
      <c r="E7" s="17"/>
      <c r="F7" s="16"/>
      <c r="G7" s="17"/>
      <c r="H7" s="109"/>
      <c r="I7" s="17"/>
      <c r="J7" s="16"/>
      <c r="K7" s="17"/>
      <c r="L7" s="109"/>
      <c r="M7" s="17"/>
      <c r="N7" s="16"/>
      <c r="O7" s="59"/>
      <c r="P7" s="16"/>
      <c r="Q7" s="17"/>
      <c r="R7" s="109"/>
      <c r="S7" s="17"/>
      <c r="T7" s="109"/>
      <c r="U7" s="17"/>
      <c r="V7" s="109"/>
      <c r="W7" s="17"/>
      <c r="X7" s="18"/>
      <c r="Y7" s="82"/>
      <c r="Z7" s="16"/>
      <c r="AA7" s="17"/>
      <c r="AB7" s="16"/>
      <c r="AC7" s="82"/>
      <c r="AD7" s="18"/>
      <c r="AE7" s="17"/>
      <c r="AF7" s="16"/>
      <c r="AG7" s="82"/>
      <c r="AH7" s="16"/>
      <c r="AI7" s="17"/>
      <c r="AJ7" s="16"/>
      <c r="AK7" s="17"/>
      <c r="AL7" s="16"/>
      <c r="AM7" s="17"/>
      <c r="AN7" s="16"/>
      <c r="AO7" s="17"/>
      <c r="AP7" s="525" t="s">
        <v>265</v>
      </c>
      <c r="AQ7" s="526"/>
      <c r="AR7" s="104"/>
      <c r="AS7" s="105"/>
      <c r="AT7" s="22">
        <v>3</v>
      </c>
      <c r="AU7" s="13" t="s">
        <v>131</v>
      </c>
      <c r="AV7" s="508"/>
      <c r="AW7" s="16"/>
      <c r="AX7" s="75" t="s">
        <v>34</v>
      </c>
      <c r="AY7" s="68"/>
      <c r="AZ7" s="75" t="s">
        <v>34</v>
      </c>
      <c r="BA7" s="68"/>
      <c r="BB7" s="75" t="s">
        <v>34</v>
      </c>
      <c r="BC7" s="83"/>
      <c r="BD7" s="75" t="s">
        <v>34</v>
      </c>
      <c r="BE7" s="16"/>
      <c r="BF7" s="66" t="s">
        <v>33</v>
      </c>
      <c r="BG7" s="68"/>
      <c r="BH7" s="66" t="s">
        <v>33</v>
      </c>
      <c r="BI7" s="68"/>
      <c r="BJ7" s="73" t="s">
        <v>33</v>
      </c>
      <c r="BK7" s="83"/>
      <c r="BL7" s="66" t="s">
        <v>33</v>
      </c>
      <c r="BM7" s="38"/>
      <c r="BN7" s="263" t="s">
        <v>61</v>
      </c>
      <c r="BO7" s="73"/>
      <c r="BP7" s="71"/>
      <c r="BQ7" s="73"/>
      <c r="BR7" s="73"/>
      <c r="BS7" s="18"/>
      <c r="BT7" s="71"/>
      <c r="BU7" s="108"/>
      <c r="BV7" s="66"/>
      <c r="BW7" s="68"/>
      <c r="BX7" s="66"/>
      <c r="BY7" s="68"/>
      <c r="BZ7" s="68"/>
      <c r="CA7" s="83"/>
      <c r="CB7" s="66"/>
      <c r="CC7" s="22">
        <v>3</v>
      </c>
      <c r="CD7" s="13" t="s">
        <v>131</v>
      </c>
      <c r="CE7" s="508"/>
      <c r="CF7" s="311">
        <f t="shared" si="0"/>
        <v>4</v>
      </c>
      <c r="CG7" s="76">
        <f t="shared" si="1"/>
        <v>4</v>
      </c>
      <c r="CH7" s="27"/>
      <c r="CI7" s="28"/>
      <c r="CJ7" s="449"/>
      <c r="CK7" s="450"/>
    </row>
    <row r="8" spans="1:89" ht="15" customHeight="1">
      <c r="A8" s="142">
        <v>4</v>
      </c>
      <c r="B8" s="151" t="s">
        <v>132</v>
      </c>
      <c r="C8" s="506">
        <v>40</v>
      </c>
      <c r="D8" s="14"/>
      <c r="E8" s="65"/>
      <c r="F8" s="14"/>
      <c r="G8" s="65"/>
      <c r="H8" s="14"/>
      <c r="I8" s="65"/>
      <c r="J8" s="14"/>
      <c r="K8" s="65"/>
      <c r="L8" s="14"/>
      <c r="M8" s="65"/>
      <c r="N8" s="14"/>
      <c r="O8" s="58"/>
      <c r="P8" s="14"/>
      <c r="Q8" s="65"/>
      <c r="R8" s="15"/>
      <c r="S8" s="65"/>
      <c r="T8" s="15"/>
      <c r="U8" s="65"/>
      <c r="V8" s="15"/>
      <c r="W8" s="65"/>
      <c r="X8" s="15"/>
      <c r="Y8" s="80"/>
      <c r="Z8" s="14"/>
      <c r="AA8" s="65"/>
      <c r="AB8" s="14"/>
      <c r="AC8" s="80"/>
      <c r="AD8" s="15"/>
      <c r="AE8" s="65"/>
      <c r="AF8" s="14"/>
      <c r="AG8" s="80"/>
      <c r="AH8" s="14"/>
      <c r="AI8" s="65"/>
      <c r="AJ8" s="14"/>
      <c r="AK8" s="65"/>
      <c r="AL8" s="14"/>
      <c r="AM8" s="65"/>
      <c r="AN8" s="14"/>
      <c r="AO8" s="65"/>
      <c r="AP8" s="509"/>
      <c r="AQ8" s="510"/>
      <c r="AR8" s="33"/>
      <c r="AS8" s="34"/>
      <c r="AT8" s="142">
        <v>4</v>
      </c>
      <c r="AU8" s="151" t="s">
        <v>132</v>
      </c>
      <c r="AV8" s="506">
        <v>41</v>
      </c>
      <c r="AW8" s="14"/>
      <c r="AX8" s="70"/>
      <c r="AY8" s="72"/>
      <c r="AZ8" s="70"/>
      <c r="BA8" s="72"/>
      <c r="BB8" s="72"/>
      <c r="BC8" s="58"/>
      <c r="BD8" s="70"/>
      <c r="BE8" s="14"/>
      <c r="BF8" s="262" t="s">
        <v>34</v>
      </c>
      <c r="BG8" s="69"/>
      <c r="BH8" s="74" t="s">
        <v>34</v>
      </c>
      <c r="BI8" s="69"/>
      <c r="BJ8" s="74" t="s">
        <v>34</v>
      </c>
      <c r="BK8" s="97"/>
      <c r="BL8" s="74" t="s">
        <v>34</v>
      </c>
      <c r="BM8" s="37"/>
      <c r="BN8" s="262" t="s">
        <v>41</v>
      </c>
      <c r="BO8" s="69"/>
      <c r="BP8" s="67" t="s">
        <v>33</v>
      </c>
      <c r="BQ8" s="69"/>
      <c r="BR8" s="72" t="s">
        <v>33</v>
      </c>
      <c r="BS8" s="97"/>
      <c r="BT8" s="67" t="s">
        <v>33</v>
      </c>
      <c r="BU8" s="96"/>
      <c r="BV8" s="67"/>
      <c r="BW8" s="69"/>
      <c r="BX8" s="67"/>
      <c r="BY8" s="69"/>
      <c r="BZ8" s="69"/>
      <c r="CA8" s="97"/>
      <c r="CB8" s="67"/>
      <c r="CC8" s="142">
        <v>4</v>
      </c>
      <c r="CD8" s="151" t="s">
        <v>132</v>
      </c>
      <c r="CE8" s="506">
        <v>40</v>
      </c>
      <c r="CF8" s="311">
        <f t="shared" si="0"/>
        <v>3</v>
      </c>
      <c r="CG8" s="76">
        <f t="shared" si="1"/>
        <v>4</v>
      </c>
      <c r="CH8" s="27"/>
      <c r="CI8" s="28"/>
      <c r="CJ8" s="449"/>
      <c r="CK8" s="450"/>
    </row>
    <row r="9" spans="1:89" ht="15" customHeight="1">
      <c r="A9" s="142">
        <v>5</v>
      </c>
      <c r="B9" s="151" t="s">
        <v>133</v>
      </c>
      <c r="C9" s="507"/>
      <c r="D9" s="14"/>
      <c r="E9" s="65"/>
      <c r="F9" s="14"/>
      <c r="G9" s="65"/>
      <c r="H9" s="14"/>
      <c r="I9" s="65"/>
      <c r="J9" s="14"/>
      <c r="K9" s="65"/>
      <c r="L9" s="14"/>
      <c r="M9" s="65"/>
      <c r="N9" s="14"/>
      <c r="O9" s="58"/>
      <c r="P9" s="14"/>
      <c r="Q9" s="65"/>
      <c r="R9" s="15"/>
      <c r="S9" s="65"/>
      <c r="T9" s="15"/>
      <c r="U9" s="65"/>
      <c r="V9" s="15"/>
      <c r="W9" s="65"/>
      <c r="X9" s="15"/>
      <c r="Y9" s="80"/>
      <c r="Z9" s="14"/>
      <c r="AA9" s="65"/>
      <c r="AB9" s="14"/>
      <c r="AC9" s="80"/>
      <c r="AD9" s="15"/>
      <c r="AE9" s="65"/>
      <c r="AF9" s="14"/>
      <c r="AG9" s="80"/>
      <c r="AH9" s="14"/>
      <c r="AI9" s="65"/>
      <c r="AJ9" s="14"/>
      <c r="AK9" s="65"/>
      <c r="AL9" s="14"/>
      <c r="AM9" s="65"/>
      <c r="AN9" s="14"/>
      <c r="AO9" s="65"/>
      <c r="AP9" s="589" t="s">
        <v>277</v>
      </c>
      <c r="AQ9" s="590"/>
      <c r="AR9" s="33"/>
      <c r="AS9" s="34"/>
      <c r="AT9" s="142">
        <v>5</v>
      </c>
      <c r="AU9" s="151" t="s">
        <v>133</v>
      </c>
      <c r="AV9" s="507"/>
      <c r="AW9" s="14"/>
      <c r="AX9" s="70"/>
      <c r="AY9" s="72"/>
      <c r="AZ9" s="70"/>
      <c r="BA9" s="72"/>
      <c r="BB9" s="72"/>
      <c r="BC9" s="58"/>
      <c r="BD9" s="70"/>
      <c r="BE9" s="14"/>
      <c r="BF9" s="74"/>
      <c r="BG9" s="72"/>
      <c r="BH9" s="70"/>
      <c r="BI9" s="72"/>
      <c r="BJ9" s="72"/>
      <c r="BK9" s="58"/>
      <c r="BL9" s="70"/>
      <c r="BM9" s="37"/>
      <c r="BN9" s="262" t="s">
        <v>41</v>
      </c>
      <c r="BO9" s="69"/>
      <c r="BP9" s="74" t="s">
        <v>34</v>
      </c>
      <c r="BQ9" s="69"/>
      <c r="BR9" s="74" t="s">
        <v>34</v>
      </c>
      <c r="BS9" s="97"/>
      <c r="BT9" s="74" t="s">
        <v>34</v>
      </c>
      <c r="BU9" s="96"/>
      <c r="BV9" s="67"/>
      <c r="BW9" s="69"/>
      <c r="BX9" s="67" t="s">
        <v>33</v>
      </c>
      <c r="BY9" s="69"/>
      <c r="BZ9" s="72" t="s">
        <v>33</v>
      </c>
      <c r="CA9" s="97"/>
      <c r="CB9" s="67" t="s">
        <v>33</v>
      </c>
      <c r="CC9" s="142">
        <v>5</v>
      </c>
      <c r="CD9" s="151" t="s">
        <v>133</v>
      </c>
      <c r="CE9" s="507"/>
      <c r="CF9" s="311">
        <f t="shared" si="0"/>
        <v>3</v>
      </c>
      <c r="CG9" s="76">
        <f t="shared" si="1"/>
        <v>3</v>
      </c>
      <c r="CH9" s="27"/>
      <c r="CI9" s="28"/>
      <c r="CJ9" s="449"/>
      <c r="CK9" s="450"/>
    </row>
    <row r="10" spans="1:89" ht="15" customHeight="1">
      <c r="A10" s="142">
        <v>6</v>
      </c>
      <c r="B10" s="151" t="s">
        <v>127</v>
      </c>
      <c r="C10" s="507"/>
      <c r="D10" s="14"/>
      <c r="E10" s="65"/>
      <c r="F10" s="14"/>
      <c r="G10" s="65"/>
      <c r="H10" s="14"/>
      <c r="I10" s="65"/>
      <c r="J10" s="14"/>
      <c r="K10" s="65"/>
      <c r="L10" s="14"/>
      <c r="M10" s="65"/>
      <c r="N10" s="14"/>
      <c r="O10" s="58"/>
      <c r="P10" s="14"/>
      <c r="Q10" s="65"/>
      <c r="R10" s="15"/>
      <c r="S10" s="65"/>
      <c r="T10" s="15"/>
      <c r="U10" s="65"/>
      <c r="V10" s="15"/>
      <c r="W10" s="65"/>
      <c r="X10" s="300" t="s">
        <v>147</v>
      </c>
      <c r="Y10" s="80"/>
      <c r="Z10" s="14"/>
      <c r="AA10" s="65"/>
      <c r="AB10" s="14"/>
      <c r="AC10" s="80"/>
      <c r="AD10" s="15"/>
      <c r="AE10" s="65"/>
      <c r="AF10" s="14"/>
      <c r="AG10" s="80"/>
      <c r="AH10" s="14"/>
      <c r="AI10" s="65"/>
      <c r="AJ10" s="14"/>
      <c r="AK10" s="65"/>
      <c r="AL10" s="14"/>
      <c r="AM10" s="65"/>
      <c r="AN10" s="14"/>
      <c r="AO10" s="65"/>
      <c r="AP10" s="509"/>
      <c r="AQ10" s="510"/>
      <c r="AR10" s="33"/>
      <c r="AS10" s="34"/>
      <c r="AT10" s="142">
        <v>6</v>
      </c>
      <c r="AU10" s="151" t="s">
        <v>127</v>
      </c>
      <c r="AV10" s="507"/>
      <c r="AW10" s="14"/>
      <c r="AX10" s="67" t="s">
        <v>33</v>
      </c>
      <c r="AY10" s="69"/>
      <c r="AZ10" s="67" t="s">
        <v>33</v>
      </c>
      <c r="BA10" s="69"/>
      <c r="BB10" s="72" t="s">
        <v>33</v>
      </c>
      <c r="BC10" s="97"/>
      <c r="BD10" s="67" t="s">
        <v>33</v>
      </c>
      <c r="BE10" s="14"/>
      <c r="BF10" s="74"/>
      <c r="BG10" s="72"/>
      <c r="BH10" s="70"/>
      <c r="BI10" s="72"/>
      <c r="BJ10" s="72"/>
      <c r="BK10" s="58"/>
      <c r="BL10" s="70"/>
      <c r="BM10" s="37"/>
      <c r="BN10" s="262" t="s">
        <v>41</v>
      </c>
      <c r="BO10" s="72"/>
      <c r="BP10" s="70"/>
      <c r="BQ10" s="72"/>
      <c r="BR10" s="72"/>
      <c r="BS10" s="15"/>
      <c r="BT10" s="70"/>
      <c r="BU10" s="96"/>
      <c r="BV10" s="74"/>
      <c r="BW10" s="69"/>
      <c r="BX10" s="74" t="s">
        <v>34</v>
      </c>
      <c r="BY10" s="69"/>
      <c r="BZ10" s="74" t="s">
        <v>34</v>
      </c>
      <c r="CA10" s="97"/>
      <c r="CB10" s="74" t="s">
        <v>34</v>
      </c>
      <c r="CC10" s="142">
        <v>6</v>
      </c>
      <c r="CD10" s="151" t="s">
        <v>127</v>
      </c>
      <c r="CE10" s="507"/>
      <c r="CF10" s="311">
        <f t="shared" si="0"/>
        <v>4</v>
      </c>
      <c r="CG10" s="76">
        <f t="shared" si="1"/>
        <v>3</v>
      </c>
      <c r="CH10" s="27"/>
      <c r="CI10" s="28"/>
      <c r="CJ10" s="449"/>
      <c r="CK10" s="450"/>
    </row>
    <row r="11" spans="1:89" ht="15" customHeight="1">
      <c r="A11" s="142">
        <v>7</v>
      </c>
      <c r="B11" s="151" t="s">
        <v>128</v>
      </c>
      <c r="C11" s="507"/>
      <c r="D11" s="14"/>
      <c r="E11" s="65"/>
      <c r="F11" s="14"/>
      <c r="G11" s="65"/>
      <c r="H11" s="14"/>
      <c r="I11" s="65"/>
      <c r="J11" s="14"/>
      <c r="K11" s="65"/>
      <c r="L11" s="14"/>
      <c r="M11" s="65"/>
      <c r="N11" s="14"/>
      <c r="O11" s="58"/>
      <c r="P11" s="14"/>
      <c r="Q11" s="65"/>
      <c r="R11" s="15"/>
      <c r="S11" s="65"/>
      <c r="T11" s="15"/>
      <c r="U11" s="65"/>
      <c r="V11" s="15"/>
      <c r="W11" s="65"/>
      <c r="X11" s="15"/>
      <c r="Y11" s="80"/>
      <c r="Z11" s="14"/>
      <c r="AA11" s="65"/>
      <c r="AB11" s="14"/>
      <c r="AC11" s="80"/>
      <c r="AD11" s="15"/>
      <c r="AE11" s="65"/>
      <c r="AF11" s="14"/>
      <c r="AG11" s="80"/>
      <c r="AH11" s="14"/>
      <c r="AI11" s="65"/>
      <c r="AJ11" s="14"/>
      <c r="AK11" s="65"/>
      <c r="AL11" s="14"/>
      <c r="AM11" s="65"/>
      <c r="AN11" s="14"/>
      <c r="AO11" s="65"/>
      <c r="AP11" s="509"/>
      <c r="AQ11" s="510"/>
      <c r="AR11" s="33"/>
      <c r="AS11" s="34"/>
      <c r="AT11" s="142">
        <v>7</v>
      </c>
      <c r="AU11" s="151" t="s">
        <v>128</v>
      </c>
      <c r="AV11" s="507"/>
      <c r="AW11" s="14"/>
      <c r="AX11" s="74" t="s">
        <v>34</v>
      </c>
      <c r="AY11" s="69"/>
      <c r="AZ11" s="74" t="s">
        <v>34</v>
      </c>
      <c r="BA11" s="69"/>
      <c r="BB11" s="74" t="s">
        <v>34</v>
      </c>
      <c r="BC11" s="97"/>
      <c r="BD11" s="74" t="s">
        <v>34</v>
      </c>
      <c r="BE11" s="14"/>
      <c r="BF11" s="262" t="s">
        <v>41</v>
      </c>
      <c r="BG11" s="69"/>
      <c r="BH11" s="67" t="s">
        <v>33</v>
      </c>
      <c r="BI11" s="69"/>
      <c r="BJ11" s="72" t="s">
        <v>33</v>
      </c>
      <c r="BK11" s="97"/>
      <c r="BL11" s="67" t="s">
        <v>33</v>
      </c>
      <c r="BM11" s="37"/>
      <c r="BN11" s="262" t="s">
        <v>41</v>
      </c>
      <c r="BO11" s="72"/>
      <c r="BP11" s="70"/>
      <c r="BQ11" s="72"/>
      <c r="BR11" s="72"/>
      <c r="BS11" s="15"/>
      <c r="BT11" s="70"/>
      <c r="BU11" s="96"/>
      <c r="BV11" s="67"/>
      <c r="BW11" s="69"/>
      <c r="BX11" s="67"/>
      <c r="BY11" s="69"/>
      <c r="BZ11" s="69"/>
      <c r="CA11" s="97"/>
      <c r="CB11" s="67"/>
      <c r="CC11" s="142">
        <v>7</v>
      </c>
      <c r="CD11" s="151" t="s">
        <v>128</v>
      </c>
      <c r="CE11" s="507"/>
      <c r="CF11" s="311">
        <f t="shared" si="0"/>
        <v>3</v>
      </c>
      <c r="CG11" s="76">
        <f t="shared" si="1"/>
        <v>4</v>
      </c>
      <c r="CH11" s="27"/>
      <c r="CI11" s="28"/>
      <c r="CJ11" s="449"/>
      <c r="CK11" s="450"/>
    </row>
    <row r="12" spans="1:89" ht="15" customHeight="1">
      <c r="A12" s="142">
        <v>8</v>
      </c>
      <c r="B12" s="151" t="s">
        <v>129</v>
      </c>
      <c r="C12" s="507"/>
      <c r="D12" s="14"/>
      <c r="E12" s="65"/>
      <c r="F12" s="14"/>
      <c r="G12" s="65"/>
      <c r="H12" s="112"/>
      <c r="I12" s="65"/>
      <c r="J12" s="14"/>
      <c r="K12" s="65"/>
      <c r="L12" s="112"/>
      <c r="M12" s="65"/>
      <c r="N12" s="14"/>
      <c r="O12" s="58"/>
      <c r="P12" s="14"/>
      <c r="Q12" s="65"/>
      <c r="R12" s="112"/>
      <c r="S12" s="65"/>
      <c r="T12" s="112"/>
      <c r="U12" s="65"/>
      <c r="V12" s="112"/>
      <c r="W12" s="65"/>
      <c r="X12" s="15"/>
      <c r="Y12" s="80"/>
      <c r="Z12" s="14"/>
      <c r="AA12" s="65"/>
      <c r="AB12" s="14"/>
      <c r="AC12" s="80"/>
      <c r="AD12" s="15"/>
      <c r="AE12" s="65"/>
      <c r="AF12" s="14"/>
      <c r="AG12" s="80"/>
      <c r="AH12" s="14"/>
      <c r="AI12" s="65"/>
      <c r="AJ12" s="14"/>
      <c r="AK12" s="65"/>
      <c r="AL12" s="14"/>
      <c r="AM12" s="65"/>
      <c r="AN12" s="14"/>
      <c r="AO12" s="65"/>
      <c r="AP12" s="509"/>
      <c r="AQ12" s="510"/>
      <c r="AR12" s="33"/>
      <c r="AS12" s="34"/>
      <c r="AT12" s="142">
        <v>8</v>
      </c>
      <c r="AU12" s="151" t="s">
        <v>129</v>
      </c>
      <c r="AV12" s="507"/>
      <c r="AW12" s="14"/>
      <c r="AX12" s="70"/>
      <c r="AY12" s="72"/>
      <c r="AZ12" s="70"/>
      <c r="BA12" s="72"/>
      <c r="BB12" s="72"/>
      <c r="BC12" s="58"/>
      <c r="BD12" s="70"/>
      <c r="BE12" s="14"/>
      <c r="BF12" s="262" t="s">
        <v>41</v>
      </c>
      <c r="BG12" s="69"/>
      <c r="BH12" s="74" t="s">
        <v>34</v>
      </c>
      <c r="BI12" s="69"/>
      <c r="BJ12" s="74" t="s">
        <v>34</v>
      </c>
      <c r="BK12" s="97"/>
      <c r="BL12" s="74" t="s">
        <v>34</v>
      </c>
      <c r="BM12" s="37"/>
      <c r="BN12" s="262" t="s">
        <v>41</v>
      </c>
      <c r="BO12" s="69"/>
      <c r="BP12" s="67" t="s">
        <v>33</v>
      </c>
      <c r="BQ12" s="69"/>
      <c r="BR12" s="72" t="s">
        <v>33</v>
      </c>
      <c r="BS12" s="97"/>
      <c r="BT12" s="67" t="s">
        <v>33</v>
      </c>
      <c r="BU12" s="96"/>
      <c r="BV12" s="67"/>
      <c r="BW12" s="69"/>
      <c r="BX12" s="67"/>
      <c r="BY12" s="69"/>
      <c r="BZ12" s="69"/>
      <c r="CA12" s="97"/>
      <c r="CB12" s="67"/>
      <c r="CC12" s="142">
        <v>8</v>
      </c>
      <c r="CD12" s="151" t="s">
        <v>129</v>
      </c>
      <c r="CE12" s="507"/>
      <c r="CF12" s="311">
        <f t="shared" si="0"/>
        <v>3</v>
      </c>
      <c r="CG12" s="76">
        <f t="shared" si="1"/>
        <v>3</v>
      </c>
      <c r="CH12" s="27"/>
      <c r="CI12" s="28"/>
      <c r="CJ12" s="449"/>
      <c r="CK12" s="450"/>
    </row>
    <row r="13" spans="1:89" ht="15" customHeight="1">
      <c r="A13" s="22">
        <v>9</v>
      </c>
      <c r="B13" s="13" t="s">
        <v>130</v>
      </c>
      <c r="C13" s="507"/>
      <c r="D13" s="16"/>
      <c r="E13" s="17"/>
      <c r="F13" s="16"/>
      <c r="G13" s="17"/>
      <c r="H13" s="16"/>
      <c r="I13" s="17"/>
      <c r="J13" s="16"/>
      <c r="K13" s="17"/>
      <c r="L13" s="16"/>
      <c r="M13" s="17"/>
      <c r="N13" s="16"/>
      <c r="O13" s="59"/>
      <c r="P13" s="16"/>
      <c r="Q13" s="17"/>
      <c r="R13" s="18"/>
      <c r="S13" s="17"/>
      <c r="T13" s="18"/>
      <c r="U13" s="17"/>
      <c r="V13" s="18"/>
      <c r="W13" s="17"/>
      <c r="X13" s="18"/>
      <c r="Y13" s="82"/>
      <c r="Z13" s="16"/>
      <c r="AA13" s="17"/>
      <c r="AB13" s="16"/>
      <c r="AC13" s="82"/>
      <c r="AD13" s="18"/>
      <c r="AE13" s="17"/>
      <c r="AF13" s="16"/>
      <c r="AG13" s="82"/>
      <c r="AH13" s="16"/>
      <c r="AI13" s="17"/>
      <c r="AJ13" s="16"/>
      <c r="AK13" s="17"/>
      <c r="AL13" s="16"/>
      <c r="AM13" s="17"/>
      <c r="AN13" s="16"/>
      <c r="AO13" s="17"/>
      <c r="AP13" s="525"/>
      <c r="AQ13" s="526"/>
      <c r="AR13" s="104"/>
      <c r="AS13" s="105"/>
      <c r="AT13" s="22">
        <v>9</v>
      </c>
      <c r="AU13" s="13" t="s">
        <v>130</v>
      </c>
      <c r="AV13" s="507"/>
      <c r="AW13" s="16"/>
      <c r="AX13" s="71"/>
      <c r="AY13" s="73"/>
      <c r="AZ13" s="71"/>
      <c r="BA13" s="73"/>
      <c r="BB13" s="73"/>
      <c r="BC13" s="59"/>
      <c r="BD13" s="71"/>
      <c r="BE13" s="16"/>
      <c r="BF13" s="71"/>
      <c r="BG13" s="73"/>
      <c r="BH13" s="71"/>
      <c r="BI13" s="73"/>
      <c r="BJ13" s="73"/>
      <c r="BK13" s="59"/>
      <c r="BL13" s="71"/>
      <c r="BM13" s="38"/>
      <c r="BN13" s="262" t="s">
        <v>41</v>
      </c>
      <c r="BO13" s="68"/>
      <c r="BP13" s="75" t="s">
        <v>34</v>
      </c>
      <c r="BQ13" s="68"/>
      <c r="BR13" s="75" t="s">
        <v>34</v>
      </c>
      <c r="BS13" s="83"/>
      <c r="BT13" s="70" t="s">
        <v>61</v>
      </c>
      <c r="BU13" s="108"/>
      <c r="BV13" s="66"/>
      <c r="BW13" s="68"/>
      <c r="BX13" s="66" t="s">
        <v>33</v>
      </c>
      <c r="BY13" s="68"/>
      <c r="BZ13" s="73" t="s">
        <v>33</v>
      </c>
      <c r="CA13" s="83"/>
      <c r="CB13" s="66" t="s">
        <v>33</v>
      </c>
      <c r="CC13" s="22">
        <v>9</v>
      </c>
      <c r="CD13" s="13" t="s">
        <v>130</v>
      </c>
      <c r="CE13" s="507"/>
      <c r="CF13" s="311">
        <f t="shared" si="0"/>
        <v>3</v>
      </c>
      <c r="CG13" s="76">
        <f t="shared" si="1"/>
        <v>2</v>
      </c>
      <c r="CH13" s="27"/>
      <c r="CI13" s="28"/>
      <c r="CJ13" s="449"/>
      <c r="CK13" s="450"/>
    </row>
    <row r="14" spans="1:89" ht="15" customHeight="1">
      <c r="A14" s="22">
        <v>10</v>
      </c>
      <c r="B14" s="13" t="s">
        <v>131</v>
      </c>
      <c r="C14" s="508"/>
      <c r="D14" s="16"/>
      <c r="E14" s="17"/>
      <c r="F14" s="16"/>
      <c r="G14" s="17"/>
      <c r="H14" s="109"/>
      <c r="I14" s="17"/>
      <c r="J14" s="16"/>
      <c r="K14" s="17"/>
      <c r="L14" s="109"/>
      <c r="M14" s="17"/>
      <c r="N14" s="16"/>
      <c r="O14" s="59"/>
      <c r="P14" s="16"/>
      <c r="Q14" s="17"/>
      <c r="R14" s="109"/>
      <c r="S14" s="17"/>
      <c r="T14" s="109"/>
      <c r="U14" s="17"/>
      <c r="V14" s="109"/>
      <c r="W14" s="17"/>
      <c r="X14" s="18"/>
      <c r="Y14" s="82"/>
      <c r="Z14" s="16"/>
      <c r="AA14" s="17"/>
      <c r="AB14" s="16"/>
      <c r="AC14" s="82"/>
      <c r="AD14" s="18"/>
      <c r="AE14" s="17"/>
      <c r="AF14" s="16"/>
      <c r="AG14" s="82"/>
      <c r="AH14" s="16"/>
      <c r="AI14" s="17"/>
      <c r="AJ14" s="16"/>
      <c r="AK14" s="17"/>
      <c r="AL14" s="16"/>
      <c r="AM14" s="17"/>
      <c r="AN14" s="16"/>
      <c r="AO14" s="17"/>
      <c r="AP14" s="525"/>
      <c r="AQ14" s="526"/>
      <c r="AR14" s="104"/>
      <c r="AS14" s="105"/>
      <c r="AT14" s="22">
        <v>10</v>
      </c>
      <c r="AU14" s="13" t="s">
        <v>131</v>
      </c>
      <c r="AV14" s="508"/>
      <c r="AW14" s="16"/>
      <c r="AX14" s="66" t="s">
        <v>33</v>
      </c>
      <c r="AY14" s="68"/>
      <c r="AZ14" s="66" t="s">
        <v>33</v>
      </c>
      <c r="BA14" s="68"/>
      <c r="BB14" s="73" t="s">
        <v>33</v>
      </c>
      <c r="BC14" s="83"/>
      <c r="BD14" s="66" t="s">
        <v>33</v>
      </c>
      <c r="BE14" s="16"/>
      <c r="BF14" s="71"/>
      <c r="BG14" s="73"/>
      <c r="BH14" s="71"/>
      <c r="BI14" s="73"/>
      <c r="BJ14" s="73"/>
      <c r="BK14" s="59"/>
      <c r="BL14" s="71"/>
      <c r="BM14" s="38"/>
      <c r="BN14" s="263" t="s">
        <v>61</v>
      </c>
      <c r="BO14" s="73"/>
      <c r="BP14" s="71"/>
      <c r="BQ14" s="73"/>
      <c r="BR14" s="73"/>
      <c r="BS14" s="18"/>
      <c r="BT14" s="71"/>
      <c r="BU14" s="108"/>
      <c r="BV14" s="75"/>
      <c r="BW14" s="68"/>
      <c r="BX14" s="75" t="s">
        <v>34</v>
      </c>
      <c r="BY14" s="68"/>
      <c r="BZ14" s="75" t="s">
        <v>34</v>
      </c>
      <c r="CA14" s="83"/>
      <c r="CB14" s="75" t="s">
        <v>34</v>
      </c>
      <c r="CC14" s="22">
        <v>10</v>
      </c>
      <c r="CD14" s="13" t="s">
        <v>131</v>
      </c>
      <c r="CE14" s="508"/>
      <c r="CF14" s="311">
        <f t="shared" si="0"/>
        <v>4</v>
      </c>
      <c r="CG14" s="76">
        <f t="shared" si="1"/>
        <v>3</v>
      </c>
      <c r="CH14" s="27"/>
      <c r="CI14" s="28"/>
      <c r="CJ14" s="449"/>
      <c r="CK14" s="450"/>
    </row>
    <row r="15" spans="1:89" ht="15" customHeight="1">
      <c r="A15" s="142">
        <v>11</v>
      </c>
      <c r="B15" s="151" t="s">
        <v>132</v>
      </c>
      <c r="C15" s="506">
        <v>41</v>
      </c>
      <c r="D15" s="14"/>
      <c r="E15" s="65"/>
      <c r="F15" s="14"/>
      <c r="G15" s="65"/>
      <c r="H15" s="14"/>
      <c r="I15" s="65"/>
      <c r="J15" s="14"/>
      <c r="K15" s="65"/>
      <c r="L15" s="14"/>
      <c r="M15" s="65"/>
      <c r="N15" s="14"/>
      <c r="O15" s="58"/>
      <c r="P15" s="14"/>
      <c r="Q15" s="65"/>
      <c r="R15" s="15"/>
      <c r="S15" s="65"/>
      <c r="T15" s="15"/>
      <c r="U15" s="65"/>
      <c r="V15" s="15"/>
      <c r="W15" s="65"/>
      <c r="X15" s="15"/>
      <c r="Y15" s="80"/>
      <c r="Z15" s="14"/>
      <c r="AA15" s="65"/>
      <c r="AB15" s="14"/>
      <c r="AC15" s="80"/>
      <c r="AD15" s="15"/>
      <c r="AE15" s="65"/>
      <c r="AF15" s="14"/>
      <c r="AG15" s="80"/>
      <c r="AH15" s="14"/>
      <c r="AI15" s="65"/>
      <c r="AJ15" s="14"/>
      <c r="AK15" s="65"/>
      <c r="AL15" s="14"/>
      <c r="AM15" s="65"/>
      <c r="AN15" s="33" t="s">
        <v>41</v>
      </c>
      <c r="AO15" s="65"/>
      <c r="AP15" s="509"/>
      <c r="AQ15" s="510"/>
      <c r="AR15" s="33"/>
      <c r="AS15" s="34"/>
      <c r="AT15" s="142">
        <v>11</v>
      </c>
      <c r="AU15" s="151" t="s">
        <v>132</v>
      </c>
      <c r="AV15" s="506">
        <v>42</v>
      </c>
      <c r="AW15" s="14"/>
      <c r="AX15" s="74" t="s">
        <v>34</v>
      </c>
      <c r="AY15" s="69"/>
      <c r="AZ15" s="74" t="s">
        <v>34</v>
      </c>
      <c r="BA15" s="69"/>
      <c r="BB15" s="74" t="s">
        <v>34</v>
      </c>
      <c r="BC15" s="97"/>
      <c r="BD15" s="74" t="s">
        <v>34</v>
      </c>
      <c r="BE15" s="14"/>
      <c r="BF15" s="67" t="s">
        <v>41</v>
      </c>
      <c r="BG15" s="69"/>
      <c r="BH15" s="67" t="s">
        <v>33</v>
      </c>
      <c r="BI15" s="69"/>
      <c r="BJ15" s="72" t="s">
        <v>33</v>
      </c>
      <c r="BK15" s="97"/>
      <c r="BL15" s="67" t="s">
        <v>33</v>
      </c>
      <c r="BM15" s="37"/>
      <c r="BN15" s="67" t="s">
        <v>41</v>
      </c>
      <c r="BO15" s="72"/>
      <c r="BP15" s="70"/>
      <c r="BQ15" s="72"/>
      <c r="BR15" s="72"/>
      <c r="BS15" s="15"/>
      <c r="BT15" s="70"/>
      <c r="BU15" s="96"/>
      <c r="BV15" s="67"/>
      <c r="BW15" s="69"/>
      <c r="BX15" s="67"/>
      <c r="BY15" s="69"/>
      <c r="BZ15" s="69"/>
      <c r="CA15" s="97"/>
      <c r="CB15" s="67"/>
      <c r="CC15" s="142">
        <v>11</v>
      </c>
      <c r="CD15" s="151" t="s">
        <v>132</v>
      </c>
      <c r="CE15" s="506">
        <v>41</v>
      </c>
      <c r="CF15" s="311">
        <f t="shared" si="0"/>
        <v>3</v>
      </c>
      <c r="CG15" s="76">
        <f t="shared" si="1"/>
        <v>4</v>
      </c>
      <c r="CH15" s="27"/>
      <c r="CI15" s="28"/>
      <c r="CJ15" s="449"/>
      <c r="CK15" s="450"/>
    </row>
    <row r="16" spans="1:89" ht="15" customHeight="1">
      <c r="A16" s="142">
        <v>12</v>
      </c>
      <c r="B16" s="151" t="s">
        <v>133</v>
      </c>
      <c r="C16" s="507"/>
      <c r="D16" s="14"/>
      <c r="E16" s="65"/>
      <c r="F16" s="14"/>
      <c r="G16" s="65"/>
      <c r="H16" s="14"/>
      <c r="I16" s="65"/>
      <c r="J16" s="14"/>
      <c r="K16" s="65"/>
      <c r="L16" s="14"/>
      <c r="M16" s="65"/>
      <c r="N16" s="14"/>
      <c r="O16" s="65"/>
      <c r="P16" s="14"/>
      <c r="Q16" s="65"/>
      <c r="R16" s="15"/>
      <c r="S16" s="65"/>
      <c r="T16" s="15"/>
      <c r="U16" s="65"/>
      <c r="V16" s="15"/>
      <c r="W16" s="65"/>
      <c r="X16" s="15"/>
      <c r="Y16" s="80"/>
      <c r="Z16" s="14"/>
      <c r="AA16" s="65"/>
      <c r="AB16" s="14"/>
      <c r="AC16" s="80"/>
      <c r="AD16" s="15"/>
      <c r="AE16" s="65"/>
      <c r="AF16" s="14"/>
      <c r="AG16" s="80"/>
      <c r="AH16" s="14"/>
      <c r="AI16" s="65"/>
      <c r="AJ16" s="14"/>
      <c r="AK16" s="65"/>
      <c r="AL16" s="14"/>
      <c r="AM16" s="65"/>
      <c r="AN16" s="33" t="s">
        <v>41</v>
      </c>
      <c r="AO16" s="65"/>
      <c r="AP16" s="509"/>
      <c r="AQ16" s="510"/>
      <c r="AR16" s="33"/>
      <c r="AS16" s="34"/>
      <c r="AT16" s="142">
        <v>12</v>
      </c>
      <c r="AU16" s="151" t="s">
        <v>133</v>
      </c>
      <c r="AV16" s="507"/>
      <c r="AW16" s="14"/>
      <c r="AX16" s="70"/>
      <c r="AY16" s="72"/>
      <c r="AZ16" s="70"/>
      <c r="BA16" s="72"/>
      <c r="BB16" s="72"/>
      <c r="BC16" s="58"/>
      <c r="BD16" s="70"/>
      <c r="BE16" s="14"/>
      <c r="BF16" s="262" t="s">
        <v>41</v>
      </c>
      <c r="BG16" s="69"/>
      <c r="BH16" s="74" t="s">
        <v>34</v>
      </c>
      <c r="BI16" s="69"/>
      <c r="BJ16" s="74" t="s">
        <v>34</v>
      </c>
      <c r="BK16" s="97"/>
      <c r="BL16" s="74" t="s">
        <v>34</v>
      </c>
      <c r="BM16" s="37"/>
      <c r="BN16" s="67" t="s">
        <v>33</v>
      </c>
      <c r="BO16" s="69"/>
      <c r="BP16" s="67" t="s">
        <v>33</v>
      </c>
      <c r="BQ16" s="69"/>
      <c r="BR16" s="72" t="s">
        <v>33</v>
      </c>
      <c r="BS16" s="97"/>
      <c r="BT16" s="67" t="s">
        <v>33</v>
      </c>
      <c r="BU16" s="96"/>
      <c r="BV16" s="67"/>
      <c r="BW16" s="69"/>
      <c r="BX16" s="67"/>
      <c r="BY16" s="69"/>
      <c r="BZ16" s="69"/>
      <c r="CA16" s="97"/>
      <c r="CB16" s="67"/>
      <c r="CC16" s="142">
        <v>12</v>
      </c>
      <c r="CD16" s="151" t="s">
        <v>133</v>
      </c>
      <c r="CE16" s="507"/>
      <c r="CF16" s="311">
        <f t="shared" si="0"/>
        <v>4</v>
      </c>
      <c r="CG16" s="76">
        <f t="shared" si="1"/>
        <v>3</v>
      </c>
      <c r="CH16" s="27"/>
      <c r="CI16" s="28"/>
      <c r="CJ16" s="449"/>
      <c r="CK16" s="450"/>
    </row>
    <row r="17" spans="1:89" ht="15" customHeight="1">
      <c r="A17" s="142">
        <v>13</v>
      </c>
      <c r="B17" s="151" t="s">
        <v>127</v>
      </c>
      <c r="C17" s="507"/>
      <c r="D17" s="14"/>
      <c r="E17" s="65"/>
      <c r="F17" s="14"/>
      <c r="G17" s="65"/>
      <c r="H17" s="14"/>
      <c r="I17" s="65"/>
      <c r="J17" s="14"/>
      <c r="K17" s="65"/>
      <c r="L17" s="14"/>
      <c r="M17" s="65"/>
      <c r="N17" s="14"/>
      <c r="O17" s="65"/>
      <c r="P17" s="14"/>
      <c r="Q17" s="65"/>
      <c r="R17" s="15"/>
      <c r="S17" s="65"/>
      <c r="T17" s="15"/>
      <c r="U17" s="65"/>
      <c r="V17" s="15"/>
      <c r="W17" s="65"/>
      <c r="X17" s="15"/>
      <c r="Y17" s="80"/>
      <c r="Z17" s="14"/>
      <c r="AA17" s="65"/>
      <c r="AB17" s="14"/>
      <c r="AC17" s="80"/>
      <c r="AD17" s="15"/>
      <c r="AE17" s="65"/>
      <c r="AF17" s="14"/>
      <c r="AG17" s="80"/>
      <c r="AH17" s="14"/>
      <c r="AI17" s="65"/>
      <c r="AJ17" s="14"/>
      <c r="AK17" s="65"/>
      <c r="AL17" s="14"/>
      <c r="AM17" s="65"/>
      <c r="AN17" s="33" t="s">
        <v>41</v>
      </c>
      <c r="AO17" s="65"/>
      <c r="AP17" s="509"/>
      <c r="AQ17" s="510"/>
      <c r="AR17" s="33"/>
      <c r="AS17" s="34"/>
      <c r="AT17" s="142">
        <v>13</v>
      </c>
      <c r="AU17" s="151" t="s">
        <v>127</v>
      </c>
      <c r="AV17" s="507"/>
      <c r="AW17" s="14"/>
      <c r="AX17" s="70"/>
      <c r="AY17" s="72"/>
      <c r="AZ17" s="70"/>
      <c r="BA17" s="72"/>
      <c r="BB17" s="72"/>
      <c r="BC17" s="58"/>
      <c r="BD17" s="70"/>
      <c r="BE17" s="14"/>
      <c r="BF17" s="67" t="s">
        <v>41</v>
      </c>
      <c r="BG17" s="72"/>
      <c r="BH17" s="70"/>
      <c r="BI17" s="72"/>
      <c r="BJ17" s="72"/>
      <c r="BK17" s="58"/>
      <c r="BL17" s="70"/>
      <c r="BM17" s="37"/>
      <c r="BN17" s="74" t="s">
        <v>34</v>
      </c>
      <c r="BO17" s="69"/>
      <c r="BP17" s="74" t="s">
        <v>34</v>
      </c>
      <c r="BQ17" s="69"/>
      <c r="BR17" s="74" t="s">
        <v>34</v>
      </c>
      <c r="BS17" s="97"/>
      <c r="BT17" s="74" t="s">
        <v>34</v>
      </c>
      <c r="BU17" s="96"/>
      <c r="BV17" s="67"/>
      <c r="BW17" s="69"/>
      <c r="BX17" s="67" t="s">
        <v>33</v>
      </c>
      <c r="BY17" s="69"/>
      <c r="BZ17" s="72" t="s">
        <v>33</v>
      </c>
      <c r="CA17" s="97"/>
      <c r="CB17" s="67" t="s">
        <v>33</v>
      </c>
      <c r="CC17" s="142">
        <v>13</v>
      </c>
      <c r="CD17" s="151" t="s">
        <v>127</v>
      </c>
      <c r="CE17" s="507"/>
      <c r="CF17" s="311">
        <f t="shared" si="0"/>
        <v>3</v>
      </c>
      <c r="CG17" s="76">
        <f t="shared" si="1"/>
        <v>4</v>
      </c>
      <c r="CH17" s="27"/>
      <c r="CI17" s="28"/>
      <c r="CJ17" s="449"/>
      <c r="CK17" s="450"/>
    </row>
    <row r="18" spans="1:89" ht="15" customHeight="1">
      <c r="A18" s="142">
        <v>14</v>
      </c>
      <c r="B18" s="151" t="s">
        <v>128</v>
      </c>
      <c r="C18" s="507"/>
      <c r="D18" s="14"/>
      <c r="E18" s="65"/>
      <c r="F18" s="14"/>
      <c r="G18" s="65"/>
      <c r="H18" s="14"/>
      <c r="I18" s="65"/>
      <c r="J18" s="14"/>
      <c r="K18" s="65"/>
      <c r="L18" s="14"/>
      <c r="M18" s="65"/>
      <c r="N18" s="14"/>
      <c r="O18" s="58"/>
      <c r="P18" s="14"/>
      <c r="Q18" s="65"/>
      <c r="R18" s="15"/>
      <c r="S18" s="65"/>
      <c r="T18" s="15"/>
      <c r="U18" s="65"/>
      <c r="V18" s="15"/>
      <c r="W18" s="65"/>
      <c r="X18" s="15"/>
      <c r="Y18" s="80"/>
      <c r="Z18" s="14"/>
      <c r="AA18" s="65"/>
      <c r="AB18" s="14"/>
      <c r="AC18" s="80"/>
      <c r="AD18" s="15"/>
      <c r="AE18" s="65"/>
      <c r="AF18" s="14"/>
      <c r="AG18" s="80"/>
      <c r="AH18" s="14"/>
      <c r="AI18" s="65"/>
      <c r="AJ18" s="14"/>
      <c r="AK18" s="65"/>
      <c r="AL18" s="14"/>
      <c r="AM18" s="65"/>
      <c r="AN18" s="33" t="s">
        <v>41</v>
      </c>
      <c r="AO18" s="65"/>
      <c r="AP18" s="509"/>
      <c r="AQ18" s="510"/>
      <c r="AR18" s="33"/>
      <c r="AS18" s="34"/>
      <c r="AT18" s="142">
        <v>14</v>
      </c>
      <c r="AU18" s="151" t="s">
        <v>128</v>
      </c>
      <c r="AV18" s="507"/>
      <c r="AW18" s="14"/>
      <c r="AX18" s="67" t="s">
        <v>33</v>
      </c>
      <c r="AY18" s="69"/>
      <c r="AZ18" s="67" t="s">
        <v>33</v>
      </c>
      <c r="BA18" s="69"/>
      <c r="BB18" s="72" t="s">
        <v>33</v>
      </c>
      <c r="BC18" s="97"/>
      <c r="BD18" s="67" t="s">
        <v>33</v>
      </c>
      <c r="BE18" s="14"/>
      <c r="BF18" s="67" t="s">
        <v>41</v>
      </c>
      <c r="BG18" s="72"/>
      <c r="BH18" s="70"/>
      <c r="BI18" s="72"/>
      <c r="BJ18" s="72"/>
      <c r="BK18" s="58"/>
      <c r="BL18" s="70"/>
      <c r="BM18" s="37"/>
      <c r="BN18" s="70"/>
      <c r="BO18" s="72"/>
      <c r="BP18" s="70"/>
      <c r="BQ18" s="72"/>
      <c r="BR18" s="72"/>
      <c r="BS18" s="15"/>
      <c r="BT18" s="70"/>
      <c r="BU18" s="96"/>
      <c r="BV18" s="74"/>
      <c r="BW18" s="69"/>
      <c r="BX18" s="74" t="s">
        <v>34</v>
      </c>
      <c r="BY18" s="69"/>
      <c r="BZ18" s="74" t="s">
        <v>34</v>
      </c>
      <c r="CA18" s="97"/>
      <c r="CB18" s="74" t="s">
        <v>34</v>
      </c>
      <c r="CC18" s="142">
        <v>14</v>
      </c>
      <c r="CD18" s="151" t="s">
        <v>128</v>
      </c>
      <c r="CE18" s="507"/>
      <c r="CF18" s="311">
        <f t="shared" si="0"/>
        <v>4</v>
      </c>
      <c r="CG18" s="76">
        <f t="shared" si="1"/>
        <v>3</v>
      </c>
      <c r="CH18" s="27"/>
      <c r="CI18" s="28"/>
      <c r="CJ18" s="449"/>
      <c r="CK18" s="450"/>
    </row>
    <row r="19" spans="1:89" ht="15" customHeight="1">
      <c r="A19" s="142">
        <v>15</v>
      </c>
      <c r="B19" s="151" t="s">
        <v>129</v>
      </c>
      <c r="C19" s="507"/>
      <c r="D19" s="14"/>
      <c r="E19" s="65"/>
      <c r="F19" s="14"/>
      <c r="G19" s="65"/>
      <c r="H19" s="14"/>
      <c r="I19" s="65"/>
      <c r="J19" s="14"/>
      <c r="K19" s="65"/>
      <c r="L19" s="14"/>
      <c r="M19" s="65"/>
      <c r="N19" s="14"/>
      <c r="O19" s="58"/>
      <c r="P19" s="14"/>
      <c r="Q19" s="65"/>
      <c r="R19" s="15"/>
      <c r="S19" s="65"/>
      <c r="T19" s="15"/>
      <c r="U19" s="65"/>
      <c r="V19" s="15"/>
      <c r="W19" s="65"/>
      <c r="X19" s="15"/>
      <c r="Y19" s="80"/>
      <c r="Z19" s="14"/>
      <c r="AA19" s="65"/>
      <c r="AB19" s="14"/>
      <c r="AC19" s="80"/>
      <c r="AD19" s="15"/>
      <c r="AE19" s="65"/>
      <c r="AF19" s="14"/>
      <c r="AG19" s="80"/>
      <c r="AH19" s="14"/>
      <c r="AI19" s="65"/>
      <c r="AJ19" s="14"/>
      <c r="AK19" s="65"/>
      <c r="AL19" s="14"/>
      <c r="AM19" s="65"/>
      <c r="AN19" s="33" t="s">
        <v>41</v>
      </c>
      <c r="AO19" s="65"/>
      <c r="AP19" s="509"/>
      <c r="AQ19" s="510"/>
      <c r="AR19" s="33"/>
      <c r="AS19" s="34"/>
      <c r="AT19" s="142">
        <v>15</v>
      </c>
      <c r="AU19" s="151" t="s">
        <v>129</v>
      </c>
      <c r="AV19" s="507"/>
      <c r="AW19" s="14"/>
      <c r="AX19" s="74" t="s">
        <v>34</v>
      </c>
      <c r="AY19" s="69"/>
      <c r="AZ19" s="74" t="s">
        <v>34</v>
      </c>
      <c r="BA19" s="69"/>
      <c r="BB19" s="74" t="s">
        <v>34</v>
      </c>
      <c r="BC19" s="97"/>
      <c r="BD19" s="74" t="s">
        <v>34</v>
      </c>
      <c r="BE19" s="14"/>
      <c r="BF19" s="67" t="s">
        <v>41</v>
      </c>
      <c r="BG19" s="69"/>
      <c r="BH19" s="67" t="s">
        <v>33</v>
      </c>
      <c r="BI19" s="69"/>
      <c r="BJ19" s="72" t="s">
        <v>33</v>
      </c>
      <c r="BK19" s="97"/>
      <c r="BL19" s="67" t="s">
        <v>33</v>
      </c>
      <c r="BM19" s="37"/>
      <c r="BN19" s="70"/>
      <c r="BO19" s="72"/>
      <c r="BP19" s="70"/>
      <c r="BQ19" s="72"/>
      <c r="BR19" s="72"/>
      <c r="BS19" s="15"/>
      <c r="BT19" s="70"/>
      <c r="BU19" s="96"/>
      <c r="BV19" s="67"/>
      <c r="BW19" s="69"/>
      <c r="BX19" s="67"/>
      <c r="BY19" s="69"/>
      <c r="BZ19" s="69"/>
      <c r="CA19" s="97"/>
      <c r="CB19" s="67"/>
      <c r="CC19" s="142">
        <v>15</v>
      </c>
      <c r="CD19" s="151" t="s">
        <v>129</v>
      </c>
      <c r="CE19" s="507"/>
      <c r="CF19" s="311">
        <f t="shared" si="0"/>
        <v>3</v>
      </c>
      <c r="CG19" s="76">
        <f t="shared" si="1"/>
        <v>4</v>
      </c>
      <c r="CH19" s="27"/>
      <c r="CI19" s="28"/>
      <c r="CJ19" s="449"/>
      <c r="CK19" s="450"/>
    </row>
    <row r="20" spans="1:89" ht="15" customHeight="1">
      <c r="A20" s="22">
        <v>16</v>
      </c>
      <c r="B20" s="13" t="s">
        <v>130</v>
      </c>
      <c r="C20" s="507"/>
      <c r="D20" s="16"/>
      <c r="E20" s="17"/>
      <c r="F20" s="16"/>
      <c r="G20" s="17"/>
      <c r="H20" s="16"/>
      <c r="I20" s="17"/>
      <c r="J20" s="16"/>
      <c r="K20" s="17"/>
      <c r="L20" s="16"/>
      <c r="M20" s="17"/>
      <c r="N20" s="16"/>
      <c r="O20" s="59"/>
      <c r="P20" s="16"/>
      <c r="Q20" s="17"/>
      <c r="R20" s="18"/>
      <c r="S20" s="17"/>
      <c r="T20" s="18"/>
      <c r="U20" s="17"/>
      <c r="V20" s="18"/>
      <c r="W20" s="17"/>
      <c r="X20" s="18"/>
      <c r="Y20" s="82"/>
      <c r="Z20" s="16"/>
      <c r="AA20" s="17"/>
      <c r="AB20" s="16"/>
      <c r="AC20" s="82"/>
      <c r="AD20" s="18"/>
      <c r="AE20" s="17"/>
      <c r="AF20" s="16"/>
      <c r="AG20" s="82"/>
      <c r="AH20" s="16"/>
      <c r="AI20" s="17"/>
      <c r="AJ20" s="16"/>
      <c r="AK20" s="17"/>
      <c r="AL20" s="16"/>
      <c r="AM20" s="17"/>
      <c r="AN20" s="16"/>
      <c r="AO20" s="17"/>
      <c r="AP20" s="520" t="s">
        <v>304</v>
      </c>
      <c r="AQ20" s="526"/>
      <c r="AR20" s="104"/>
      <c r="AS20" s="105"/>
      <c r="AT20" s="22">
        <v>16</v>
      </c>
      <c r="AU20" s="13" t="s">
        <v>130</v>
      </c>
      <c r="AV20" s="507"/>
      <c r="AW20" s="16"/>
      <c r="AX20" s="71"/>
      <c r="AY20" s="73"/>
      <c r="AZ20" s="71"/>
      <c r="BA20" s="73"/>
      <c r="BB20" s="73"/>
      <c r="BC20" s="59"/>
      <c r="BD20" s="71"/>
      <c r="BE20" s="16"/>
      <c r="BF20" s="74" t="s">
        <v>61</v>
      </c>
      <c r="BG20" s="68"/>
      <c r="BH20" s="75" t="s">
        <v>34</v>
      </c>
      <c r="BI20" s="68"/>
      <c r="BJ20" s="75" t="s">
        <v>34</v>
      </c>
      <c r="BK20" s="83"/>
      <c r="BL20" s="75" t="s">
        <v>34</v>
      </c>
      <c r="BM20" s="38"/>
      <c r="BN20" s="66" t="s">
        <v>33</v>
      </c>
      <c r="BO20" s="68"/>
      <c r="BP20" s="66" t="s">
        <v>33</v>
      </c>
      <c r="BQ20" s="68"/>
      <c r="BR20" s="73" t="s">
        <v>33</v>
      </c>
      <c r="BS20" s="83"/>
      <c r="BT20" s="71" t="s">
        <v>33</v>
      </c>
      <c r="BU20" s="108"/>
      <c r="BV20" s="66"/>
      <c r="BW20" s="68"/>
      <c r="BX20" s="66"/>
      <c r="BY20" s="68"/>
      <c r="BZ20" s="68"/>
      <c r="CA20" s="83"/>
      <c r="CB20" s="66"/>
      <c r="CC20" s="22">
        <v>16</v>
      </c>
      <c r="CD20" s="13" t="s">
        <v>130</v>
      </c>
      <c r="CE20" s="507"/>
      <c r="CF20" s="311">
        <f t="shared" si="0"/>
        <v>4</v>
      </c>
      <c r="CG20" s="76">
        <f t="shared" si="1"/>
        <v>3</v>
      </c>
      <c r="CH20" s="27"/>
      <c r="CI20" s="28"/>
      <c r="CJ20" s="449"/>
      <c r="CK20" s="450"/>
    </row>
    <row r="21" spans="1:89" ht="15" customHeight="1">
      <c r="A21" s="22">
        <v>17</v>
      </c>
      <c r="B21" s="13" t="s">
        <v>131</v>
      </c>
      <c r="C21" s="508"/>
      <c r="D21" s="16"/>
      <c r="E21" s="17"/>
      <c r="F21" s="16"/>
      <c r="G21" s="17"/>
      <c r="H21" s="16"/>
      <c r="I21" s="17"/>
      <c r="J21" s="16"/>
      <c r="K21" s="17"/>
      <c r="L21" s="16"/>
      <c r="M21" s="17"/>
      <c r="N21" s="16"/>
      <c r="O21" s="59"/>
      <c r="P21" s="16"/>
      <c r="Q21" s="17"/>
      <c r="R21" s="18"/>
      <c r="S21" s="17"/>
      <c r="T21" s="16"/>
      <c r="U21" s="17"/>
      <c r="V21" s="18"/>
      <c r="W21" s="17"/>
      <c r="X21" s="16"/>
      <c r="Y21" s="82"/>
      <c r="Z21" s="16"/>
      <c r="AA21" s="17"/>
      <c r="AB21" s="16"/>
      <c r="AC21" s="82"/>
      <c r="AD21" s="18"/>
      <c r="AE21" s="17"/>
      <c r="AF21" s="16"/>
      <c r="AG21" s="82"/>
      <c r="AH21" s="16"/>
      <c r="AI21" s="17"/>
      <c r="AJ21" s="16"/>
      <c r="AK21" s="17"/>
      <c r="AL21" s="16"/>
      <c r="AM21" s="17"/>
      <c r="AN21" s="16"/>
      <c r="AO21" s="17"/>
      <c r="AP21" s="529"/>
      <c r="AQ21" s="530"/>
      <c r="AR21" s="104"/>
      <c r="AS21" s="105"/>
      <c r="AT21" s="22">
        <v>17</v>
      </c>
      <c r="AU21" s="13" t="s">
        <v>131</v>
      </c>
      <c r="AV21" s="508"/>
      <c r="AW21" s="16"/>
      <c r="AX21" s="71"/>
      <c r="AY21" s="73"/>
      <c r="AZ21" s="71"/>
      <c r="BA21" s="73"/>
      <c r="BB21" s="73"/>
      <c r="BC21" s="59"/>
      <c r="BD21" s="71"/>
      <c r="BE21" s="16"/>
      <c r="BF21" s="71"/>
      <c r="BG21" s="73"/>
      <c r="BH21" s="71"/>
      <c r="BI21" s="73"/>
      <c r="BJ21" s="73"/>
      <c r="BK21" s="59"/>
      <c r="BL21" s="71"/>
      <c r="BM21" s="38"/>
      <c r="BN21" s="75" t="s">
        <v>34</v>
      </c>
      <c r="BO21" s="68"/>
      <c r="BP21" s="75" t="s">
        <v>34</v>
      </c>
      <c r="BQ21" s="68"/>
      <c r="BR21" s="75" t="s">
        <v>34</v>
      </c>
      <c r="BS21" s="83"/>
      <c r="BT21" s="75" t="s">
        <v>34</v>
      </c>
      <c r="BU21" s="108"/>
      <c r="BV21" s="66"/>
      <c r="BW21" s="68"/>
      <c r="BX21" s="66" t="s">
        <v>33</v>
      </c>
      <c r="BY21" s="68"/>
      <c r="BZ21" s="73" t="s">
        <v>33</v>
      </c>
      <c r="CA21" s="83"/>
      <c r="CB21" s="66" t="s">
        <v>33</v>
      </c>
      <c r="CC21" s="22">
        <v>17</v>
      </c>
      <c r="CD21" s="13" t="s">
        <v>131</v>
      </c>
      <c r="CE21" s="508"/>
      <c r="CF21" s="311">
        <f t="shared" si="0"/>
        <v>3</v>
      </c>
      <c r="CG21" s="76">
        <f t="shared" si="1"/>
        <v>4</v>
      </c>
      <c r="CH21" s="27"/>
      <c r="CI21" s="28"/>
      <c r="CJ21" s="449"/>
      <c r="CK21" s="450"/>
    </row>
    <row r="22" spans="1:89" ht="15" customHeight="1">
      <c r="A22" s="142">
        <v>18</v>
      </c>
      <c r="B22" s="151" t="s">
        <v>132</v>
      </c>
      <c r="C22" s="506">
        <v>42</v>
      </c>
      <c r="D22" s="14"/>
      <c r="E22" s="65"/>
      <c r="F22" s="14" t="s">
        <v>42</v>
      </c>
      <c r="G22" s="65"/>
      <c r="H22" s="14"/>
      <c r="I22" s="65"/>
      <c r="J22" s="14"/>
      <c r="K22" s="65"/>
      <c r="L22" s="14"/>
      <c r="M22" s="65"/>
      <c r="N22" s="14"/>
      <c r="O22" s="58"/>
      <c r="P22" s="14"/>
      <c r="Q22" s="65"/>
      <c r="R22" s="15"/>
      <c r="S22" s="65"/>
      <c r="T22" s="14" t="s">
        <v>42</v>
      </c>
      <c r="U22" s="65"/>
      <c r="V22" s="15"/>
      <c r="W22" s="65"/>
      <c r="X22" s="15"/>
      <c r="Y22" s="80"/>
      <c r="Z22" s="14"/>
      <c r="AA22" s="65"/>
      <c r="AB22" s="14"/>
      <c r="AC22" s="80"/>
      <c r="AD22" s="15"/>
      <c r="AE22" s="65"/>
      <c r="AF22" s="14"/>
      <c r="AG22" s="80"/>
      <c r="AH22" s="14"/>
      <c r="AI22" s="65"/>
      <c r="AJ22" s="14"/>
      <c r="AK22" s="65"/>
      <c r="AL22" s="14"/>
      <c r="AM22" s="65"/>
      <c r="AN22" s="14"/>
      <c r="AO22" s="65"/>
      <c r="AP22" s="523"/>
      <c r="AQ22" s="524"/>
      <c r="AR22" s="33"/>
      <c r="AS22" s="34"/>
      <c r="AT22" s="142">
        <v>18</v>
      </c>
      <c r="AU22" s="151" t="s">
        <v>132</v>
      </c>
      <c r="AV22" s="506">
        <v>43</v>
      </c>
      <c r="AW22" s="14"/>
      <c r="AX22" s="67" t="s">
        <v>33</v>
      </c>
      <c r="AY22" s="69"/>
      <c r="AZ22" s="67" t="s">
        <v>33</v>
      </c>
      <c r="BA22" s="69"/>
      <c r="BB22" s="72" t="s">
        <v>33</v>
      </c>
      <c r="BC22" s="97"/>
      <c r="BD22" s="67" t="s">
        <v>33</v>
      </c>
      <c r="BE22" s="14"/>
      <c r="BF22" s="70"/>
      <c r="BG22" s="14" t="s">
        <v>42</v>
      </c>
      <c r="BH22" s="72"/>
      <c r="BI22" s="72"/>
      <c r="BJ22" s="72"/>
      <c r="BK22" s="58"/>
      <c r="BL22" s="70"/>
      <c r="BM22" s="14" t="s">
        <v>42</v>
      </c>
      <c r="BN22" s="70"/>
      <c r="BO22" s="72"/>
      <c r="BP22" s="70"/>
      <c r="BQ22" s="72"/>
      <c r="BR22" s="72"/>
      <c r="BS22" s="15"/>
      <c r="BT22" s="70"/>
      <c r="BU22" s="96"/>
      <c r="BV22" s="74"/>
      <c r="BW22" s="69"/>
      <c r="BX22" s="74" t="s">
        <v>34</v>
      </c>
      <c r="BY22" s="69"/>
      <c r="BZ22" s="74" t="s">
        <v>34</v>
      </c>
      <c r="CA22" s="97"/>
      <c r="CB22" s="74" t="s">
        <v>34</v>
      </c>
      <c r="CC22" s="142">
        <v>18</v>
      </c>
      <c r="CD22" s="151" t="s">
        <v>132</v>
      </c>
      <c r="CE22" s="506">
        <v>42</v>
      </c>
      <c r="CF22" s="311">
        <f t="shared" si="0"/>
        <v>4</v>
      </c>
      <c r="CG22" s="76">
        <f t="shared" si="1"/>
        <v>3</v>
      </c>
      <c r="CH22" s="27"/>
      <c r="CI22" s="28"/>
      <c r="CJ22" s="449"/>
      <c r="CK22" s="450"/>
    </row>
    <row r="23" spans="1:89" ht="15" customHeight="1">
      <c r="A23" s="142">
        <v>19</v>
      </c>
      <c r="B23" s="151" t="s">
        <v>133</v>
      </c>
      <c r="C23" s="507"/>
      <c r="D23" s="14"/>
      <c r="E23" s="65"/>
      <c r="F23" s="14" t="s">
        <v>42</v>
      </c>
      <c r="G23" s="65"/>
      <c r="H23" s="14"/>
      <c r="I23" s="65"/>
      <c r="J23" s="14"/>
      <c r="K23" s="65"/>
      <c r="L23" s="14"/>
      <c r="M23" s="65"/>
      <c r="N23" s="14"/>
      <c r="O23" s="58"/>
      <c r="P23" s="14"/>
      <c r="Q23" s="65"/>
      <c r="R23" s="15"/>
      <c r="S23" s="65"/>
      <c r="T23" s="14" t="s">
        <v>42</v>
      </c>
      <c r="U23" s="65"/>
      <c r="V23" s="15"/>
      <c r="W23" s="65"/>
      <c r="X23" s="15"/>
      <c r="Y23" s="80"/>
      <c r="Z23" s="14"/>
      <c r="AA23" s="65"/>
      <c r="AB23" s="14"/>
      <c r="AC23" s="80"/>
      <c r="AD23" s="15"/>
      <c r="AE23" s="65"/>
      <c r="AF23" s="14"/>
      <c r="AG23" s="80"/>
      <c r="AH23" s="14"/>
      <c r="AI23" s="65"/>
      <c r="AJ23" s="14"/>
      <c r="AK23" s="65"/>
      <c r="AL23" s="14"/>
      <c r="AM23" s="65"/>
      <c r="AN23" s="14"/>
      <c r="AO23" s="65"/>
      <c r="AP23" s="523"/>
      <c r="AQ23" s="524"/>
      <c r="AR23" s="33"/>
      <c r="AS23" s="34"/>
      <c r="AT23" s="142">
        <v>19</v>
      </c>
      <c r="AU23" s="151" t="s">
        <v>133</v>
      </c>
      <c r="AV23" s="507"/>
      <c r="AW23" s="14"/>
      <c r="AX23" s="74" t="s">
        <v>34</v>
      </c>
      <c r="AY23" s="69"/>
      <c r="AZ23" s="74" t="s">
        <v>34</v>
      </c>
      <c r="BA23" s="69"/>
      <c r="BB23" s="74" t="s">
        <v>34</v>
      </c>
      <c r="BC23" s="97"/>
      <c r="BD23" s="74" t="s">
        <v>34</v>
      </c>
      <c r="BE23" s="14"/>
      <c r="BF23" s="67" t="s">
        <v>33</v>
      </c>
      <c r="BG23" s="14" t="s">
        <v>42</v>
      </c>
      <c r="BH23" s="72" t="s">
        <v>33</v>
      </c>
      <c r="BI23" s="69"/>
      <c r="BJ23" s="72" t="s">
        <v>33</v>
      </c>
      <c r="BK23" s="97"/>
      <c r="BL23" s="67" t="s">
        <v>33</v>
      </c>
      <c r="BM23" s="14" t="s">
        <v>42</v>
      </c>
      <c r="BN23" s="70"/>
      <c r="BO23" s="72"/>
      <c r="BP23" s="70"/>
      <c r="BQ23" s="72"/>
      <c r="BR23" s="72"/>
      <c r="BS23" s="15"/>
      <c r="BT23" s="70"/>
      <c r="BU23" s="96"/>
      <c r="BV23" s="67"/>
      <c r="BW23" s="69"/>
      <c r="BX23" s="67"/>
      <c r="BY23" s="69"/>
      <c r="BZ23" s="69"/>
      <c r="CA23" s="97"/>
      <c r="CB23" s="67"/>
      <c r="CC23" s="142">
        <v>19</v>
      </c>
      <c r="CD23" s="151" t="s">
        <v>133</v>
      </c>
      <c r="CE23" s="507"/>
      <c r="CF23" s="311">
        <f t="shared" si="0"/>
        <v>4</v>
      </c>
      <c r="CG23" s="76">
        <f t="shared" si="1"/>
        <v>4</v>
      </c>
      <c r="CH23" s="27"/>
      <c r="CI23" s="28"/>
      <c r="CJ23" s="545"/>
      <c r="CK23" s="546"/>
    </row>
    <row r="24" spans="1:89" ht="15" customHeight="1">
      <c r="A24" s="142">
        <v>20</v>
      </c>
      <c r="B24" s="151" t="s">
        <v>127</v>
      </c>
      <c r="C24" s="507"/>
      <c r="D24" s="14"/>
      <c r="E24" s="65"/>
      <c r="F24" s="14" t="s">
        <v>42</v>
      </c>
      <c r="G24" s="65"/>
      <c r="H24" s="14"/>
      <c r="I24" s="65"/>
      <c r="J24" s="14"/>
      <c r="K24" s="65"/>
      <c r="L24" s="14"/>
      <c r="M24" s="65"/>
      <c r="N24" s="14"/>
      <c r="O24" s="58"/>
      <c r="P24" s="14"/>
      <c r="Q24" s="65"/>
      <c r="R24" s="15"/>
      <c r="S24" s="65"/>
      <c r="T24" s="14" t="s">
        <v>42</v>
      </c>
      <c r="U24" s="65"/>
      <c r="V24" s="15"/>
      <c r="W24" s="65"/>
      <c r="X24" s="15"/>
      <c r="Y24" s="80"/>
      <c r="Z24" s="14"/>
      <c r="AA24" s="65"/>
      <c r="AB24" s="14"/>
      <c r="AC24" s="80"/>
      <c r="AD24" s="15"/>
      <c r="AE24" s="65"/>
      <c r="AF24" s="14"/>
      <c r="AG24" s="80"/>
      <c r="AH24" s="14"/>
      <c r="AI24" s="65"/>
      <c r="AJ24" s="14"/>
      <c r="AK24" s="65"/>
      <c r="AL24" s="14"/>
      <c r="AM24" s="65"/>
      <c r="AN24" s="14"/>
      <c r="AO24" s="65"/>
      <c r="AP24" s="523"/>
      <c r="AQ24" s="524"/>
      <c r="AR24" s="33"/>
      <c r="AS24" s="34"/>
      <c r="AT24" s="142">
        <v>20</v>
      </c>
      <c r="AU24" s="151" t="s">
        <v>127</v>
      </c>
      <c r="AV24" s="507"/>
      <c r="AW24" s="14"/>
      <c r="AX24" s="70"/>
      <c r="AY24" s="72"/>
      <c r="AZ24" s="70"/>
      <c r="BA24" s="72"/>
      <c r="BB24" s="72"/>
      <c r="BC24" s="58"/>
      <c r="BD24" s="70"/>
      <c r="BE24" s="14"/>
      <c r="BF24" s="74" t="s">
        <v>34</v>
      </c>
      <c r="BG24" s="14" t="s">
        <v>42</v>
      </c>
      <c r="BH24" s="74" t="s">
        <v>34</v>
      </c>
      <c r="BI24" s="69"/>
      <c r="BJ24" s="74" t="s">
        <v>34</v>
      </c>
      <c r="BK24" s="97"/>
      <c r="BL24" s="74" t="s">
        <v>34</v>
      </c>
      <c r="BM24" s="14" t="s">
        <v>42</v>
      </c>
      <c r="BN24" s="67" t="s">
        <v>33</v>
      </c>
      <c r="BO24" s="69"/>
      <c r="BP24" s="67" t="s">
        <v>33</v>
      </c>
      <c r="BQ24" s="69"/>
      <c r="BR24" s="72" t="s">
        <v>33</v>
      </c>
      <c r="BS24" s="97"/>
      <c r="BT24" s="67" t="s">
        <v>33</v>
      </c>
      <c r="BU24" s="96"/>
      <c r="BV24" s="67"/>
      <c r="BW24" s="69"/>
      <c r="BX24" s="67"/>
      <c r="BY24" s="69"/>
      <c r="BZ24" s="69"/>
      <c r="CA24" s="97"/>
      <c r="CB24" s="67"/>
      <c r="CC24" s="142">
        <v>20</v>
      </c>
      <c r="CD24" s="151" t="s">
        <v>127</v>
      </c>
      <c r="CE24" s="507"/>
      <c r="CF24" s="311">
        <f t="shared" si="0"/>
        <v>4</v>
      </c>
      <c r="CG24" s="76">
        <f t="shared" si="1"/>
        <v>4</v>
      </c>
      <c r="CH24" s="27"/>
      <c r="CI24" s="28"/>
      <c r="CJ24" s="449"/>
      <c r="CK24" s="450"/>
    </row>
    <row r="25" spans="1:89" ht="15" customHeight="1">
      <c r="A25" s="142">
        <v>21</v>
      </c>
      <c r="B25" s="151" t="s">
        <v>128</v>
      </c>
      <c r="C25" s="507"/>
      <c r="D25" s="14"/>
      <c r="E25" s="65"/>
      <c r="F25" s="14" t="s">
        <v>42</v>
      </c>
      <c r="G25" s="65"/>
      <c r="H25" s="14"/>
      <c r="I25" s="65"/>
      <c r="J25" s="14"/>
      <c r="K25" s="65"/>
      <c r="L25" s="14"/>
      <c r="M25" s="65"/>
      <c r="N25" s="14"/>
      <c r="O25" s="58"/>
      <c r="P25" s="14"/>
      <c r="Q25" s="65"/>
      <c r="R25" s="15"/>
      <c r="S25" s="65"/>
      <c r="T25" s="14" t="s">
        <v>42</v>
      </c>
      <c r="U25" s="65"/>
      <c r="V25" s="15"/>
      <c r="W25" s="65"/>
      <c r="X25" s="15"/>
      <c r="Y25" s="80"/>
      <c r="Z25" s="14"/>
      <c r="AA25" s="65"/>
      <c r="AB25" s="14"/>
      <c r="AC25" s="80"/>
      <c r="AD25" s="15"/>
      <c r="AE25" s="65"/>
      <c r="AF25" s="14"/>
      <c r="AG25" s="80"/>
      <c r="AH25" s="14"/>
      <c r="AI25" s="65"/>
      <c r="AJ25" s="14"/>
      <c r="AK25" s="65"/>
      <c r="AL25" s="14"/>
      <c r="AM25" s="65"/>
      <c r="AN25" s="14"/>
      <c r="AO25" s="65"/>
      <c r="AP25" s="523"/>
      <c r="AQ25" s="524"/>
      <c r="AR25" s="33"/>
      <c r="AS25" s="34"/>
      <c r="AT25" s="142">
        <v>21</v>
      </c>
      <c r="AU25" s="151" t="s">
        <v>128</v>
      </c>
      <c r="AV25" s="507"/>
      <c r="AW25" s="14"/>
      <c r="AX25" s="70"/>
      <c r="AY25" s="72"/>
      <c r="AZ25" s="70"/>
      <c r="BA25" s="72"/>
      <c r="BB25" s="72"/>
      <c r="BC25" s="58"/>
      <c r="BD25" s="70"/>
      <c r="BE25" s="14"/>
      <c r="BF25" s="70"/>
      <c r="BG25" s="14" t="s">
        <v>42</v>
      </c>
      <c r="BH25" s="72"/>
      <c r="BI25" s="72"/>
      <c r="BJ25" s="72"/>
      <c r="BK25" s="58"/>
      <c r="BL25" s="70"/>
      <c r="BM25" s="14" t="s">
        <v>42</v>
      </c>
      <c r="BN25" s="74" t="s">
        <v>34</v>
      </c>
      <c r="BO25" s="69"/>
      <c r="BP25" s="74" t="s">
        <v>34</v>
      </c>
      <c r="BQ25" s="69"/>
      <c r="BR25" s="74" t="s">
        <v>34</v>
      </c>
      <c r="BS25" s="97"/>
      <c r="BT25" s="74" t="s">
        <v>34</v>
      </c>
      <c r="BU25" s="96"/>
      <c r="BV25" s="67"/>
      <c r="BW25" s="69"/>
      <c r="BX25" s="67" t="s">
        <v>33</v>
      </c>
      <c r="BY25" s="69"/>
      <c r="BZ25" s="72" t="s">
        <v>33</v>
      </c>
      <c r="CA25" s="97"/>
      <c r="CB25" s="67" t="s">
        <v>33</v>
      </c>
      <c r="CC25" s="142">
        <v>21</v>
      </c>
      <c r="CD25" s="151" t="s">
        <v>128</v>
      </c>
      <c r="CE25" s="507"/>
      <c r="CF25" s="311">
        <f t="shared" si="0"/>
        <v>3</v>
      </c>
      <c r="CG25" s="76">
        <f t="shared" si="1"/>
        <v>4</v>
      </c>
      <c r="CH25" s="27"/>
      <c r="CI25" s="28"/>
      <c r="CJ25" s="449"/>
      <c r="CK25" s="450"/>
    </row>
    <row r="26" spans="1:89" ht="15" customHeight="1">
      <c r="A26" s="142">
        <v>22</v>
      </c>
      <c r="B26" s="151" t="s">
        <v>129</v>
      </c>
      <c r="C26" s="507"/>
      <c r="D26" s="14"/>
      <c r="E26" s="65"/>
      <c r="F26" s="14" t="s">
        <v>42</v>
      </c>
      <c r="G26" s="65"/>
      <c r="H26" s="112"/>
      <c r="I26" s="65"/>
      <c r="J26" s="14"/>
      <c r="K26" s="65"/>
      <c r="L26" s="112"/>
      <c r="M26" s="65"/>
      <c r="N26" s="14"/>
      <c r="O26" s="58"/>
      <c r="P26" s="14"/>
      <c r="Q26" s="65"/>
      <c r="R26" s="112"/>
      <c r="S26" s="65"/>
      <c r="T26" s="14" t="s">
        <v>42</v>
      </c>
      <c r="U26" s="65"/>
      <c r="V26" s="112"/>
      <c r="W26" s="65"/>
      <c r="X26" s="15"/>
      <c r="Y26" s="80"/>
      <c r="Z26" s="14"/>
      <c r="AA26" s="65"/>
      <c r="AB26" s="14"/>
      <c r="AC26" s="80"/>
      <c r="AD26" s="15"/>
      <c r="AE26" s="65"/>
      <c r="AF26" s="14"/>
      <c r="AG26" s="80"/>
      <c r="AH26" s="14"/>
      <c r="AI26" s="65"/>
      <c r="AJ26" s="14"/>
      <c r="AK26" s="65"/>
      <c r="AL26" s="14"/>
      <c r="AM26" s="65"/>
      <c r="AN26" s="14"/>
      <c r="AO26" s="65"/>
      <c r="AP26" s="523" t="s">
        <v>296</v>
      </c>
      <c r="AQ26" s="524"/>
      <c r="AR26" s="33"/>
      <c r="AS26" s="34"/>
      <c r="AT26" s="142">
        <v>22</v>
      </c>
      <c r="AU26" s="151" t="s">
        <v>129</v>
      </c>
      <c r="AV26" s="507"/>
      <c r="AW26" s="14"/>
      <c r="AX26" s="67" t="s">
        <v>33</v>
      </c>
      <c r="AY26" s="69"/>
      <c r="AZ26" s="67" t="s">
        <v>33</v>
      </c>
      <c r="BA26" s="69"/>
      <c r="BB26" s="72" t="s">
        <v>33</v>
      </c>
      <c r="BC26" s="97"/>
      <c r="BD26" s="67" t="s">
        <v>33</v>
      </c>
      <c r="BE26" s="14"/>
      <c r="BF26" s="70"/>
      <c r="BG26" s="14" t="s">
        <v>42</v>
      </c>
      <c r="BH26" s="72"/>
      <c r="BI26" s="72"/>
      <c r="BJ26" s="72"/>
      <c r="BK26" s="58"/>
      <c r="BL26" s="70"/>
      <c r="BM26" s="14" t="s">
        <v>42</v>
      </c>
      <c r="BN26" s="70"/>
      <c r="BO26" s="72"/>
      <c r="BP26" s="70"/>
      <c r="BQ26" s="72"/>
      <c r="BR26" s="72"/>
      <c r="BS26" s="15"/>
      <c r="BT26" s="70"/>
      <c r="BU26" s="96"/>
      <c r="BV26" s="74"/>
      <c r="BW26" s="69"/>
      <c r="BX26" s="74" t="s">
        <v>34</v>
      </c>
      <c r="BY26" s="69"/>
      <c r="BZ26" s="74" t="s">
        <v>34</v>
      </c>
      <c r="CA26" s="97"/>
      <c r="CB26" s="74" t="s">
        <v>34</v>
      </c>
      <c r="CC26" s="142">
        <v>22</v>
      </c>
      <c r="CD26" s="151" t="s">
        <v>129</v>
      </c>
      <c r="CE26" s="507"/>
      <c r="CF26" s="311">
        <f t="shared" si="0"/>
        <v>4</v>
      </c>
      <c r="CG26" s="76">
        <f t="shared" si="1"/>
        <v>3</v>
      </c>
      <c r="CH26" s="27"/>
      <c r="CI26" s="28"/>
      <c r="CJ26" s="449"/>
      <c r="CK26" s="450"/>
    </row>
    <row r="27" spans="1:89" ht="15" customHeight="1">
      <c r="A27" s="22">
        <v>23</v>
      </c>
      <c r="B27" s="13" t="s">
        <v>130</v>
      </c>
      <c r="C27" s="507"/>
      <c r="D27" s="16"/>
      <c r="E27" s="17"/>
      <c r="F27" s="16"/>
      <c r="G27" s="17"/>
      <c r="H27" s="16"/>
      <c r="I27" s="17"/>
      <c r="J27" s="16"/>
      <c r="K27" s="17"/>
      <c r="L27" s="16"/>
      <c r="M27" s="17"/>
      <c r="N27" s="16"/>
      <c r="O27" s="59"/>
      <c r="P27" s="16"/>
      <c r="Q27" s="17"/>
      <c r="R27" s="18"/>
      <c r="S27" s="17"/>
      <c r="T27" s="18"/>
      <c r="U27" s="17"/>
      <c r="V27" s="18"/>
      <c r="W27" s="17"/>
      <c r="X27" s="18"/>
      <c r="Y27" s="82"/>
      <c r="Z27" s="16"/>
      <c r="AA27" s="17"/>
      <c r="AB27" s="16"/>
      <c r="AC27" s="82"/>
      <c r="AD27" s="18"/>
      <c r="AE27" s="17"/>
      <c r="AF27" s="16"/>
      <c r="AG27" s="82"/>
      <c r="AH27" s="16"/>
      <c r="AI27" s="17"/>
      <c r="AJ27" s="16"/>
      <c r="AK27" s="17"/>
      <c r="AL27" s="16"/>
      <c r="AM27" s="17"/>
      <c r="AN27" s="16"/>
      <c r="AO27" s="17"/>
      <c r="AP27" s="529"/>
      <c r="AQ27" s="530"/>
      <c r="AR27" s="104"/>
      <c r="AS27" s="105"/>
      <c r="AT27" s="22">
        <v>23</v>
      </c>
      <c r="AU27" s="13" t="s">
        <v>130</v>
      </c>
      <c r="AV27" s="507"/>
      <c r="AW27" s="16"/>
      <c r="AX27" s="75" t="s">
        <v>34</v>
      </c>
      <c r="AY27" s="68"/>
      <c r="AZ27" s="75" t="s">
        <v>34</v>
      </c>
      <c r="BA27" s="68"/>
      <c r="BB27" s="75" t="s">
        <v>34</v>
      </c>
      <c r="BC27" s="83"/>
      <c r="BD27" s="75" t="s">
        <v>34</v>
      </c>
      <c r="BE27" s="16"/>
      <c r="BF27" s="66" t="s">
        <v>33</v>
      </c>
      <c r="BG27" s="68"/>
      <c r="BH27" s="66" t="s">
        <v>33</v>
      </c>
      <c r="BI27" s="68"/>
      <c r="BJ27" s="73" t="s">
        <v>33</v>
      </c>
      <c r="BK27" s="83"/>
      <c r="BL27" s="66" t="s">
        <v>33</v>
      </c>
      <c r="BM27" s="38" t="s">
        <v>41</v>
      </c>
      <c r="BN27" s="71"/>
      <c r="BO27" s="73"/>
      <c r="BP27" s="71"/>
      <c r="BQ27" s="73"/>
      <c r="BR27" s="73"/>
      <c r="BS27" s="18"/>
      <c r="BT27" s="71"/>
      <c r="BU27" s="108"/>
      <c r="BV27" s="66"/>
      <c r="BW27" s="68"/>
      <c r="BX27" s="66"/>
      <c r="BY27" s="68"/>
      <c r="BZ27" s="68"/>
      <c r="CA27" s="83"/>
      <c r="CB27" s="66"/>
      <c r="CC27" s="22">
        <v>23</v>
      </c>
      <c r="CD27" s="13" t="s">
        <v>130</v>
      </c>
      <c r="CE27" s="507"/>
      <c r="CF27" s="311">
        <f t="shared" si="0"/>
        <v>4</v>
      </c>
      <c r="CG27" s="76">
        <f t="shared" si="1"/>
        <v>4</v>
      </c>
      <c r="CH27" s="27"/>
      <c r="CI27" s="28"/>
      <c r="CJ27" s="449"/>
      <c r="CK27" s="450"/>
    </row>
    <row r="28" spans="1:89" ht="15" customHeight="1">
      <c r="A28" s="22">
        <v>24</v>
      </c>
      <c r="B28" s="13" t="s">
        <v>131</v>
      </c>
      <c r="C28" s="508"/>
      <c r="D28" s="16"/>
      <c r="E28" s="17"/>
      <c r="F28" s="16"/>
      <c r="G28" s="17"/>
      <c r="H28" s="16"/>
      <c r="I28" s="17"/>
      <c r="J28" s="16"/>
      <c r="K28" s="17"/>
      <c r="L28" s="16"/>
      <c r="M28" s="17"/>
      <c r="N28" s="16"/>
      <c r="O28" s="59"/>
      <c r="P28" s="16"/>
      <c r="Q28" s="17"/>
      <c r="R28" s="18"/>
      <c r="S28" s="17"/>
      <c r="T28" s="18"/>
      <c r="U28" s="17"/>
      <c r="V28" s="18"/>
      <c r="W28" s="17"/>
      <c r="X28" s="18"/>
      <c r="Y28" s="82"/>
      <c r="Z28" s="16"/>
      <c r="AA28" s="17"/>
      <c r="AB28" s="16"/>
      <c r="AC28" s="82"/>
      <c r="AD28" s="18"/>
      <c r="AE28" s="17"/>
      <c r="AF28" s="16"/>
      <c r="AG28" s="82"/>
      <c r="AH28" s="16"/>
      <c r="AI28" s="17"/>
      <c r="AJ28" s="16"/>
      <c r="AK28" s="17"/>
      <c r="AL28" s="16"/>
      <c r="AM28" s="17"/>
      <c r="AN28" s="16"/>
      <c r="AO28" s="17"/>
      <c r="AP28" s="529"/>
      <c r="AQ28" s="530"/>
      <c r="AR28" s="104"/>
      <c r="AS28" s="105"/>
      <c r="AT28" s="22">
        <v>24</v>
      </c>
      <c r="AU28" s="13" t="s">
        <v>131</v>
      </c>
      <c r="AV28" s="508"/>
      <c r="AW28" s="16"/>
      <c r="AX28" s="71"/>
      <c r="AY28" s="73"/>
      <c r="AZ28" s="71"/>
      <c r="BA28" s="73"/>
      <c r="BB28" s="73"/>
      <c r="BC28" s="59"/>
      <c r="BD28" s="71"/>
      <c r="BE28" s="16"/>
      <c r="BF28" s="75" t="s">
        <v>34</v>
      </c>
      <c r="BG28" s="68"/>
      <c r="BH28" s="75" t="s">
        <v>34</v>
      </c>
      <c r="BI28" s="68"/>
      <c r="BJ28" s="75" t="s">
        <v>34</v>
      </c>
      <c r="BK28" s="83"/>
      <c r="BL28" s="75" t="s">
        <v>34</v>
      </c>
      <c r="BM28" s="38" t="s">
        <v>41</v>
      </c>
      <c r="BN28" s="66" t="s">
        <v>33</v>
      </c>
      <c r="BO28" s="68"/>
      <c r="BP28" s="66" t="s">
        <v>33</v>
      </c>
      <c r="BQ28" s="68"/>
      <c r="BR28" s="73" t="s">
        <v>33</v>
      </c>
      <c r="BS28" s="83"/>
      <c r="BT28" s="70" t="s">
        <v>61</v>
      </c>
      <c r="BU28" s="108"/>
      <c r="BV28" s="66"/>
      <c r="BW28" s="68"/>
      <c r="BX28" s="66"/>
      <c r="BY28" s="68"/>
      <c r="BZ28" s="68"/>
      <c r="CA28" s="83"/>
      <c r="CB28" s="66"/>
      <c r="CC28" s="22">
        <v>24</v>
      </c>
      <c r="CD28" s="13" t="s">
        <v>131</v>
      </c>
      <c r="CE28" s="508"/>
      <c r="CF28" s="311">
        <f t="shared" si="0"/>
        <v>3</v>
      </c>
      <c r="CG28" s="76">
        <f t="shared" si="1"/>
        <v>4</v>
      </c>
      <c r="CH28" s="27"/>
      <c r="CI28" s="28"/>
      <c r="CJ28" s="449"/>
      <c r="CK28" s="450"/>
    </row>
    <row r="29" spans="1:89" ht="15" customHeight="1">
      <c r="A29" s="142">
        <v>25</v>
      </c>
      <c r="B29" s="151" t="s">
        <v>132</v>
      </c>
      <c r="C29" s="506">
        <v>43</v>
      </c>
      <c r="D29" s="14"/>
      <c r="E29" s="65"/>
      <c r="F29" s="14"/>
      <c r="G29" s="65"/>
      <c r="H29" s="14"/>
      <c r="I29" s="65"/>
      <c r="J29" s="14"/>
      <c r="K29" s="65"/>
      <c r="L29" s="14"/>
      <c r="M29" s="65"/>
      <c r="N29" s="14"/>
      <c r="O29" s="58"/>
      <c r="P29" s="14"/>
      <c r="Q29" s="65"/>
      <c r="R29" s="15"/>
      <c r="S29" s="65"/>
      <c r="T29" s="15"/>
      <c r="U29" s="65"/>
      <c r="V29" s="15"/>
      <c r="W29" s="65"/>
      <c r="X29" s="15"/>
      <c r="Y29" s="80"/>
      <c r="Z29" s="14"/>
      <c r="AA29" s="65"/>
      <c r="AB29" s="14"/>
      <c r="AC29" s="80"/>
      <c r="AD29" s="15"/>
      <c r="AE29" s="65"/>
      <c r="AF29" s="14"/>
      <c r="AG29" s="80"/>
      <c r="AH29" s="14"/>
      <c r="AI29" s="65"/>
      <c r="AJ29" s="14"/>
      <c r="AK29" s="65"/>
      <c r="AL29" s="14"/>
      <c r="AM29" s="65"/>
      <c r="AN29" s="14"/>
      <c r="AO29" s="65"/>
      <c r="AP29" s="523" t="s">
        <v>278</v>
      </c>
      <c r="AQ29" s="524"/>
      <c r="AR29" s="33"/>
      <c r="AS29" s="34"/>
      <c r="AT29" s="142">
        <v>25</v>
      </c>
      <c r="AU29" s="151" t="s">
        <v>132</v>
      </c>
      <c r="AV29" s="506">
        <v>44</v>
      </c>
      <c r="AW29" s="14"/>
      <c r="AX29" s="70"/>
      <c r="AY29" s="72"/>
      <c r="AZ29" s="70"/>
      <c r="BA29" s="72"/>
      <c r="BB29" s="72"/>
      <c r="BC29" s="58"/>
      <c r="BD29" s="70"/>
      <c r="BE29" s="14"/>
      <c r="BF29" s="70"/>
      <c r="BG29" s="72"/>
      <c r="BH29" s="70"/>
      <c r="BI29" s="72"/>
      <c r="BJ29" s="72"/>
      <c r="BK29" s="58"/>
      <c r="BL29" s="70"/>
      <c r="BM29" s="38" t="s">
        <v>41</v>
      </c>
      <c r="BN29" s="74" t="s">
        <v>34</v>
      </c>
      <c r="BO29" s="69"/>
      <c r="BP29" s="74" t="s">
        <v>34</v>
      </c>
      <c r="BQ29" s="69"/>
      <c r="BR29" s="74" t="s">
        <v>34</v>
      </c>
      <c r="BS29" s="97"/>
      <c r="BT29" s="74" t="s">
        <v>34</v>
      </c>
      <c r="BU29" s="96"/>
      <c r="BV29" s="67"/>
      <c r="BW29" s="69"/>
      <c r="BX29" s="67" t="s">
        <v>33</v>
      </c>
      <c r="BY29" s="69"/>
      <c r="BZ29" s="72" t="s">
        <v>33</v>
      </c>
      <c r="CA29" s="97"/>
      <c r="CB29" s="67" t="s">
        <v>33</v>
      </c>
      <c r="CC29" s="142">
        <v>25</v>
      </c>
      <c r="CD29" s="151" t="s">
        <v>132</v>
      </c>
      <c r="CE29" s="506">
        <v>43</v>
      </c>
      <c r="CF29" s="311">
        <f t="shared" si="0"/>
        <v>3</v>
      </c>
      <c r="CG29" s="76">
        <f t="shared" si="1"/>
        <v>4</v>
      </c>
      <c r="CH29" s="27"/>
      <c r="CI29" s="28"/>
      <c r="CJ29" s="292" t="s">
        <v>278</v>
      </c>
      <c r="CK29" s="293"/>
    </row>
    <row r="30" spans="1:89" ht="15" customHeight="1">
      <c r="A30" s="142">
        <v>26</v>
      </c>
      <c r="B30" s="151" t="s">
        <v>133</v>
      </c>
      <c r="C30" s="507"/>
      <c r="D30" s="113"/>
      <c r="E30" s="65"/>
      <c r="F30" s="113"/>
      <c r="G30" s="65"/>
      <c r="H30" s="113"/>
      <c r="I30" s="65"/>
      <c r="J30" s="113"/>
      <c r="K30" s="65"/>
      <c r="L30" s="113"/>
      <c r="M30" s="65"/>
      <c r="N30" s="14"/>
      <c r="O30" s="58"/>
      <c r="P30" s="14"/>
      <c r="Q30" s="65"/>
      <c r="R30" s="113"/>
      <c r="S30" s="65"/>
      <c r="T30" s="113"/>
      <c r="U30" s="65"/>
      <c r="V30" s="15"/>
      <c r="W30" s="65"/>
      <c r="X30" s="113"/>
      <c r="Y30" s="80"/>
      <c r="Z30" s="113"/>
      <c r="AA30" s="65"/>
      <c r="AB30" s="113"/>
      <c r="AC30" s="80"/>
      <c r="AD30" s="113"/>
      <c r="AE30" s="65"/>
      <c r="AF30" s="113"/>
      <c r="AG30" s="80"/>
      <c r="AH30" s="113"/>
      <c r="AI30" s="65"/>
      <c r="AJ30" s="14"/>
      <c r="AK30" s="65"/>
      <c r="AL30" s="113"/>
      <c r="AM30" s="65"/>
      <c r="AN30" s="113"/>
      <c r="AO30" s="65"/>
      <c r="AP30" s="523"/>
      <c r="AQ30" s="524"/>
      <c r="AR30" s="33"/>
      <c r="AS30" s="34"/>
      <c r="AT30" s="142">
        <v>26</v>
      </c>
      <c r="AU30" s="151" t="s">
        <v>133</v>
      </c>
      <c r="AV30" s="507"/>
      <c r="AW30" s="14"/>
      <c r="AX30" s="67" t="s">
        <v>33</v>
      </c>
      <c r="AY30" s="69"/>
      <c r="AZ30" s="67" t="s">
        <v>33</v>
      </c>
      <c r="BA30" s="69"/>
      <c r="BB30" s="72" t="s">
        <v>33</v>
      </c>
      <c r="BC30" s="97"/>
      <c r="BD30" s="67" t="s">
        <v>33</v>
      </c>
      <c r="BE30" s="14"/>
      <c r="BF30" s="70"/>
      <c r="BG30" s="72"/>
      <c r="BH30" s="70"/>
      <c r="BI30" s="72"/>
      <c r="BJ30" s="72"/>
      <c r="BK30" s="58"/>
      <c r="BL30" s="70"/>
      <c r="BM30" s="38" t="s">
        <v>41</v>
      </c>
      <c r="BN30" s="70"/>
      <c r="BO30" s="72"/>
      <c r="BP30" s="70"/>
      <c r="BQ30" s="72"/>
      <c r="BR30" s="72"/>
      <c r="BS30" s="15"/>
      <c r="BT30" s="70"/>
      <c r="BU30" s="96"/>
      <c r="BV30" s="74"/>
      <c r="BW30" s="69"/>
      <c r="BX30" s="74" t="s">
        <v>34</v>
      </c>
      <c r="BY30" s="69"/>
      <c r="BZ30" s="74" t="s">
        <v>34</v>
      </c>
      <c r="CA30" s="97"/>
      <c r="CB30" s="74" t="s">
        <v>34</v>
      </c>
      <c r="CC30" s="142">
        <v>26</v>
      </c>
      <c r="CD30" s="151" t="s">
        <v>133</v>
      </c>
      <c r="CE30" s="507"/>
      <c r="CF30" s="311">
        <f t="shared" si="0"/>
        <v>4</v>
      </c>
      <c r="CG30" s="76">
        <f t="shared" si="1"/>
        <v>3</v>
      </c>
      <c r="CH30" s="27"/>
      <c r="CI30" s="28"/>
      <c r="CJ30" s="449"/>
      <c r="CK30" s="450"/>
    </row>
    <row r="31" spans="1:89" ht="15" customHeight="1">
      <c r="A31" s="142">
        <v>27</v>
      </c>
      <c r="B31" s="151" t="s">
        <v>127</v>
      </c>
      <c r="C31" s="507"/>
      <c r="D31" s="14"/>
      <c r="E31" s="65"/>
      <c r="F31" s="14"/>
      <c r="G31" s="65"/>
      <c r="H31" s="14"/>
      <c r="I31" s="65"/>
      <c r="J31" s="14"/>
      <c r="K31" s="65"/>
      <c r="L31" s="14"/>
      <c r="M31" s="65"/>
      <c r="N31" s="14"/>
      <c r="O31" s="58"/>
      <c r="P31" s="14"/>
      <c r="Q31" s="65"/>
      <c r="R31" s="15"/>
      <c r="S31" s="65"/>
      <c r="T31" s="15"/>
      <c r="U31" s="65"/>
      <c r="V31" s="15"/>
      <c r="W31" s="65"/>
      <c r="X31" s="15"/>
      <c r="Y31" s="80"/>
      <c r="Z31" s="14"/>
      <c r="AA31" s="65"/>
      <c r="AB31" s="14"/>
      <c r="AC31" s="80"/>
      <c r="AD31" s="15"/>
      <c r="AE31" s="65"/>
      <c r="AF31" s="14"/>
      <c r="AG31" s="80"/>
      <c r="AH31" s="14"/>
      <c r="AI31" s="65"/>
      <c r="AJ31" s="14"/>
      <c r="AK31" s="65"/>
      <c r="AL31" s="14"/>
      <c r="AM31" s="65"/>
      <c r="AN31" s="14"/>
      <c r="AO31" s="65"/>
      <c r="AP31" s="523"/>
      <c r="AQ31" s="524"/>
      <c r="AR31" s="33"/>
      <c r="AS31" s="34"/>
      <c r="AT31" s="142">
        <v>27</v>
      </c>
      <c r="AU31" s="151" t="s">
        <v>127</v>
      </c>
      <c r="AV31" s="507"/>
      <c r="AW31" s="14"/>
      <c r="AX31" s="74" t="s">
        <v>34</v>
      </c>
      <c r="AY31" s="69"/>
      <c r="AZ31" s="74" t="s">
        <v>34</v>
      </c>
      <c r="BA31" s="69"/>
      <c r="BB31" s="74" t="s">
        <v>34</v>
      </c>
      <c r="BC31" s="97"/>
      <c r="BD31" s="74" t="s">
        <v>34</v>
      </c>
      <c r="BE31" s="14"/>
      <c r="BF31" s="67" t="s">
        <v>33</v>
      </c>
      <c r="BG31" s="69"/>
      <c r="BH31" s="67" t="s">
        <v>33</v>
      </c>
      <c r="BI31" s="69"/>
      <c r="BJ31" s="72" t="s">
        <v>33</v>
      </c>
      <c r="BK31" s="97"/>
      <c r="BL31" s="67" t="s">
        <v>33</v>
      </c>
      <c r="BM31" s="38" t="s">
        <v>41</v>
      </c>
      <c r="BN31" s="70"/>
      <c r="BO31" s="72"/>
      <c r="BP31" s="70"/>
      <c r="BQ31" s="72"/>
      <c r="BR31" s="72"/>
      <c r="BS31" s="15"/>
      <c r="BT31" s="70"/>
      <c r="BU31" s="96"/>
      <c r="BV31" s="67"/>
      <c r="BW31" s="69"/>
      <c r="BX31" s="67"/>
      <c r="BY31" s="69"/>
      <c r="BZ31" s="69"/>
      <c r="CA31" s="97"/>
      <c r="CB31" s="67"/>
      <c r="CC31" s="142">
        <v>27</v>
      </c>
      <c r="CD31" s="151" t="s">
        <v>127</v>
      </c>
      <c r="CE31" s="507"/>
      <c r="CF31" s="311">
        <f t="shared" si="0"/>
        <v>4</v>
      </c>
      <c r="CG31" s="76">
        <f t="shared" si="1"/>
        <v>4</v>
      </c>
      <c r="CH31" s="27"/>
      <c r="CI31" s="28"/>
      <c r="CJ31" s="449"/>
      <c r="CK31" s="450"/>
    </row>
    <row r="32" spans="1:89" ht="15" customHeight="1">
      <c r="A32" s="142">
        <v>28</v>
      </c>
      <c r="B32" s="151" t="s">
        <v>128</v>
      </c>
      <c r="C32" s="507"/>
      <c r="D32" s="14"/>
      <c r="E32" s="65"/>
      <c r="F32" s="14"/>
      <c r="G32" s="65"/>
      <c r="H32" s="14"/>
      <c r="I32" s="65"/>
      <c r="J32" s="14"/>
      <c r="K32" s="65"/>
      <c r="L32" s="14"/>
      <c r="M32" s="65"/>
      <c r="N32" s="14"/>
      <c r="O32" s="58"/>
      <c r="P32" s="14"/>
      <c r="Q32" s="65"/>
      <c r="R32" s="15"/>
      <c r="S32" s="65"/>
      <c r="T32" s="15"/>
      <c r="U32" s="65"/>
      <c r="V32" s="15"/>
      <c r="W32" s="65"/>
      <c r="X32" s="15"/>
      <c r="Y32" s="80"/>
      <c r="Z32" s="14"/>
      <c r="AA32" s="65"/>
      <c r="AB32" s="14"/>
      <c r="AC32" s="80"/>
      <c r="AD32" s="15"/>
      <c r="AE32" s="65"/>
      <c r="AF32" s="14"/>
      <c r="AG32" s="80"/>
      <c r="AH32" s="14"/>
      <c r="AI32" s="65"/>
      <c r="AJ32" s="14"/>
      <c r="AK32" s="65"/>
      <c r="AL32" s="14"/>
      <c r="AM32" s="65"/>
      <c r="AN32" s="14"/>
      <c r="AO32" s="65"/>
      <c r="AP32" s="509"/>
      <c r="AQ32" s="510"/>
      <c r="AR32" s="33"/>
      <c r="AS32" s="34"/>
      <c r="AT32" s="142">
        <v>28</v>
      </c>
      <c r="AU32" s="151" t="s">
        <v>128</v>
      </c>
      <c r="AV32" s="507"/>
      <c r="AW32" s="14"/>
      <c r="AX32" s="70"/>
      <c r="AY32" s="72"/>
      <c r="AZ32" s="70"/>
      <c r="BA32" s="72"/>
      <c r="BB32" s="72"/>
      <c r="BC32" s="58"/>
      <c r="BD32" s="70"/>
      <c r="BE32" s="14"/>
      <c r="BF32" s="74" t="s">
        <v>34</v>
      </c>
      <c r="BG32" s="69"/>
      <c r="BH32" s="74" t="s">
        <v>34</v>
      </c>
      <c r="BI32" s="69"/>
      <c r="BJ32" s="74" t="s">
        <v>34</v>
      </c>
      <c r="BK32" s="97"/>
      <c r="BL32" s="74" t="s">
        <v>34</v>
      </c>
      <c r="BM32" s="38" t="s">
        <v>41</v>
      </c>
      <c r="BN32" s="67" t="s">
        <v>33</v>
      </c>
      <c r="BO32" s="69"/>
      <c r="BP32" s="67" t="s">
        <v>33</v>
      </c>
      <c r="BQ32" s="69"/>
      <c r="BR32" s="72" t="s">
        <v>33</v>
      </c>
      <c r="BS32" s="97"/>
      <c r="BT32" s="67" t="s">
        <v>33</v>
      </c>
      <c r="BU32" s="96"/>
      <c r="BV32" s="67"/>
      <c r="BW32" s="69"/>
      <c r="BX32" s="67"/>
      <c r="BY32" s="69"/>
      <c r="BZ32" s="69"/>
      <c r="CA32" s="97"/>
      <c r="CB32" s="67"/>
      <c r="CC32" s="142">
        <v>28</v>
      </c>
      <c r="CD32" s="151" t="s">
        <v>128</v>
      </c>
      <c r="CE32" s="507"/>
      <c r="CF32" s="311">
        <f t="shared" si="0"/>
        <v>4</v>
      </c>
      <c r="CG32" s="76">
        <f t="shared" si="1"/>
        <v>4</v>
      </c>
      <c r="CH32" s="27"/>
      <c r="CI32" s="28"/>
      <c r="CJ32" s="449"/>
      <c r="CK32" s="450"/>
    </row>
    <row r="33" spans="1:89" ht="15" customHeight="1">
      <c r="A33" s="142">
        <v>29</v>
      </c>
      <c r="B33" s="151" t="s">
        <v>129</v>
      </c>
      <c r="C33" s="507"/>
      <c r="D33" s="14"/>
      <c r="E33" s="65"/>
      <c r="F33" s="14"/>
      <c r="G33" s="65"/>
      <c r="H33" s="14"/>
      <c r="I33" s="65"/>
      <c r="J33" s="14"/>
      <c r="K33" s="65"/>
      <c r="L33" s="14"/>
      <c r="M33" s="65"/>
      <c r="N33" s="14"/>
      <c r="O33" s="58"/>
      <c r="P33" s="14"/>
      <c r="Q33" s="65"/>
      <c r="R33" s="15"/>
      <c r="S33" s="65"/>
      <c r="T33" s="15"/>
      <c r="U33" s="65"/>
      <c r="V33" s="15"/>
      <c r="W33" s="65"/>
      <c r="X33" s="15"/>
      <c r="Y33" s="80"/>
      <c r="Z33" s="14"/>
      <c r="AA33" s="65"/>
      <c r="AB33" s="14"/>
      <c r="AC33" s="80"/>
      <c r="AD33" s="15"/>
      <c r="AE33" s="65"/>
      <c r="AF33" s="14"/>
      <c r="AG33" s="80"/>
      <c r="AH33" s="14"/>
      <c r="AI33" s="65"/>
      <c r="AJ33" s="14"/>
      <c r="AK33" s="65"/>
      <c r="AL33" s="14"/>
      <c r="AM33" s="65"/>
      <c r="AN33" s="14"/>
      <c r="AO33" s="65"/>
      <c r="AP33" s="509"/>
      <c r="AQ33" s="510"/>
      <c r="AR33" s="33"/>
      <c r="AS33" s="34"/>
      <c r="AT33" s="142">
        <v>29</v>
      </c>
      <c r="AU33" s="151" t="s">
        <v>129</v>
      </c>
      <c r="AV33" s="507"/>
      <c r="AW33" s="14"/>
      <c r="AX33" s="70"/>
      <c r="AY33" s="72"/>
      <c r="AZ33" s="70"/>
      <c r="BA33" s="72"/>
      <c r="BB33" s="72"/>
      <c r="BC33" s="58"/>
      <c r="BD33" s="70"/>
      <c r="BE33" s="14"/>
      <c r="BF33" s="70"/>
      <c r="BG33" s="72"/>
      <c r="BH33" s="70"/>
      <c r="BI33" s="72"/>
      <c r="BJ33" s="72"/>
      <c r="BK33" s="58"/>
      <c r="BL33" s="70"/>
      <c r="BM33" s="38" t="s">
        <v>41</v>
      </c>
      <c r="BN33" s="74" t="s">
        <v>34</v>
      </c>
      <c r="BO33" s="69"/>
      <c r="BP33" s="74" t="s">
        <v>34</v>
      </c>
      <c r="BQ33" s="69"/>
      <c r="BR33" s="74" t="s">
        <v>34</v>
      </c>
      <c r="BS33" s="97"/>
      <c r="BT33" s="74" t="s">
        <v>34</v>
      </c>
      <c r="BU33" s="96"/>
      <c r="BV33" s="67"/>
      <c r="BW33" s="69"/>
      <c r="BX33" s="67" t="s">
        <v>33</v>
      </c>
      <c r="BY33" s="69"/>
      <c r="BZ33" s="72" t="s">
        <v>33</v>
      </c>
      <c r="CA33" s="97"/>
      <c r="CB33" s="67" t="s">
        <v>33</v>
      </c>
      <c r="CC33" s="142">
        <v>29</v>
      </c>
      <c r="CD33" s="151" t="s">
        <v>129</v>
      </c>
      <c r="CE33" s="507"/>
      <c r="CF33" s="311">
        <f t="shared" si="0"/>
        <v>3</v>
      </c>
      <c r="CG33" s="76">
        <f t="shared" si="1"/>
        <v>4</v>
      </c>
      <c r="CH33" s="27"/>
      <c r="CI33" s="28"/>
      <c r="CJ33" s="449"/>
      <c r="CK33" s="450"/>
    </row>
    <row r="34" spans="1:89" ht="15" customHeight="1">
      <c r="A34" s="22">
        <v>30</v>
      </c>
      <c r="B34" s="13" t="s">
        <v>130</v>
      </c>
      <c r="C34" s="507"/>
      <c r="D34" s="16"/>
      <c r="E34" s="17"/>
      <c r="F34" s="16"/>
      <c r="G34" s="17"/>
      <c r="H34" s="16"/>
      <c r="I34" s="17"/>
      <c r="J34" s="16"/>
      <c r="K34" s="17"/>
      <c r="L34" s="16"/>
      <c r="M34" s="17"/>
      <c r="N34" s="16"/>
      <c r="O34" s="59"/>
      <c r="P34" s="16"/>
      <c r="Q34" s="17"/>
      <c r="R34" s="18"/>
      <c r="S34" s="17"/>
      <c r="T34" s="18"/>
      <c r="U34" s="17"/>
      <c r="V34" s="18"/>
      <c r="W34" s="17"/>
      <c r="X34" s="18"/>
      <c r="Y34" s="82"/>
      <c r="Z34" s="16"/>
      <c r="AA34" s="17"/>
      <c r="AB34" s="16"/>
      <c r="AC34" s="82"/>
      <c r="AD34" s="18"/>
      <c r="AE34" s="17"/>
      <c r="AF34" s="16"/>
      <c r="AG34" s="82"/>
      <c r="AH34" s="16"/>
      <c r="AI34" s="17"/>
      <c r="AJ34" s="16"/>
      <c r="AK34" s="17"/>
      <c r="AL34" s="16"/>
      <c r="AM34" s="17"/>
      <c r="AN34" s="16"/>
      <c r="AO34" s="17"/>
      <c r="AP34" s="529"/>
      <c r="AQ34" s="530"/>
      <c r="AR34" s="128"/>
      <c r="AS34" s="129"/>
      <c r="AT34" s="22">
        <v>30</v>
      </c>
      <c r="AU34" s="13" t="s">
        <v>130</v>
      </c>
      <c r="AV34" s="507"/>
      <c r="AW34" s="16"/>
      <c r="AX34" s="66" t="s">
        <v>33</v>
      </c>
      <c r="AY34" s="68"/>
      <c r="AZ34" s="66" t="s">
        <v>33</v>
      </c>
      <c r="BA34" s="68"/>
      <c r="BB34" s="73" t="s">
        <v>33</v>
      </c>
      <c r="BC34" s="83"/>
      <c r="BD34" s="66" t="s">
        <v>33</v>
      </c>
      <c r="BE34" s="16"/>
      <c r="BF34" s="71"/>
      <c r="BG34" s="73"/>
      <c r="BH34" s="71"/>
      <c r="BI34" s="73"/>
      <c r="BJ34" s="73"/>
      <c r="BK34" s="59"/>
      <c r="BL34" s="71"/>
      <c r="BM34" s="38" t="s">
        <v>41</v>
      </c>
      <c r="BN34" s="71"/>
      <c r="BO34" s="73"/>
      <c r="BP34" s="71"/>
      <c r="BQ34" s="73"/>
      <c r="BR34" s="73"/>
      <c r="BS34" s="18"/>
      <c r="BT34" s="71"/>
      <c r="BU34" s="108"/>
      <c r="BV34" s="75"/>
      <c r="BW34" s="68"/>
      <c r="BX34" s="75" t="s">
        <v>34</v>
      </c>
      <c r="BY34" s="68"/>
      <c r="BZ34" s="75" t="s">
        <v>34</v>
      </c>
      <c r="CA34" s="83"/>
      <c r="CB34" s="75" t="s">
        <v>34</v>
      </c>
      <c r="CC34" s="22">
        <v>30</v>
      </c>
      <c r="CD34" s="13" t="s">
        <v>130</v>
      </c>
      <c r="CE34" s="507"/>
      <c r="CF34" s="311">
        <f t="shared" ref="CF34" si="2">COUNTIF(AX34:CB34,"י")+COUNTIF(AX34:CB34,"Y")+COUNTIF(AX34:CB34,"2")</f>
        <v>4</v>
      </c>
      <c r="CG34" s="76">
        <f t="shared" ref="CG34" si="3">COUNTIF(AW34:CB34,"ל")+COUNTIF(AW34:CB34,"L")+COUNTIF(AW34:CB34,"ל2")</f>
        <v>3</v>
      </c>
      <c r="CH34" s="102"/>
      <c r="CI34" s="103"/>
      <c r="CJ34" s="551"/>
      <c r="CK34" s="552"/>
    </row>
    <row r="35" spans="1:89" ht="15" customHeight="1" thickBot="1">
      <c r="A35" s="22">
        <v>31</v>
      </c>
      <c r="B35" s="13" t="s">
        <v>131</v>
      </c>
      <c r="C35" s="508"/>
      <c r="D35" s="16"/>
      <c r="E35" s="17"/>
      <c r="F35" s="16"/>
      <c r="G35" s="17"/>
      <c r="H35" s="16"/>
      <c r="I35" s="17"/>
      <c r="J35" s="16"/>
      <c r="K35" s="17"/>
      <c r="L35" s="16"/>
      <c r="M35" s="17"/>
      <c r="N35" s="16"/>
      <c r="O35" s="59"/>
      <c r="P35" s="16"/>
      <c r="Q35" s="17"/>
      <c r="R35" s="18"/>
      <c r="S35" s="17"/>
      <c r="T35" s="18"/>
      <c r="U35" s="17"/>
      <c r="V35" s="18"/>
      <c r="W35" s="17"/>
      <c r="X35" s="18"/>
      <c r="Y35" s="82"/>
      <c r="Z35" s="16"/>
      <c r="AA35" s="17"/>
      <c r="AB35" s="16"/>
      <c r="AC35" s="82"/>
      <c r="AD35" s="18"/>
      <c r="AE35" s="17"/>
      <c r="AF35" s="16"/>
      <c r="AG35" s="82"/>
      <c r="AH35" s="16"/>
      <c r="AI35" s="17"/>
      <c r="AJ35" s="16"/>
      <c r="AK35" s="17"/>
      <c r="AL35" s="16"/>
      <c r="AM35" s="17"/>
      <c r="AN35" s="16"/>
      <c r="AO35" s="17"/>
      <c r="AP35" s="585"/>
      <c r="AQ35" s="586"/>
      <c r="AR35" s="107"/>
      <c r="AS35" s="127"/>
      <c r="AT35" s="22">
        <v>31</v>
      </c>
      <c r="AU35" s="13" t="s">
        <v>131</v>
      </c>
      <c r="AV35" s="508"/>
      <c r="AW35" s="16"/>
      <c r="AX35" s="75" t="s">
        <v>34</v>
      </c>
      <c r="AY35" s="68"/>
      <c r="AZ35" s="75" t="s">
        <v>34</v>
      </c>
      <c r="BA35" s="68"/>
      <c r="BB35" s="75" t="s">
        <v>34</v>
      </c>
      <c r="BC35" s="83"/>
      <c r="BD35" s="75" t="s">
        <v>34</v>
      </c>
      <c r="BE35" s="16"/>
      <c r="BF35" s="66" t="s">
        <v>33</v>
      </c>
      <c r="BG35" s="68"/>
      <c r="BH35" s="66" t="s">
        <v>33</v>
      </c>
      <c r="BI35" s="68"/>
      <c r="BJ35" s="73" t="s">
        <v>33</v>
      </c>
      <c r="BK35" s="83"/>
      <c r="BL35" s="66" t="s">
        <v>33</v>
      </c>
      <c r="BM35" s="38" t="s">
        <v>41</v>
      </c>
      <c r="BN35" s="71"/>
      <c r="BO35" s="73"/>
      <c r="BP35" s="71"/>
      <c r="BQ35" s="73"/>
      <c r="BR35" s="73"/>
      <c r="BS35" s="18"/>
      <c r="BT35" s="71"/>
      <c r="BU35" s="108"/>
      <c r="BV35" s="66"/>
      <c r="BW35" s="68"/>
      <c r="BX35" s="66"/>
      <c r="BY35" s="68"/>
      <c r="BZ35" s="68"/>
      <c r="CA35" s="83"/>
      <c r="CB35" s="66"/>
      <c r="CC35" s="22">
        <v>31</v>
      </c>
      <c r="CD35" s="13" t="s">
        <v>131</v>
      </c>
      <c r="CE35" s="508"/>
      <c r="CF35" s="312">
        <f t="shared" si="0"/>
        <v>4</v>
      </c>
      <c r="CG35" s="77">
        <f t="shared" si="1"/>
        <v>4</v>
      </c>
      <c r="CH35" s="26"/>
      <c r="CI35" s="21"/>
      <c r="CJ35" s="549"/>
      <c r="CK35" s="550"/>
    </row>
    <row r="36" spans="1:89" ht="15" customHeight="1" thickBot="1">
      <c r="D36" s="8">
        <f>(COUNTIF(D1:D35,"הרצליה")+COUNTIF(D1:D35,"חיפה")+COUNTIF(D1:D35,"רמון")+COUNTIF(D1:D35,"ראש פינה")+COUNTIF(D1:D35,"ה.ב"))</f>
        <v>0</v>
      </c>
      <c r="E36" s="9">
        <f>(COUNTIF(E1:E35,"כ")+COUNTIF(E1:E35,"כמ"))*6+(COUNTIF(E1:E35,"כש")+COUNTIF(E1:E35,"כמש"))*10</f>
        <v>0</v>
      </c>
      <c r="F36" s="8">
        <f t="shared" ref="F36" si="4">(COUNTIF(F1:F35,"הרצליה")+COUNTIF(F1:F35,"חיפה")+COUNTIF(F1:F35,"רמון")+COUNTIF(F1:F35,"ראש פינה")+COUNTIF(F1:F35,"ה.ב"))</f>
        <v>0</v>
      </c>
      <c r="G36" s="9">
        <f t="shared" ref="G36" si="5">(COUNTIF(G1:G35,"כ")+COUNTIF(G1:G35,"כמ"))*6+(COUNTIF(G1:G35,"כש")+COUNTIF(G1:G35,"כמש"))*10</f>
        <v>0</v>
      </c>
      <c r="H36" s="8">
        <f t="shared" ref="H36" si="6">(COUNTIF(H1:H35,"הרצליה")+COUNTIF(H1:H35,"חיפה")+COUNTIF(H1:H35,"רמון")+COUNTIF(H1:H35,"ראש פינה")+COUNTIF(H1:H35,"ה.ב"))</f>
        <v>0</v>
      </c>
      <c r="I36" s="9">
        <f t="shared" ref="I36" si="7">(COUNTIF(I1:I35,"כ")+COUNTIF(I1:I35,"כמ"))*6+(COUNTIF(I1:I35,"כש")+COUNTIF(I1:I35,"כמש"))*10</f>
        <v>0</v>
      </c>
      <c r="J36" s="8">
        <f t="shared" ref="J36" si="8">(COUNTIF(J1:J35,"הרצליה")+COUNTIF(J1:J35,"חיפה")+COUNTIF(J1:J35,"רמון")+COUNTIF(J1:J35,"ראש פינה")+COUNTIF(J1:J35,"ה.ב"))</f>
        <v>0</v>
      </c>
      <c r="K36" s="9">
        <f t="shared" ref="K36" si="9">(COUNTIF(K1:K35,"כ")+COUNTIF(K1:K35,"כמ"))*6+(COUNTIF(K1:K35,"כש")+COUNTIF(K1:K35,"כמש"))*10</f>
        <v>0</v>
      </c>
      <c r="L36" s="8">
        <f t="shared" ref="L36" si="10">(COUNTIF(L1:L35,"הרצליה")+COUNTIF(L1:L35,"חיפה")+COUNTIF(L1:L35,"רמון")+COUNTIF(L1:L35,"ראש פינה")+COUNTIF(L1:L35,"ה.ב"))</f>
        <v>0</v>
      </c>
      <c r="M36" s="9">
        <f t="shared" ref="M36" si="11">(COUNTIF(M1:M35,"כ")+COUNTIF(M1:M35,"כמ"))*6+(COUNTIF(M1:M35,"כש")+COUNTIF(M1:M35,"כמש"))*10</f>
        <v>0</v>
      </c>
      <c r="N36" s="8">
        <f t="shared" ref="N36" si="12">(COUNTIF(N1:N35,"הרצליה")+COUNTIF(N1:N35,"חיפה")+COUNTIF(N1:N35,"רמון")+COUNTIF(N1:N35,"ראש פינה")+COUNTIF(N1:N35,"ה.ב"))</f>
        <v>0</v>
      </c>
      <c r="O36" s="9">
        <f t="shared" ref="O36" si="13">(COUNTIF(O1:O35,"כ")+COUNTIF(O1:O35,"כמ"))*6+(COUNTIF(O1:O35,"כש")+COUNTIF(O1:O35,"כמש"))*10</f>
        <v>0</v>
      </c>
      <c r="P36" s="8">
        <f t="shared" ref="P36" si="14">(COUNTIF(P1:P35,"הרצליה")+COUNTIF(P1:P35,"חיפה")+COUNTIF(P1:P35,"רמון")+COUNTIF(P1:P35,"ראש פינה")+COUNTIF(P1:P35,"ה.ב"))</f>
        <v>0</v>
      </c>
      <c r="Q36" s="9">
        <f t="shared" ref="Q36" si="15">(COUNTIF(Q1:Q35,"כ")+COUNTIF(Q1:Q35,"כמ"))*6+(COUNTIF(Q1:Q35,"כש")+COUNTIF(Q1:Q35,"כמש"))*10</f>
        <v>0</v>
      </c>
      <c r="R36" s="8">
        <f t="shared" ref="R36" si="16">(COUNTIF(R1:R35,"הרצליה")+COUNTIF(R1:R35,"חיפה")+COUNTIF(R1:R35,"רמון")+COUNTIF(R1:R35,"ראש פינה")+COUNTIF(R1:R35,"ה.ב"))</f>
        <v>0</v>
      </c>
      <c r="S36" s="9">
        <f t="shared" ref="S36" si="17">(COUNTIF(S1:S35,"כ")+COUNTIF(S1:S35,"כמ"))*6+(COUNTIF(S1:S35,"כש")+COUNTIF(S1:S35,"כמש"))*10</f>
        <v>0</v>
      </c>
      <c r="T36" s="8">
        <f t="shared" ref="T36" si="18">(COUNTIF(T1:T35,"הרצליה")+COUNTIF(T1:T35,"חיפה")+COUNTIF(T1:T35,"רמון")+COUNTIF(T1:T35,"ראש פינה")+COUNTIF(T1:T35,"ה.ב"))</f>
        <v>0</v>
      </c>
      <c r="U36" s="9">
        <f t="shared" ref="U36" si="19">(COUNTIF(U1:U35,"כ")+COUNTIF(U1:U35,"כמ"))*6+(COUNTIF(U1:U35,"כש")+COUNTIF(U1:U35,"כמש"))*10</f>
        <v>0</v>
      </c>
      <c r="V36" s="8">
        <f t="shared" ref="V36" si="20">(COUNTIF(V1:V35,"הרצליה")+COUNTIF(V1:V35,"חיפה")+COUNTIF(V1:V35,"רמון")+COUNTIF(V1:V35,"ראש פינה")+COUNTIF(V1:V35,"ה.ב"))</f>
        <v>0</v>
      </c>
      <c r="W36" s="9">
        <f t="shared" ref="W36" si="21">(COUNTIF(W1:W35,"כ")+COUNTIF(W1:W35,"כמ"))*6+(COUNTIF(W1:W35,"כש")+COUNTIF(W1:W35,"כמש"))*10</f>
        <v>0</v>
      </c>
      <c r="X36" s="8">
        <f t="shared" ref="X36" si="22">(COUNTIF(X1:X35,"הרצליה")+COUNTIF(X1:X35,"חיפה")+COUNTIF(X1:X35,"רמון")+COUNTIF(X1:X35,"ראש פינה")+COUNTIF(X1:X35,"ה.ב"))</f>
        <v>1</v>
      </c>
      <c r="Y36" s="9">
        <f t="shared" ref="Y36" si="23">(COUNTIF(Y1:Y35,"כ")+COUNTIF(Y1:Y35,"כמ"))*6+(COUNTIF(Y1:Y35,"כש")+COUNTIF(Y1:Y35,"כמש"))*10</f>
        <v>0</v>
      </c>
      <c r="Z36" s="8">
        <f t="shared" ref="Z36" si="24">(COUNTIF(Z1:Z35,"הרצליה")+COUNTIF(Z1:Z35,"חיפה")+COUNTIF(Z1:Z35,"רמון")+COUNTIF(Z1:Z35,"ראש פינה")+COUNTIF(Z1:Z35,"ה.ב"))</f>
        <v>0</v>
      </c>
      <c r="AA36" s="9">
        <f t="shared" ref="AA36" si="25">(COUNTIF(AA1:AA35,"כ")+COUNTIF(AA1:AA35,"כמ"))*6+(COUNTIF(AA1:AA35,"כש")+COUNTIF(AA1:AA35,"כמש"))*10</f>
        <v>0</v>
      </c>
      <c r="AB36" s="8">
        <f t="shared" ref="AB36" si="26">(COUNTIF(AB1:AB35,"הרצליה")+COUNTIF(AB1:AB35,"חיפה")+COUNTIF(AB1:AB35,"רמון")+COUNTIF(AB1:AB35,"ראש פינה")+COUNTIF(AB1:AB35,"ה.ב"))</f>
        <v>0</v>
      </c>
      <c r="AC36" s="9">
        <f t="shared" ref="AC36" si="27">(COUNTIF(AC1:AC35,"כ")+COUNTIF(AC1:AC35,"כמ"))*6+(COUNTIF(AC1:AC35,"כש")+COUNTIF(AC1:AC35,"כמש"))*10</f>
        <v>0</v>
      </c>
      <c r="AD36" s="8">
        <f t="shared" ref="AD36" si="28">(COUNTIF(AD1:AD35,"הרצליה")+COUNTIF(AD1:AD35,"חיפה")+COUNTIF(AD1:AD35,"רמון")+COUNTIF(AD1:AD35,"ראש פינה")+COUNTIF(AD1:AD35,"ה.ב"))</f>
        <v>0</v>
      </c>
      <c r="AE36" s="9">
        <f t="shared" ref="AE36" si="29">(COUNTIF(AE1:AE35,"כ")+COUNTIF(AE1:AE35,"כמ"))*6+(COUNTIF(AE1:AE35,"כש")+COUNTIF(AE1:AE35,"כמש"))*10</f>
        <v>0</v>
      </c>
      <c r="AF36" s="8">
        <f t="shared" ref="AF36" si="30">(COUNTIF(AF1:AF35,"הרצליה")+COUNTIF(AF1:AF35,"חיפה")+COUNTIF(AF1:AF35,"רמון")+COUNTIF(AF1:AF35,"ראש פינה")+COUNTIF(AF1:AF35,"ה.ב"))</f>
        <v>0</v>
      </c>
      <c r="AG36" s="9">
        <f t="shared" ref="AG36" si="31">(COUNTIF(AG1:AG35,"כ")+COUNTIF(AG1:AG35,"כמ"))*6+(COUNTIF(AG1:AG35,"כש")+COUNTIF(AG1:AG35,"כמש"))*10</f>
        <v>0</v>
      </c>
      <c r="AH36" s="8">
        <f t="shared" ref="AH36" si="32">(COUNTIF(AH1:AH35,"הרצליה")+COUNTIF(AH1:AH35,"חיפה")+COUNTIF(AH1:AH35,"רמון")+COUNTIF(AH1:AH35,"ראש פינה")+COUNTIF(AH1:AH35,"ה.ב"))</f>
        <v>0</v>
      </c>
      <c r="AI36" s="9">
        <f t="shared" ref="AI36" si="33">(COUNTIF(AI1:AI35,"כ")+COUNTIF(AI1:AI35,"כמ"))*6+(COUNTIF(AI1:AI35,"כש")+COUNTIF(AI1:AI35,"כמש"))*10</f>
        <v>0</v>
      </c>
      <c r="AJ36" s="8">
        <f t="shared" ref="AJ36" si="34">(COUNTIF(AJ1:AJ35,"הרצליה")+COUNTIF(AJ1:AJ35,"חיפה")+COUNTIF(AJ1:AJ35,"רמון")+COUNTIF(AJ1:AJ35,"ראש פינה")+COUNTIF(AJ1:AJ35,"ה.ב"))</f>
        <v>0</v>
      </c>
      <c r="AK36" s="9">
        <f t="shared" ref="AK36" si="35">(COUNTIF(AK1:AK35,"כ")+COUNTIF(AK1:AK35,"כמ"))*6+(COUNTIF(AK1:AK35,"כש")+COUNTIF(AK1:AK35,"כמש"))*10</f>
        <v>0</v>
      </c>
      <c r="AL36" s="8">
        <f t="shared" ref="AL36" si="36">(COUNTIF(AL1:AL35,"הרצליה")+COUNTIF(AL1:AL35,"חיפה")+COUNTIF(AL1:AL35,"רמון")+COUNTIF(AL1:AL35,"ראש פינה")+COUNTIF(AL1:AL35,"ה.ב"))</f>
        <v>0</v>
      </c>
      <c r="AM36" s="9">
        <f t="shared" ref="AM36" si="37">(COUNTIF(AM1:AM35,"כ")+COUNTIF(AM1:AM35,"כמ"))*6+(COUNTIF(AM1:AM35,"כש")+COUNTIF(AM1:AM35,"כמש"))*10</f>
        <v>0</v>
      </c>
      <c r="AN36" s="8">
        <f t="shared" ref="AN36" si="38">(COUNTIF(AN1:AN35,"הרצליה")+COUNTIF(AN1:AN35,"חיפה")+COUNTIF(AN1:AN35,"רמון")+COUNTIF(AN1:AN35,"ראש פינה")+COUNTIF(AN1:AN35,"ה.ב"))</f>
        <v>0</v>
      </c>
      <c r="AO36" s="9">
        <f t="shared" ref="AO36" si="39">(COUNTIF(AO1:AO35,"כ")+COUNTIF(AO1:AO35,"כמ"))*6+(COUNTIF(AO1:AO35,"כש")+COUNTIF(AO1:AO35,"כמש"))*10</f>
        <v>0</v>
      </c>
      <c r="AT36" s="482" t="s">
        <v>38</v>
      </c>
      <c r="AU36" s="483"/>
      <c r="AV36" s="484"/>
      <c r="AW36" s="485">
        <f>COUNTIF(AX4:AX35,"י")+COUNTIF(AX4:AX35,"Y")+COUNTIF(AX4:AX35,"2")</f>
        <v>8</v>
      </c>
      <c r="AX36" s="465"/>
      <c r="AY36" s="464">
        <f>COUNTIF(AZ4:AZ35,"י")+COUNTIF(AZ4:AZ35,"Y")+COUNTIF(AZ4:AZ35,"2")</f>
        <v>8</v>
      </c>
      <c r="AZ36" s="465"/>
      <c r="BA36" s="464">
        <f>COUNTIF(BB4:BB35,"י")+COUNTIF(BB4:BB35,"Y")+COUNTIF(BB4:BB35,"2")</f>
        <v>8</v>
      </c>
      <c r="BB36" s="465"/>
      <c r="BC36" s="464">
        <f>COUNTIF(BD4:BD35,"י")+COUNTIF(BD4:BD35,"Y")+COUNTIF(BD4:BD35,"2")</f>
        <v>8</v>
      </c>
      <c r="BD36" s="465"/>
      <c r="BE36" s="464">
        <f>COUNTIF(BF4:BF35,"י")+COUNTIF(BF4:BF35,"Y")+COUNTIF(BF4:BF35,"2")</f>
        <v>5</v>
      </c>
      <c r="BF36" s="465"/>
      <c r="BG36" s="464">
        <f>COUNTIF(BH4:BH35,"י")+COUNTIF(BH4:BH35,"Y")+COUNTIF(BH4:BH35,"2")</f>
        <v>8</v>
      </c>
      <c r="BH36" s="465"/>
      <c r="BI36" s="464">
        <f>COUNTIF(BJ4:BJ35,"י")+COUNTIF(BJ4:BJ35,"Y")+COUNTIF(BJ4:BJ35,"2")</f>
        <v>8</v>
      </c>
      <c r="BJ36" s="465"/>
      <c r="BK36" s="464">
        <f>COUNTIF(BL4:BL35,"י")+COUNTIF(BL4:BL35,"Y")+COUNTIF(BL4:BL35,"2")</f>
        <v>8</v>
      </c>
      <c r="BL36" s="465"/>
      <c r="BM36" s="464">
        <f>COUNTIF(BN4:BN35,"י")+COUNTIF(BN4:BN35,"Y")+COUNTIF(BN4:BN35,"2")</f>
        <v>5</v>
      </c>
      <c r="BN36" s="465"/>
      <c r="BO36" s="464">
        <f>COUNTIF(BP4:BP35,"י")+COUNTIF(BP4:BP35,"Y")+COUNTIF(BP4:BP35,"2")</f>
        <v>7</v>
      </c>
      <c r="BP36" s="465"/>
      <c r="BQ36" s="464">
        <f>COUNTIF(BR4:BR35,"י")+COUNTIF(BR4:BR35,"Y")+COUNTIF(BR4:BR35,"2")</f>
        <v>7</v>
      </c>
      <c r="BR36" s="465"/>
      <c r="BS36" s="464">
        <f>COUNTIF(BT4:BT35,"י")+COUNTIF(BT4:BT35,"Y")+COUNTIF(BT4:BT35,"2")</f>
        <v>6</v>
      </c>
      <c r="BT36" s="465"/>
      <c r="BU36" s="464">
        <f>COUNTIF(BV4:BV35,"י")+COUNTIF(BV4:BV35,"Y")+COUNTIF(BV4:BV35,"2")</f>
        <v>0</v>
      </c>
      <c r="BV36" s="465"/>
      <c r="BW36" s="464">
        <f>COUNTIF(BX4:BX35,"י")+COUNTIF(BX4:BX35,"Y")+COUNTIF(BX4:BX35,"2")</f>
        <v>8</v>
      </c>
      <c r="BX36" s="465"/>
      <c r="BY36" s="464">
        <f>COUNTIF(BZ4:BZ35,"י")+COUNTIF(BZ4:BZ35,"Y")+COUNTIF(BZ4:BZ35,"2")</f>
        <v>8</v>
      </c>
      <c r="BZ36" s="465"/>
      <c r="CA36" s="466">
        <f>COUNTIF(CB4:CB35,"י")+COUNTIF(CB4:CB35,"Y")+COUNTIF(CB4:CB35,"2")</f>
        <v>8</v>
      </c>
      <c r="CB36" s="467"/>
      <c r="CC36" s="468" t="s">
        <v>140</v>
      </c>
      <c r="CD36" s="469"/>
      <c r="CE36" s="470"/>
    </row>
    <row r="37" spans="1:89" ht="15" customHeight="1" thickBot="1">
      <c r="C37" t="s">
        <v>322</v>
      </c>
      <c r="D37" s="234">
        <f>D36+ספטמבר!D36</f>
        <v>8</v>
      </c>
      <c r="E37" s="234">
        <f>E36+ספטמבר!E36</f>
        <v>94</v>
      </c>
      <c r="F37" s="234">
        <f>F36+ספטמבר!F36</f>
        <v>9</v>
      </c>
      <c r="G37" s="234">
        <f>G36+ספטמבר!G36</f>
        <v>108</v>
      </c>
      <c r="H37" s="234">
        <f>H36+ספטמבר!H36</f>
        <v>7</v>
      </c>
      <c r="I37" s="234">
        <f>I36+ספטמבר!I36</f>
        <v>98</v>
      </c>
      <c r="J37" s="234">
        <f>J36+ספטמבר!J36</f>
        <v>6</v>
      </c>
      <c r="K37" s="234">
        <f>K36+ספטמבר!K36</f>
        <v>54</v>
      </c>
      <c r="L37" s="234">
        <f>L36+ספטמבר!L36</f>
        <v>5</v>
      </c>
      <c r="M37" s="234">
        <f>M36+ספטמבר!M36</f>
        <v>110</v>
      </c>
      <c r="N37" s="234">
        <f>N36+ספטמבר!N36</f>
        <v>12</v>
      </c>
      <c r="O37" s="234">
        <f>O36+ספטמבר!O36</f>
        <v>178</v>
      </c>
      <c r="P37" s="234">
        <f>P36+ספטמבר!P36</f>
        <v>9</v>
      </c>
      <c r="Q37" s="234">
        <f>Q36+ספטמבר!Q36</f>
        <v>104</v>
      </c>
      <c r="R37" s="234">
        <f>R36+ספטמבר!R36</f>
        <v>4</v>
      </c>
      <c r="S37" s="234">
        <f>S36+ספטמבר!S36</f>
        <v>90</v>
      </c>
      <c r="T37" s="234">
        <f>T36+ספטמבר!T36</f>
        <v>9</v>
      </c>
      <c r="U37" s="234">
        <f>U36+ספטמבר!U36</f>
        <v>94</v>
      </c>
      <c r="V37" s="234">
        <f>V36+ספטמבר!V36</f>
        <v>2</v>
      </c>
      <c r="W37" s="234">
        <f>W36+ספטמבר!W36</f>
        <v>90</v>
      </c>
      <c r="X37" s="234">
        <f>X36+ספטמבר!X36</f>
        <v>19</v>
      </c>
      <c r="Y37" s="234">
        <f>Y36+ספטמבר!Y36</f>
        <v>246</v>
      </c>
      <c r="Z37" s="234">
        <f>Z36+ספטמבר!Z36</f>
        <v>2</v>
      </c>
      <c r="AA37" s="234">
        <f>AA36+ספטמבר!AA36</f>
        <v>0</v>
      </c>
      <c r="AB37" s="234">
        <f>AB36+ספטמבר!AB36</f>
        <v>4</v>
      </c>
      <c r="AC37" s="234">
        <f>AC36+ספטמבר!AC36</f>
        <v>164</v>
      </c>
      <c r="AD37" s="234">
        <f>AD36+ספטמבר!AD36</f>
        <v>1</v>
      </c>
      <c r="AE37" s="234">
        <f>AE36+ספטמבר!AE36</f>
        <v>180</v>
      </c>
      <c r="AF37" s="234">
        <f>AF36+ספטמבר!AF36</f>
        <v>10</v>
      </c>
      <c r="AG37" s="234">
        <f>AG36+ספטמבר!AG36</f>
        <v>200</v>
      </c>
      <c r="AH37" s="234">
        <f>AH36+ספטמבר!AH36</f>
        <v>2</v>
      </c>
      <c r="AI37" s="234">
        <f>AI36+ספטמבר!AI36</f>
        <v>168</v>
      </c>
      <c r="AJ37" s="234">
        <f>AJ36+ספטמבר!AJ36</f>
        <v>6</v>
      </c>
      <c r="AK37" s="234">
        <f>AK36+ספטמבר!AK36</f>
        <v>102</v>
      </c>
      <c r="AL37" s="234">
        <f>AL36+ספטמבר!AL36</f>
        <v>9</v>
      </c>
      <c r="AM37" s="234">
        <f>AM36+ספטמבר!AM36</f>
        <v>90</v>
      </c>
      <c r="AN37" s="234">
        <f>AN36+ספטמבר!AN36</f>
        <v>1</v>
      </c>
      <c r="AO37" s="234">
        <f>AO36+ספטמבר!AO36</f>
        <v>42</v>
      </c>
      <c r="AT37" s="478" t="s">
        <v>39</v>
      </c>
      <c r="AU37" s="479"/>
      <c r="AV37" s="480"/>
      <c r="AW37" s="481">
        <f>COUNTIF(AX4:AX35,"ל")+COUNTIF(AX4:AX35,"L")+COUNTIF(AX4:AX35,"ל2")</f>
        <v>8</v>
      </c>
      <c r="AX37" s="475"/>
      <c r="AY37" s="474">
        <f>COUNTIF(AZ4:AZ35,"ל")+COUNTIF(AZ4:AZ35,"L")+COUNTIF(AZ4:AZ35,"ל2")</f>
        <v>8</v>
      </c>
      <c r="AZ37" s="475"/>
      <c r="BA37" s="474">
        <f>COUNTIF(BB4:BB35,"ל")+COUNTIF(BB4:BB35,"L")+COUNTIF(BB4:BB35,"ל2")</f>
        <v>8</v>
      </c>
      <c r="BB37" s="475"/>
      <c r="BC37" s="474">
        <f>COUNTIF(BD4:BD35,"ל")+COUNTIF(BD4:BD35,"L")+COUNTIF(BD4:BD35,"ל2")</f>
        <v>8</v>
      </c>
      <c r="BD37" s="475"/>
      <c r="BE37" s="474">
        <f>COUNTIF(BF4:BF35,"ל")+COUNTIF(BF4:BF35,"L")+COUNTIF(BF4:BF35,"ל2")</f>
        <v>4</v>
      </c>
      <c r="BF37" s="475"/>
      <c r="BG37" s="474">
        <f>COUNTIF(BH4:BH35,"ל")+COUNTIF(BH4:BH35,"L")+COUNTIF(BH4:BH35,"ל2")</f>
        <v>7</v>
      </c>
      <c r="BH37" s="475"/>
      <c r="BI37" s="474">
        <f>COUNTIF(BJ4:BJ35,"ל")+COUNTIF(BJ4:BJ35,"L")+COUNTIF(BJ4:BJ35,"ל2")</f>
        <v>7</v>
      </c>
      <c r="BJ37" s="475"/>
      <c r="BK37" s="474">
        <f>COUNTIF(BL4:BL35,"ל")+COUNTIF(BL4:BL35,"L")+COUNTIF(BL4:BL35,"ל2")</f>
        <v>7</v>
      </c>
      <c r="BL37" s="475"/>
      <c r="BM37" s="474">
        <f>COUNTIF(BN4:BN35,"ל")+COUNTIF(BN4:BN35,"L")+COUNTIF(BN4:BN35,"ל2")</f>
        <v>5</v>
      </c>
      <c r="BN37" s="475"/>
      <c r="BO37" s="474">
        <f>COUNTIF(BP4:BP35,"ל")+COUNTIF(BP4:BP35,"L")+COUNTIF(BP4:BP35,"ל2")</f>
        <v>8</v>
      </c>
      <c r="BP37" s="475"/>
      <c r="BQ37" s="474">
        <f>COUNTIF(BR4:BR35,"ל")+COUNTIF(BR4:BR35,"L")+COUNTIF(BR4:BR35,"ל2")</f>
        <v>8</v>
      </c>
      <c r="BR37" s="475"/>
      <c r="BS37" s="474">
        <f>COUNTIF(BT4:BT35,"ל")+COUNTIF(BT4:BT35,"L")+COUNTIF(BT4:BT35,"ל2")</f>
        <v>7</v>
      </c>
      <c r="BT37" s="475"/>
      <c r="BU37" s="474">
        <f>COUNTIF(BV4:BV35,"ל")+COUNTIF(BV4:BV35,"L")+COUNTIF(BV4:BV35,"ל2")</f>
        <v>0</v>
      </c>
      <c r="BV37" s="475"/>
      <c r="BW37" s="474">
        <f>COUNTIF(BX4:BX35,"ל")+COUNTIF(BX4:BX35,"L")+COUNTIF(BX4:BX35,"ל2")</f>
        <v>8</v>
      </c>
      <c r="BX37" s="475"/>
      <c r="BY37" s="474">
        <f>COUNTIF(BZ4:BZ35,"ל")+COUNTIF(BZ4:BZ35,"L")+COUNTIF(BZ4:BZ35,"ל2")</f>
        <v>8</v>
      </c>
      <c r="BZ37" s="475"/>
      <c r="CA37" s="476">
        <f>COUNTIF(CB4:CB35,"ל")+COUNTIF(CB4:CB35,"L")+COUNTIF(CB4:CB35,"ל2")</f>
        <v>8</v>
      </c>
      <c r="CB37" s="477"/>
      <c r="CC37" s="471"/>
      <c r="CD37" s="472"/>
      <c r="CE37" s="473"/>
    </row>
    <row r="38" spans="1:89" s="63" customFormat="1" ht="15" customHeight="1" thickBot="1">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W38" s="488">
        <f>(AW36*12)+(AW37*12)+(COUNTIF(AX4:AX35,"ק")*8)+(COUNTIF(AX4:AX35,"ח")*8)+(COUNTIF(AX4:AX35,"מ")*8)+(COUNTIF(AX4:AX35,"מיל")*8)</f>
        <v>192</v>
      </c>
      <c r="AX38" s="487"/>
      <c r="AY38" s="486">
        <f>(AY36*12)+(AY37*12)+(COUNTIF(AZ4:AZ35,"ק")*8)+(COUNTIF(AZ4:AZ35,"ח")*8)+(COUNTIF(AZ4:AZ35,"מ")*8)+(COUNTIF(AZ4:AZ35,"מיל")*8)</f>
        <v>192</v>
      </c>
      <c r="AZ38" s="487"/>
      <c r="BA38" s="486">
        <f>(BA36*12)+(BA37*12)+(COUNTIF(BB4:BB35,"ק")*8)+(COUNTIF(BB4:BB35,"ח")*8)+(COUNTIF(BB4:BB35,"מ")*8)+(COUNTIF(BB4:BB35,"מיל")*8)</f>
        <v>192</v>
      </c>
      <c r="BB38" s="487"/>
      <c r="BC38" s="486">
        <f>(BC36*12)+(BC37*12)+(COUNTIF(BD4:BD35,"ק")*8)+(COUNTIF(BD4:BD35,"ח")*8)+(COUNTIF(BD4:BD35,"מ")*8)+(COUNTIF(BD4:BD35,"מיל")*8)</f>
        <v>192</v>
      </c>
      <c r="BD38" s="487"/>
      <c r="BE38" s="486">
        <f>(BE36*12)+(BE37*12)+(COUNTIF(BF4:BF35,"ק")*8)+(COUNTIF(BF4:BF35,"ח")*8)+(COUNTIF(BF4:BF35,"מ")*8)+(COUNTIF(BF4:BF35,"מיל")*8)</f>
        <v>164</v>
      </c>
      <c r="BF38" s="487"/>
      <c r="BG38" s="486">
        <f>(BG36*12)+(BG37*12)+(COUNTIF(BH4:BH35,"ק")*8)+(COUNTIF(BH4:BH35,"ח")*8)+(COUNTIF(BH4:BH35,"מ")*8)+(COUNTIF(BH4:BH35,"מיל")*8)</f>
        <v>180</v>
      </c>
      <c r="BH38" s="487"/>
      <c r="BI38" s="486">
        <f>(BI36*12)+(BI37*12)+(COUNTIF(BJ4:BJ35,"ק")*8)+(COUNTIF(BJ4:BJ35,"ח")*8)+(COUNTIF(BJ4:BJ35,"מ")*8)+(COUNTIF(BJ4:BJ35,"מיל")*8)</f>
        <v>180</v>
      </c>
      <c r="BJ38" s="487"/>
      <c r="BK38" s="486">
        <f>(BK36*12)+(BK37*12)+(COUNTIF(BL4:BL35,"ק")*8)+(COUNTIF(BL4:BL35,"ח")*8)+(COUNTIF(BL4:BL35,"מ")*8)+(COUNTIF(BL4:BL35,"מיל")*8)</f>
        <v>180</v>
      </c>
      <c r="BL38" s="487"/>
      <c r="BM38" s="486">
        <f>(BM36*12)+(BM37*12)+(COUNTIF(BN4:BN35,"ק")*8)+(COUNTIF(BN4:BN35,"ח")*8)+(COUNTIF(BN4:BN35,"מ")*8)+(COUNTIF(BN4:BN35,"מיל")*8)</f>
        <v>184</v>
      </c>
      <c r="BN38" s="487"/>
      <c r="BO38" s="486">
        <f>(BO36*12)+(BO37*12)+(COUNTIF(BP4:BP35,"ק")*8)+(COUNTIF(BP4:BP35,"ח")*8)+(COUNTIF(BP4:BP35,"מ")*8)+(COUNTIF(BP4:BP35,"מיל")*8)</f>
        <v>180</v>
      </c>
      <c r="BP38" s="487"/>
      <c r="BQ38" s="486">
        <f>(BQ36*12)+(BQ37*12)+(COUNTIF(BR4:BR35,"ק")*8)+(COUNTIF(BR4:BR35,"ח")*8)+(COUNTIF(BR4:BR35,"מ")*8)+(COUNTIF(BR4:BR35,"מיל")*8)</f>
        <v>180</v>
      </c>
      <c r="BR38" s="487"/>
      <c r="BS38" s="486">
        <f>(BS36*12)+(BS37*12)+(COUNTIF(BT4:BT35,"ק")*8)+(COUNTIF(BT4:BT35,"ח")*8)+(COUNTIF(BT4:BT35,"מ")*8)+(COUNTIF(BT4:BT35,"מיל")*8)</f>
        <v>156</v>
      </c>
      <c r="BT38" s="487"/>
      <c r="BU38" s="486">
        <f>(BU36*12)+(BU37*12)+(COUNTIF(BV4:BV35,"ק")*8)+(COUNTIF(BV4:BV35,"ח")*8)+(COUNTIF(BV4:BV35,"מ")*8)+(COUNTIF(BV4:BV35,"מיל")*8)</f>
        <v>0</v>
      </c>
      <c r="BV38" s="487"/>
      <c r="BW38" s="486">
        <f>(BW36*12)+(BW37*12)+(COUNTIF(BX4:BX35,"ק")*8)+(COUNTIF(BX4:BX35,"ח")*8)+(COUNTIF(BX4:BX35,"מ")*8)+(COUNTIF(BX4:BX35,"מיל")*8)</f>
        <v>192</v>
      </c>
      <c r="BX38" s="487"/>
      <c r="BY38" s="486">
        <f>(BY36*12)+(BY37*12)+(COUNTIF(BZ4:BZ35,"ק")*8)+(COUNTIF(BZ4:BZ35,"ח")*8)+(COUNTIF(BZ4:BZ35,"מ")*8)+(COUNTIF(BZ4:BZ35,"מיל")*8)</f>
        <v>192</v>
      </c>
      <c r="BZ38" s="487"/>
      <c r="CA38" s="486">
        <f>(CA36*12)+(CA37*12)+(COUNTIF(CB4:CB35,"ק")*8)+(COUNTIF(CB4:CB35,"ח")*8)+(COUNTIF(CB4:CB35,"מ")*8)+(COUNTIF(CB4:CB35,"מיל")*8)</f>
        <v>192</v>
      </c>
      <c r="CB38" s="496"/>
      <c r="CC38" s="497">
        <v>167</v>
      </c>
      <c r="CD38" s="498"/>
      <c r="CE38" s="499"/>
    </row>
    <row r="39" spans="1:89" ht="15" customHeight="1" thickBot="1">
      <c r="AW39" s="500">
        <f>AW38-CC38</f>
        <v>25</v>
      </c>
      <c r="AX39" s="491"/>
      <c r="AY39" s="490">
        <f>AY38-CC38</f>
        <v>25</v>
      </c>
      <c r="AZ39" s="491"/>
      <c r="BA39" s="490">
        <f>BA38-CC38</f>
        <v>25</v>
      </c>
      <c r="BB39" s="491"/>
      <c r="BC39" s="490">
        <f>BC38-CC38</f>
        <v>25</v>
      </c>
      <c r="BD39" s="491"/>
      <c r="BE39" s="490">
        <f>BE38-CC38</f>
        <v>-3</v>
      </c>
      <c r="BF39" s="491"/>
      <c r="BG39" s="490">
        <f>BG38-CC38</f>
        <v>13</v>
      </c>
      <c r="BH39" s="491"/>
      <c r="BI39" s="490">
        <f>BI38-CC38</f>
        <v>13</v>
      </c>
      <c r="BJ39" s="491"/>
      <c r="BK39" s="490">
        <f>BK38-CC38</f>
        <v>13</v>
      </c>
      <c r="BL39" s="491"/>
      <c r="BM39" s="490">
        <f>BM38-CC38</f>
        <v>17</v>
      </c>
      <c r="BN39" s="491"/>
      <c r="BO39" s="490">
        <f>BO38-CC38</f>
        <v>13</v>
      </c>
      <c r="BP39" s="491"/>
      <c r="BQ39" s="490">
        <f>BQ38-CC38</f>
        <v>13</v>
      </c>
      <c r="BR39" s="491"/>
      <c r="BS39" s="490">
        <f>BS38-CC38</f>
        <v>-11</v>
      </c>
      <c r="BT39" s="491"/>
      <c r="BU39" s="490">
        <f>BU38-CC38</f>
        <v>-167</v>
      </c>
      <c r="BV39" s="491"/>
      <c r="BW39" s="490">
        <f>BW38-CC38</f>
        <v>25</v>
      </c>
      <c r="BX39" s="491"/>
      <c r="BY39" s="490">
        <f>BY38-CC38</f>
        <v>25</v>
      </c>
      <c r="BZ39" s="491"/>
      <c r="CA39" s="492">
        <f>CA38-CC38</f>
        <v>25</v>
      </c>
      <c r="CB39" s="493"/>
      <c r="CC39" s="494" t="s">
        <v>222</v>
      </c>
      <c r="CD39" s="494"/>
      <c r="CE39" s="495"/>
    </row>
  </sheetData>
  <customSheetViews>
    <customSheetView guid="{C6961C98-214A-4770-9A2D-B399A95C6C8B}" scale="80">
      <pane ySplit="4" topLeftCell="A5" activePane="bottomLeft" state="frozen"/>
      <selection pane="bottomLeft" activeCell="D5" sqref="D5"/>
      <pageMargins left="0.7" right="0.7" top="0.75" bottom="0.75" header="0.3" footer="0.3"/>
      <pageSetup paperSize="9" orientation="portrait" r:id="rId1"/>
    </customSheetView>
    <customSheetView guid="{A704065A-5B6F-476C-AE5F-F67C013164B0}" scale="80">
      <pane ySplit="4" topLeftCell="A5" activePane="bottomLeft" state="frozen"/>
      <selection pane="bottomLeft" activeCell="U30" sqref="U30"/>
      <pageMargins left="0.7" right="0.7" top="0.75" bottom="0.75" header="0.3" footer="0.3"/>
      <pageSetup paperSize="9" orientation="portrait" r:id="rId2"/>
    </customSheetView>
    <customSheetView guid="{319CE2B6-D20C-48B8-B7D9-15D19162A7CD}" scale="80">
      <pane ySplit="4" topLeftCell="A5" activePane="bottomLeft" state="frozen"/>
      <selection pane="bottomLeft" activeCell="D5" sqref="D5"/>
      <pageMargins left="0.7" right="0.7" top="0.75" bottom="0.75" header="0.3" footer="0.3"/>
      <pageSetup paperSize="9" orientation="portrait" r:id="rId3"/>
    </customSheetView>
    <customSheetView guid="{C5360886-767B-4F33-B24F-A6512AA390CC}" scale="80" topLeftCell="AO1">
      <pane ySplit="4" topLeftCell="A5" activePane="bottomLeft" state="frozen"/>
      <selection pane="bottomLeft" activeCell="BG43" sqref="BG43"/>
      <pageMargins left="0.7" right="0.7" top="0.75" bottom="0.75" header="0.3" footer="0.3"/>
      <pageSetup paperSize="9" orientation="portrait" r:id="rId4"/>
    </customSheetView>
    <customSheetView guid="{9C777CA9-4E1C-4A90-9032-5D0586052FC8}" scale="80">
      <pane ySplit="4" topLeftCell="A5" activePane="bottomLeft" state="frozen"/>
      <selection pane="bottomLeft" activeCell="D5" sqref="D5"/>
      <pageMargins left="0.7" right="0.7" top="0.75" bottom="0.75" header="0.3" footer="0.3"/>
      <pageSetup paperSize="9" orientation="portrait" r:id="rId5"/>
    </customSheetView>
    <customSheetView guid="{FEBD343F-EB1E-4B3A-B093-25A74DB60DAB}" scale="80" topLeftCell="O1">
      <selection activeCell="AJ22" sqref="AJ22"/>
      <pageMargins left="0.7" right="0.7" top="0.75" bottom="0.75" header="0.3" footer="0.3"/>
      <pageSetup paperSize="9" orientation="portrait" r:id="rId6"/>
    </customSheetView>
    <customSheetView guid="{1D39CB39-D8E6-4DA4-ABBA-40E2E6F11928}" scale="80">
      <pane ySplit="3" topLeftCell="A5" activePane="bottomLeft" state="frozen"/>
      <selection pane="bottomLeft" activeCell="D5" sqref="D5"/>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AN15" sqref="AN15:AN19"/>
      <pageMargins left="0.7" right="0.7" top="0.75" bottom="0.75" header="0.3" footer="0.3"/>
      <pageSetup paperSize="9" orientation="portrait" r:id="rId8"/>
    </customSheetView>
    <customSheetView guid="{03543009-41DE-4C7D-B8BE-69526021AF29}" scale="80">
      <pane ySplit="4" topLeftCell="A5" activePane="bottomLeft" state="frozen"/>
      <selection pane="bottomLeft" activeCell="D5" sqref="D5"/>
      <pageMargins left="0.7" right="0.7" top="0.75" bottom="0.75" header="0.3" footer="0.3"/>
      <pageSetup paperSize="9" orientation="portrait" r:id="rId9"/>
    </customSheetView>
    <customSheetView guid="{03CD1AFD-FDA7-4904-966E-FB90CD2C490F}" scale="80">
      <pane ySplit="2" topLeftCell="A4" activePane="bottomLeft" state="frozen"/>
      <selection pane="bottomLeft" activeCell="AB4" sqref="AB4:AC4"/>
      <pageMargins left="0.7" right="0.7" top="0.75" bottom="0.75" header="0.3" footer="0.3"/>
      <pageSetup paperSize="9" orientation="portrait" r:id="rId10"/>
    </customSheetView>
  </customSheetViews>
  <mergeCells count="234">
    <mergeCell ref="AY37:AZ37"/>
    <mergeCell ref="BA37:BB37"/>
    <mergeCell ref="BC37:BD37"/>
    <mergeCell ref="BE37:BF37"/>
    <mergeCell ref="AY36:AZ36"/>
    <mergeCell ref="BA36:BB36"/>
    <mergeCell ref="BC36:BD36"/>
    <mergeCell ref="BE36:BF36"/>
    <mergeCell ref="CC39:CE39"/>
    <mergeCell ref="BM39:BN39"/>
    <mergeCell ref="BO39:BP39"/>
    <mergeCell ref="BQ39:BR39"/>
    <mergeCell ref="BS39:BT39"/>
    <mergeCell ref="BU39:BV39"/>
    <mergeCell ref="BW39:BX39"/>
    <mergeCell ref="CC38:CE38"/>
    <mergeCell ref="BY39:BZ39"/>
    <mergeCell ref="CA39:CB39"/>
    <mergeCell ref="CA38:CB38"/>
    <mergeCell ref="BQ38:BR38"/>
    <mergeCell ref="BS38:BT38"/>
    <mergeCell ref="BU38:BV38"/>
    <mergeCell ref="BW38:BX38"/>
    <mergeCell ref="BY38:BZ38"/>
    <mergeCell ref="AW39:AX39"/>
    <mergeCell ref="AY39:AZ39"/>
    <mergeCell ref="BA39:BB39"/>
    <mergeCell ref="BC39:BD39"/>
    <mergeCell ref="BE39:BF39"/>
    <mergeCell ref="BG39:BH39"/>
    <mergeCell ref="BI39:BJ39"/>
    <mergeCell ref="BK39:BL39"/>
    <mergeCell ref="BO38:BP38"/>
    <mergeCell ref="AW38:AX38"/>
    <mergeCell ref="AY38:AZ38"/>
    <mergeCell ref="BA38:BB38"/>
    <mergeCell ref="BC38:BD38"/>
    <mergeCell ref="BE38:BF38"/>
    <mergeCell ref="BG38:BH38"/>
    <mergeCell ref="BI38:BJ38"/>
    <mergeCell ref="BK38:BL38"/>
    <mergeCell ref="BM38:BN38"/>
    <mergeCell ref="BQ37:BR37"/>
    <mergeCell ref="AP31:AQ31"/>
    <mergeCell ref="AP34:AQ34"/>
    <mergeCell ref="CJ34:CK34"/>
    <mergeCell ref="CA37:CB37"/>
    <mergeCell ref="BS36:BT36"/>
    <mergeCell ref="BU36:BV36"/>
    <mergeCell ref="BW36:BX36"/>
    <mergeCell ref="BK37:BL37"/>
    <mergeCell ref="BM37:BN37"/>
    <mergeCell ref="BO37:BP37"/>
    <mergeCell ref="CJ31:CK31"/>
    <mergeCell ref="AP32:AQ32"/>
    <mergeCell ref="CJ32:CK32"/>
    <mergeCell ref="AP33:AQ33"/>
    <mergeCell ref="CJ33:CK33"/>
    <mergeCell ref="AP35:AQ35"/>
    <mergeCell ref="CJ35:CK35"/>
    <mergeCell ref="BU37:BV37"/>
    <mergeCell ref="BW37:BX37"/>
    <mergeCell ref="BY37:BZ37"/>
    <mergeCell ref="BG36:BH36"/>
    <mergeCell ref="AT37:AV37"/>
    <mergeCell ref="AW37:AX37"/>
    <mergeCell ref="AP25:AQ25"/>
    <mergeCell ref="CJ25:CK25"/>
    <mergeCell ref="AP22:AQ22"/>
    <mergeCell ref="AP26:AQ26"/>
    <mergeCell ref="CJ26:CK26"/>
    <mergeCell ref="BI36:BJ36"/>
    <mergeCell ref="BK36:BL36"/>
    <mergeCell ref="BM36:BN36"/>
    <mergeCell ref="AP24:AQ24"/>
    <mergeCell ref="AP27:AQ27"/>
    <mergeCell ref="AP28:AQ28"/>
    <mergeCell ref="AP29:AQ29"/>
    <mergeCell ref="AP30:AQ30"/>
    <mergeCell ref="AV22:AV28"/>
    <mergeCell ref="AT36:AV36"/>
    <mergeCell ref="AW36:AX36"/>
    <mergeCell ref="BY36:BZ36"/>
    <mergeCell ref="CA36:CB36"/>
    <mergeCell ref="CC36:CE37"/>
    <mergeCell ref="BS37:BT37"/>
    <mergeCell ref="BO36:BP36"/>
    <mergeCell ref="BQ36:BR36"/>
    <mergeCell ref="BG37:BH37"/>
    <mergeCell ref="BI37:BJ37"/>
    <mergeCell ref="AP9:AQ9"/>
    <mergeCell ref="CJ27:CK27"/>
    <mergeCell ref="CJ28:CK28"/>
    <mergeCell ref="CJ30:CK30"/>
    <mergeCell ref="CE15:CE21"/>
    <mergeCell ref="CE22:CE28"/>
    <mergeCell ref="CE29:CE35"/>
    <mergeCell ref="AP19:AQ19"/>
    <mergeCell ref="CJ19:CK19"/>
    <mergeCell ref="AP20:AQ20"/>
    <mergeCell ref="CJ20:CK20"/>
    <mergeCell ref="AP21:AQ21"/>
    <mergeCell ref="CJ16:CK16"/>
    <mergeCell ref="AP17:AQ17"/>
    <mergeCell ref="CJ17:CK17"/>
    <mergeCell ref="AP16:AQ16"/>
    <mergeCell ref="AV15:AV21"/>
    <mergeCell ref="AP18:AQ18"/>
    <mergeCell ref="CJ18:CK18"/>
    <mergeCell ref="CJ21:CK21"/>
    <mergeCell ref="CJ22:CK22"/>
    <mergeCell ref="AP23:AQ23"/>
    <mergeCell ref="CJ23:CK23"/>
    <mergeCell ref="CJ24:CK24"/>
    <mergeCell ref="BY4:BZ4"/>
    <mergeCell ref="AP14:AQ14"/>
    <mergeCell ref="CJ14:CK14"/>
    <mergeCell ref="CJ15:CK15"/>
    <mergeCell ref="AP15:AQ15"/>
    <mergeCell ref="AV5:AV7"/>
    <mergeCell ref="AV8:AV14"/>
    <mergeCell ref="AP10:AQ10"/>
    <mergeCell ref="CJ10:CK10"/>
    <mergeCell ref="AP11:AQ11"/>
    <mergeCell ref="CJ11:CK11"/>
    <mergeCell ref="AP12:AQ12"/>
    <mergeCell ref="CJ12:CK12"/>
    <mergeCell ref="AP13:AQ13"/>
    <mergeCell ref="CJ13:CK13"/>
    <mergeCell ref="CE5:CE7"/>
    <mergeCell ref="CE8:CE14"/>
    <mergeCell ref="AP5:AQ5"/>
    <mergeCell ref="AP6:AQ6"/>
    <mergeCell ref="CJ6:CK6"/>
    <mergeCell ref="AP7:AQ7"/>
    <mergeCell ref="CJ7:CK7"/>
    <mergeCell ref="AP8:AQ8"/>
    <mergeCell ref="CJ8:CK8"/>
    <mergeCell ref="CA3:CB3"/>
    <mergeCell ref="CJ9:CK9"/>
    <mergeCell ref="CJ5:CK5"/>
    <mergeCell ref="Z4:AA4"/>
    <mergeCell ref="AB4:AC4"/>
    <mergeCell ref="AF4:AG4"/>
    <mergeCell ref="AH4:AI4"/>
    <mergeCell ref="AJ4:AK4"/>
    <mergeCell ref="AL4:AM4"/>
    <mergeCell ref="BS4:BT4"/>
    <mergeCell ref="BU4:BV4"/>
    <mergeCell ref="BW4:BX4"/>
    <mergeCell ref="BG4:BH4"/>
    <mergeCell ref="BI4:BJ4"/>
    <mergeCell ref="BK4:BL4"/>
    <mergeCell ref="BM4:BN4"/>
    <mergeCell ref="BO4:BP4"/>
    <mergeCell ref="BQ4:BR4"/>
    <mergeCell ref="AN4:AO4"/>
    <mergeCell ref="AW4:AX4"/>
    <mergeCell ref="AY4:AZ4"/>
    <mergeCell ref="BA4:BB4"/>
    <mergeCell ref="BC4:BD4"/>
    <mergeCell ref="BE4:BF4"/>
    <mergeCell ref="AL3:AM3"/>
    <mergeCell ref="CA4:CB4"/>
    <mergeCell ref="CF2:CG3"/>
    <mergeCell ref="CH2:CI3"/>
    <mergeCell ref="CJ2:CK4"/>
    <mergeCell ref="AD3:AE3"/>
    <mergeCell ref="D3:E3"/>
    <mergeCell ref="F3:G3"/>
    <mergeCell ref="H3:I3"/>
    <mergeCell ref="J3:K3"/>
    <mergeCell ref="L3:M3"/>
    <mergeCell ref="N3:O3"/>
    <mergeCell ref="AP2:AQ4"/>
    <mergeCell ref="AR2:AS3"/>
    <mergeCell ref="AW2:BD2"/>
    <mergeCell ref="BE2:BL2"/>
    <mergeCell ref="BM2:BT2"/>
    <mergeCell ref="BU2:CB2"/>
    <mergeCell ref="AW3:AX3"/>
    <mergeCell ref="AY3:AZ3"/>
    <mergeCell ref="BA3:BB3"/>
    <mergeCell ref="BC3:BD3"/>
    <mergeCell ref="BW3:BX3"/>
    <mergeCell ref="BY3:BZ3"/>
    <mergeCell ref="AF3:AG3"/>
    <mergeCell ref="BE3:BF3"/>
    <mergeCell ref="AW1:CB1"/>
    <mergeCell ref="CC1:CE4"/>
    <mergeCell ref="D2:W2"/>
    <mergeCell ref="X2:Y2"/>
    <mergeCell ref="Z2:AA2"/>
    <mergeCell ref="AF2:AG2"/>
    <mergeCell ref="AH2:AO2"/>
    <mergeCell ref="BG3:BH3"/>
    <mergeCell ref="BI3:BJ3"/>
    <mergeCell ref="BK3:BL3"/>
    <mergeCell ref="BM3:BN3"/>
    <mergeCell ref="BO3:BP3"/>
    <mergeCell ref="AD4:AE4"/>
    <mergeCell ref="D4:E4"/>
    <mergeCell ref="F4:G4"/>
    <mergeCell ref="H4:I4"/>
    <mergeCell ref="J4:K4"/>
    <mergeCell ref="L4:M4"/>
    <mergeCell ref="BQ3:BR3"/>
    <mergeCell ref="BS3:BT3"/>
    <mergeCell ref="BU3:BV3"/>
    <mergeCell ref="AJ3:AK3"/>
    <mergeCell ref="AH3:AI3"/>
    <mergeCell ref="AN3:AO3"/>
    <mergeCell ref="C5:C7"/>
    <mergeCell ref="C8:C14"/>
    <mergeCell ref="C15:C21"/>
    <mergeCell ref="C22:C28"/>
    <mergeCell ref="C29:C35"/>
    <mergeCell ref="AV29:AV35"/>
    <mergeCell ref="A1:C4"/>
    <mergeCell ref="D1:AS1"/>
    <mergeCell ref="AT1:AV4"/>
    <mergeCell ref="P3:Q3"/>
    <mergeCell ref="R3:S3"/>
    <mergeCell ref="T3:U3"/>
    <mergeCell ref="V3:W3"/>
    <mergeCell ref="X3:Y3"/>
    <mergeCell ref="Z3:AA3"/>
    <mergeCell ref="N4:O4"/>
    <mergeCell ref="P4:Q4"/>
    <mergeCell ref="R4:S4"/>
    <mergeCell ref="T4:U4"/>
    <mergeCell ref="V4:W4"/>
    <mergeCell ref="X4:Y4"/>
    <mergeCell ref="AB3:AC3"/>
  </mergeCells>
  <phoneticPr fontId="27" type="noConversion"/>
  <conditionalFormatting sqref="A1:C4 X2:AH2 AP2 AR2 D3:N3 AD3:AE24 D4:Q4 AR4:AS4 C5 AH5:AS11 D5:X13 A5:B35 Y5:AG35 AH12:AO17 D14:P15 R14:X15 D16:X35 AI18:AO18 AH19:AH20 AJ19:AQ20 AH21:AP22 AH23:AO23 AI24:AP25 AH26:AP31 AH32:AQ32 AH33:AS33 AH34:AP34 AR34:AS34 AH35:AS35">
    <cfRule type="cellIs" dxfId="3873" priority="1454" operator="equal">
      <formula>"כ"</formula>
    </cfRule>
    <cfRule type="cellIs" dxfId="3872" priority="1443" operator="equal">
      <formula>"ל"</formula>
    </cfRule>
    <cfRule type="cellIs" dxfId="3871" priority="1444" operator="equal">
      <formula>"י"</formula>
    </cfRule>
    <cfRule type="cellIs" dxfId="3870" priority="1446" operator="equal">
      <formula>"כמש"</formula>
    </cfRule>
    <cfRule type="cellIs" dxfId="3869" priority="1447" operator="equal">
      <formula>"כמ"</formula>
    </cfRule>
    <cfRule type="cellIs" dxfId="3868" priority="1448" operator="equal">
      <formula>"ק"</formula>
    </cfRule>
    <cfRule type="cellIs" dxfId="3867" priority="1449" operator="equal">
      <formula>"מ"</formula>
    </cfRule>
    <cfRule type="cellIs" dxfId="3866" priority="1450" operator="equal">
      <formula>"מנוחה"</formula>
    </cfRule>
    <cfRule type="cellIs" dxfId="3865" priority="1451" operator="equal">
      <formula>"מיל"</formula>
    </cfRule>
    <cfRule type="cellIs" dxfId="3864" priority="1453" operator="equal">
      <formula>"כש"</formula>
    </cfRule>
  </conditionalFormatting>
  <conditionalFormatting sqref="D3:N3 AD3:AE4 D4:S4">
    <cfRule type="cellIs" dxfId="3863" priority="1184" operator="equal">
      <formula>"ח"</formula>
    </cfRule>
  </conditionalFormatting>
  <conditionalFormatting sqref="P3:Q3">
    <cfRule type="cellIs" dxfId="3862" priority="1176" operator="equal">
      <formula>"ל"</formula>
    </cfRule>
    <cfRule type="cellIs" dxfId="3861" priority="1177" operator="equal">
      <formula>"י"</formula>
    </cfRule>
    <cfRule type="cellIs" dxfId="3860" priority="1178" operator="equal">
      <formula>"כמש"</formula>
    </cfRule>
    <cfRule type="cellIs" dxfId="3859" priority="1179" operator="equal">
      <formula>"כמ"</formula>
    </cfRule>
    <cfRule type="cellIs" dxfId="3858" priority="1180" operator="equal">
      <formula>"ק"</formula>
    </cfRule>
    <cfRule type="cellIs" dxfId="3857" priority="1181" operator="equal">
      <formula>"מ"</formula>
    </cfRule>
    <cfRule type="cellIs" dxfId="3856" priority="1182" operator="equal">
      <formula>"מנוחה"</formula>
    </cfRule>
    <cfRule type="cellIs" dxfId="3855" priority="1186" operator="equal">
      <formula>"כ"</formula>
    </cfRule>
    <cfRule type="cellIs" dxfId="3854" priority="1183" operator="equal">
      <formula>"מיל"</formula>
    </cfRule>
    <cfRule type="cellIs" dxfId="3853" priority="1185" operator="equal">
      <formula>"כש"</formula>
    </cfRule>
  </conditionalFormatting>
  <conditionalFormatting sqref="P3:W3">
    <cfRule type="cellIs" dxfId="3852" priority="1151" operator="equal">
      <formula>"ח"</formula>
    </cfRule>
  </conditionalFormatting>
  <conditionalFormatting sqref="R3:AO4">
    <cfRule type="cellIs" dxfId="3851" priority="1060" operator="equal">
      <formula>"מ"</formula>
    </cfRule>
    <cfRule type="cellIs" dxfId="3850" priority="1055" operator="equal">
      <formula>"ל"</formula>
    </cfRule>
    <cfRule type="cellIs" dxfId="3849" priority="1056" operator="equal">
      <formula>"י"</formula>
    </cfRule>
    <cfRule type="cellIs" dxfId="3848" priority="1065" operator="equal">
      <formula>"כ"</formula>
    </cfRule>
    <cfRule type="cellIs" dxfId="3847" priority="1064" operator="equal">
      <formula>"כש"</formula>
    </cfRule>
    <cfRule type="cellIs" dxfId="3846" priority="1057" operator="equal">
      <formula>"כמש"</formula>
    </cfRule>
    <cfRule type="cellIs" dxfId="3845" priority="1058" operator="equal">
      <formula>"כמ"</formula>
    </cfRule>
    <cfRule type="cellIs" dxfId="3844" priority="1062" operator="equal">
      <formula>"מיל"</formula>
    </cfRule>
    <cfRule type="cellIs" dxfId="3843" priority="1059" operator="equal">
      <formula>"ק"</formula>
    </cfRule>
    <cfRule type="cellIs" dxfId="3842" priority="1061" operator="equal">
      <formula>"מנוחה"</formula>
    </cfRule>
  </conditionalFormatting>
  <conditionalFormatting sqref="T4:W4">
    <cfRule type="cellIs" dxfId="3841" priority="1085" operator="equal">
      <formula>"ח"</formula>
    </cfRule>
  </conditionalFormatting>
  <conditionalFormatting sqref="X4:Y4">
    <cfRule type="cellIs" dxfId="3840" priority="1195" operator="equal">
      <formula>"ח"</formula>
    </cfRule>
  </conditionalFormatting>
  <conditionalFormatting sqref="AL4:AO4">
    <cfRule type="cellIs" dxfId="3839" priority="1063" operator="equal">
      <formula>"ח"</formula>
    </cfRule>
  </conditionalFormatting>
  <conditionalFormatting sqref="AP12:AQ18">
    <cfRule type="cellIs" dxfId="3838" priority="1420" operator="equal">
      <formula>"ל"</formula>
    </cfRule>
    <cfRule type="cellIs" dxfId="3837" priority="1430" operator="equal">
      <formula>"כ"</formula>
    </cfRule>
    <cfRule type="cellIs" dxfId="3836" priority="1427" operator="equal">
      <formula>"מיל"</formula>
    </cfRule>
    <cfRule type="cellIs" dxfId="3835" priority="1421" operator="equal">
      <formula>"י"</formula>
    </cfRule>
    <cfRule type="cellIs" dxfId="3834" priority="1422" operator="equal">
      <formula>"כמש"</formula>
    </cfRule>
    <cfRule type="cellIs" dxfId="3833" priority="1423" operator="equal">
      <formula>"כמ"</formula>
    </cfRule>
    <cfRule type="cellIs" dxfId="3832" priority="1429" operator="equal">
      <formula>"כש"</formula>
    </cfRule>
    <cfRule type="cellIs" dxfId="3831" priority="1424" operator="equal">
      <formula>"ק"</formula>
    </cfRule>
    <cfRule type="cellIs" dxfId="3830" priority="1425" operator="equal">
      <formula>"מ"</formula>
    </cfRule>
    <cfRule type="cellIs" dxfId="3829" priority="1426" operator="equal">
      <formula>"מנוחה"</formula>
    </cfRule>
  </conditionalFormatting>
  <conditionalFormatting sqref="AP18:AQ18">
    <cfRule type="cellIs" dxfId="3828" priority="1428" operator="equal">
      <formula>"ח"</formula>
    </cfRule>
  </conditionalFormatting>
  <conditionalFormatting sqref="AR12:AS32">
    <cfRule type="cellIs" dxfId="3827" priority="1437" operator="equal">
      <formula>"מ"</formula>
    </cfRule>
    <cfRule type="cellIs" dxfId="3826" priority="1442" operator="equal">
      <formula>"כ"</formula>
    </cfRule>
    <cfRule type="cellIs" dxfId="3825" priority="1441" operator="equal">
      <formula>"כש"</formula>
    </cfRule>
    <cfRule type="cellIs" dxfId="3824" priority="1439" operator="equal">
      <formula>"מיל"</formula>
    </cfRule>
    <cfRule type="cellIs" dxfId="3823" priority="1438" operator="equal">
      <formula>"מנוחה"</formula>
    </cfRule>
    <cfRule type="cellIs" dxfId="3822" priority="1436" operator="equal">
      <formula>"ק"</formula>
    </cfRule>
    <cfRule type="cellIs" dxfId="3821" priority="1435" operator="equal">
      <formula>"כמ"</formula>
    </cfRule>
    <cfRule type="cellIs" dxfId="3820" priority="1434" operator="equal">
      <formula>"כמש"</formula>
    </cfRule>
    <cfRule type="cellIs" dxfId="3819" priority="1432" operator="equal">
      <formula>"י"</formula>
    </cfRule>
    <cfRule type="cellIs" dxfId="3818" priority="1431" operator="equal">
      <formula>"ל"</formula>
    </cfRule>
  </conditionalFormatting>
  <conditionalFormatting sqref="AR14:AS17">
    <cfRule type="cellIs" dxfId="3817" priority="1440" operator="equal">
      <formula>"ח"</formula>
    </cfRule>
  </conditionalFormatting>
  <conditionalFormatting sqref="AT5:AU35">
    <cfRule type="cellIs" dxfId="3816" priority="1029" operator="equal">
      <formula>"מיל"</formula>
    </cfRule>
    <cfRule type="cellIs" dxfId="3815" priority="1027" operator="equal">
      <formula>"מ"</formula>
    </cfRule>
    <cfRule type="cellIs" dxfId="3814" priority="1022" operator="equal">
      <formula>"ל"</formula>
    </cfRule>
    <cfRule type="cellIs" dxfId="3813" priority="1028" operator="equal">
      <formula>"מנוחה"</formula>
    </cfRule>
    <cfRule type="cellIs" dxfId="3812" priority="1023" operator="equal">
      <formula>"י"</formula>
    </cfRule>
    <cfRule type="cellIs" dxfId="3811" priority="1024" operator="equal">
      <formula>"כמש"</formula>
    </cfRule>
    <cfRule type="cellIs" dxfId="3810" priority="1026" operator="equal">
      <formula>"ק"</formula>
    </cfRule>
    <cfRule type="cellIs" dxfId="3809" priority="1025" operator="equal">
      <formula>"כמ"</formula>
    </cfRule>
  </conditionalFormatting>
  <conditionalFormatting sqref="AT1:AV4">
    <cfRule type="cellIs" dxfId="3808" priority="1053" operator="equal">
      <formula>"כש"</formula>
    </cfRule>
    <cfRule type="cellIs" dxfId="3807" priority="1052" operator="equal">
      <formula>"ח"</formula>
    </cfRule>
    <cfRule type="cellIs" dxfId="3806" priority="1051" operator="equal">
      <formula>"מיל"</formula>
    </cfRule>
    <cfRule type="cellIs" dxfId="3805" priority="1050" operator="equal">
      <formula>"מנוחה"</formula>
    </cfRule>
    <cfRule type="cellIs" dxfId="3804" priority="1049" operator="equal">
      <formula>"מ"</formula>
    </cfRule>
    <cfRule type="cellIs" dxfId="3803" priority="1048" operator="equal">
      <formula>"ק"</formula>
    </cfRule>
    <cfRule type="cellIs" dxfId="3802" priority="1047" operator="equal">
      <formula>"כמ"</formula>
    </cfRule>
    <cfRule type="cellIs" dxfId="3801" priority="1046" operator="equal">
      <formula>"כמש"</formula>
    </cfRule>
    <cfRule type="cellIs" dxfId="3800" priority="1045" operator="equal">
      <formula>"י"</formula>
    </cfRule>
    <cfRule type="cellIs" dxfId="3799" priority="1044" operator="equal">
      <formula>"ל"</formula>
    </cfRule>
    <cfRule type="cellIs" dxfId="3798" priority="1054" operator="equal">
      <formula>"כ"</formula>
    </cfRule>
  </conditionalFormatting>
  <conditionalFormatting sqref="AV5 AT5:AU35">
    <cfRule type="cellIs" dxfId="3797" priority="1030" operator="equal">
      <formula>"ח"</formula>
    </cfRule>
    <cfRule type="cellIs" dxfId="3796" priority="1032" operator="equal">
      <formula>"כ"</formula>
    </cfRule>
    <cfRule type="cellIs" dxfId="3795" priority="1031" operator="equal">
      <formula>"כש"</formula>
    </cfRule>
  </conditionalFormatting>
  <conditionalFormatting sqref="AV5:BN5">
    <cfRule type="cellIs" dxfId="3794" priority="38" operator="equal">
      <formula>"ק"</formula>
    </cfRule>
    <cfRule type="cellIs" dxfId="3793" priority="37" operator="equal">
      <formula>"כמ"</formula>
    </cfRule>
    <cfRule type="cellIs" dxfId="3792" priority="36" operator="equal">
      <formula>"כמש"</formula>
    </cfRule>
    <cfRule type="cellIs" dxfId="3791" priority="35" operator="equal">
      <formula>"י"</formula>
    </cfRule>
    <cfRule type="cellIs" dxfId="3790" priority="34" operator="equal">
      <formula>"ל"</formula>
    </cfRule>
    <cfRule type="cellIs" dxfId="3789" priority="40" operator="equal">
      <formula>"מנוחה"</formula>
    </cfRule>
    <cfRule type="cellIs" dxfId="3788" priority="41" operator="equal">
      <formula>"מיל"</formula>
    </cfRule>
    <cfRule type="cellIs" dxfId="3787" priority="39" operator="equal">
      <formula>"מ"</formula>
    </cfRule>
  </conditionalFormatting>
  <conditionalFormatting sqref="AW39 AY39 BA39 BC39 BE39 BG39 BI39 BK39 BM39 BO39 BQ39 BS39 BU39 BW39 BY39 CA39:CB39">
    <cfRule type="cellIs" dxfId="3786" priority="1198" operator="lessThan">
      <formula>$CE$39</formula>
    </cfRule>
    <cfRule type="cellIs" dxfId="3785" priority="1199" operator="greaterThan">
      <formula>$CE$39</formula>
    </cfRule>
  </conditionalFormatting>
  <conditionalFormatting sqref="AW8:BF8">
    <cfRule type="cellIs" dxfId="3784" priority="28" operator="equal">
      <formula>"מ"</formula>
    </cfRule>
    <cfRule type="cellIs" dxfId="3783" priority="27" operator="equal">
      <formula>"ק"</formula>
    </cfRule>
    <cfRule type="cellIs" dxfId="3782" priority="30" operator="equal">
      <formula>"מיל"</formula>
    </cfRule>
    <cfRule type="cellIs" dxfId="3781" priority="31" operator="equal">
      <formula>"כש"</formula>
    </cfRule>
    <cfRule type="cellIs" dxfId="3780" priority="29" operator="equal">
      <formula>"מנוחה"</formula>
    </cfRule>
    <cfRule type="cellIs" dxfId="3779" priority="26" operator="equal">
      <formula>"כמ"</formula>
    </cfRule>
    <cfRule type="cellIs" dxfId="3778" priority="23" operator="equal">
      <formula>"ל"</formula>
    </cfRule>
    <cfRule type="cellIs" dxfId="3777" priority="24" operator="equal">
      <formula>"י"</formula>
    </cfRule>
    <cfRule type="cellIs" dxfId="3776" priority="25" operator="equal">
      <formula>"כמש"</formula>
    </cfRule>
    <cfRule type="cellIs" dxfId="3775" priority="32" operator="equal">
      <formula>"כ"</formula>
    </cfRule>
  </conditionalFormatting>
  <conditionalFormatting sqref="AW12:BF12">
    <cfRule type="cellIs" dxfId="3774" priority="20" operator="equal">
      <formula>"כש"</formula>
    </cfRule>
    <cfRule type="cellIs" dxfId="3773" priority="19" operator="equal">
      <formula>"מיל"</formula>
    </cfRule>
    <cfRule type="cellIs" dxfId="3772" priority="18" operator="equal">
      <formula>"מנוחה"</formula>
    </cfRule>
    <cfRule type="cellIs" dxfId="3771" priority="17" operator="equal">
      <formula>"מ"</formula>
    </cfRule>
    <cfRule type="cellIs" dxfId="3770" priority="16" operator="equal">
      <formula>"ק"</formula>
    </cfRule>
    <cfRule type="cellIs" dxfId="3769" priority="21" operator="equal">
      <formula>"כ"</formula>
    </cfRule>
    <cfRule type="cellIs" dxfId="3768" priority="14" operator="equal">
      <formula>"כמש"</formula>
    </cfRule>
    <cfRule type="cellIs" dxfId="3767" priority="12" operator="equal">
      <formula>"ל"</formula>
    </cfRule>
    <cfRule type="cellIs" dxfId="3766" priority="13" operator="equal">
      <formula>"י"</formula>
    </cfRule>
    <cfRule type="cellIs" dxfId="3765" priority="15" operator="equal">
      <formula>"כמ"</formula>
    </cfRule>
  </conditionalFormatting>
  <conditionalFormatting sqref="AW16:BF16">
    <cfRule type="cellIs" dxfId="3764" priority="3" operator="equal">
      <formula>"כמש"</formula>
    </cfRule>
    <cfRule type="cellIs" dxfId="3763" priority="4" operator="equal">
      <formula>"כמ"</formula>
    </cfRule>
    <cfRule type="cellIs" dxfId="3762" priority="5" operator="equal">
      <formula>"ק"</formula>
    </cfRule>
    <cfRule type="cellIs" dxfId="3761" priority="6" operator="equal">
      <formula>"מ"</formula>
    </cfRule>
    <cfRule type="cellIs" dxfId="3760" priority="2" operator="equal">
      <formula>"י"</formula>
    </cfRule>
    <cfRule type="cellIs" dxfId="3759" priority="7" operator="equal">
      <formula>"מנוחה"</formula>
    </cfRule>
    <cfRule type="cellIs" dxfId="3758" priority="10" operator="equal">
      <formula>"כ"</formula>
    </cfRule>
    <cfRule type="cellIs" dxfId="3757" priority="9" operator="equal">
      <formula>"כש"</formula>
    </cfRule>
    <cfRule type="cellIs" dxfId="3756" priority="1" operator="equal">
      <formula>"ל"</formula>
    </cfRule>
    <cfRule type="cellIs" dxfId="3755" priority="8" operator="equal">
      <formula>"מיל"</formula>
    </cfRule>
  </conditionalFormatting>
  <conditionalFormatting sqref="AW17:BL35 AW5:BL7 AW9:BL11 AW13:BL15">
    <cfRule type="cellIs" dxfId="3754" priority="1309" operator="equal">
      <formula>"כ"</formula>
    </cfRule>
    <cfRule type="cellIs" dxfId="3753" priority="1308" operator="equal">
      <formula>"כש"</formula>
    </cfRule>
  </conditionalFormatting>
  <conditionalFormatting sqref="AW2:CB2 AW3:AZ3 BE3:BO3 AW4:AY4 BE4 BG4 BI4 BK4:BM4 BO4 BS4:BU4 BW4 BY4 CA4">
    <cfRule type="cellIs" dxfId="3752" priority="1117" operator="equal">
      <formula>"מיל"</formula>
    </cfRule>
    <cfRule type="cellIs" dxfId="3751" priority="1118" operator="equal">
      <formula>"ח"</formula>
    </cfRule>
    <cfRule type="cellIs" dxfId="3750" priority="1111" operator="equal">
      <formula>"י"</formula>
    </cfRule>
    <cfRule type="cellIs" dxfId="3749" priority="1110" operator="equal">
      <formula>"ל"</formula>
    </cfRule>
    <cfRule type="cellIs" dxfId="3748" priority="1112" operator="equal">
      <formula>"כמש"</formula>
    </cfRule>
    <cfRule type="cellIs" dxfId="3747" priority="1113" operator="equal">
      <formula>"כמ"</formula>
    </cfRule>
    <cfRule type="cellIs" dxfId="3746" priority="1114" operator="equal">
      <formula>"ק"</formula>
    </cfRule>
    <cfRule type="cellIs" dxfId="3745" priority="1115" operator="equal">
      <formula>"מ"</formula>
    </cfRule>
    <cfRule type="cellIs" dxfId="3744" priority="1116" operator="equal">
      <formula>"מנוחה"</formula>
    </cfRule>
  </conditionalFormatting>
  <conditionalFormatting sqref="AW2:CB2 AW3:AZ3 BE3:BO3 AW4:AY4 BE4 BG4 BI4 BK4:BM4 BS4:BU4 BW4 BY4 CA4 BO4:BO5">
    <cfRule type="cellIs" dxfId="3743" priority="1119" operator="equal">
      <formula>"כש"</formula>
    </cfRule>
    <cfRule type="cellIs" dxfId="3742" priority="1120" operator="equal">
      <formula>"כ"</formula>
    </cfRule>
  </conditionalFormatting>
  <conditionalFormatting sqref="AX5:AX35">
    <cfRule type="cellIs" dxfId="3741" priority="1395" operator="equal">
      <formula>"ח"</formula>
    </cfRule>
  </conditionalFormatting>
  <conditionalFormatting sqref="AX7">
    <cfRule type="cellIs" dxfId="3740" priority="339" stopIfTrue="1" operator="equal">
      <formula>"ח"</formula>
    </cfRule>
    <cfRule type="cellIs" dxfId="3739" priority="341" operator="equal">
      <formula>"כ"</formula>
    </cfRule>
    <cfRule type="cellIs" dxfId="3738" priority="340" operator="equal">
      <formula>"כש"</formula>
    </cfRule>
  </conditionalFormatting>
  <conditionalFormatting sqref="AX11">
    <cfRule type="cellIs" dxfId="3737" priority="308" operator="equal">
      <formula>"כש"</formula>
    </cfRule>
    <cfRule type="cellIs" dxfId="3736" priority="307" stopIfTrue="1" operator="equal">
      <formula>"ח"</formula>
    </cfRule>
    <cfRule type="cellIs" dxfId="3735" priority="309" operator="equal">
      <formula>"כ"</formula>
    </cfRule>
  </conditionalFormatting>
  <conditionalFormatting sqref="AX15">
    <cfRule type="cellIs" dxfId="3734" priority="277" operator="equal">
      <formula>"כ"</formula>
    </cfRule>
    <cfRule type="cellIs" dxfId="3733" priority="275" stopIfTrue="1" operator="equal">
      <formula>"ח"</formula>
    </cfRule>
    <cfRule type="cellIs" dxfId="3732" priority="276" operator="equal">
      <formula>"כש"</formula>
    </cfRule>
  </conditionalFormatting>
  <conditionalFormatting sqref="AX19">
    <cfRule type="cellIs" dxfId="3731" priority="243" stopIfTrue="1" operator="equal">
      <formula>"ח"</formula>
    </cfRule>
    <cfRule type="cellIs" dxfId="3730" priority="244" operator="equal">
      <formula>"כש"</formula>
    </cfRule>
    <cfRule type="cellIs" dxfId="3729" priority="245" operator="equal">
      <formula>"כ"</formula>
    </cfRule>
  </conditionalFormatting>
  <conditionalFormatting sqref="AX23">
    <cfRule type="cellIs" dxfId="3728" priority="211" stopIfTrue="1" operator="equal">
      <formula>"ח"</formula>
    </cfRule>
    <cfRule type="cellIs" dxfId="3727" priority="212" operator="equal">
      <formula>"כש"</formula>
    </cfRule>
    <cfRule type="cellIs" dxfId="3726" priority="213" operator="equal">
      <formula>"כ"</formula>
    </cfRule>
  </conditionalFormatting>
  <conditionalFormatting sqref="AX27">
    <cfRule type="cellIs" dxfId="3725" priority="180" operator="equal">
      <formula>"כש"</formula>
    </cfRule>
    <cfRule type="cellIs" dxfId="3724" priority="179" stopIfTrue="1" operator="equal">
      <formula>"ח"</formula>
    </cfRule>
    <cfRule type="cellIs" dxfId="3723" priority="181" operator="equal">
      <formula>"כ"</formula>
    </cfRule>
  </conditionalFormatting>
  <conditionalFormatting sqref="AX31">
    <cfRule type="cellIs" dxfId="3722" priority="147" stopIfTrue="1" operator="equal">
      <formula>"ח"</formula>
    </cfRule>
    <cfRule type="cellIs" dxfId="3721" priority="149" operator="equal">
      <formula>"כ"</formula>
    </cfRule>
    <cfRule type="cellIs" dxfId="3720" priority="148" operator="equal">
      <formula>"כש"</formula>
    </cfRule>
  </conditionalFormatting>
  <conditionalFormatting sqref="AX35">
    <cfRule type="cellIs" dxfId="3719" priority="117" operator="equal">
      <formula>"כ"</formula>
    </cfRule>
    <cfRule type="cellIs" dxfId="3718" priority="115" stopIfTrue="1" operator="equal">
      <formula>"ח"</formula>
    </cfRule>
    <cfRule type="cellIs" dxfId="3717" priority="116" operator="equal">
      <formula>"כש"</formula>
    </cfRule>
  </conditionalFormatting>
  <conditionalFormatting sqref="AX6:AY7 AX10:AY11 AX14:AY15 AX18:AY19 AX22:AY23 AX26:AY27 AX30:AY31 AX34:AY35 BF19:BG20 BF23:BG24 BF27:BG28 BF31:BG32 BF35:BG35 X3:AO3 Z4:AK4 BU5:BW35 BM16:BO35 A1:C4 X2:AH2 AP2 AR2 AR4:AS4 C5 BM5 BO5 AH5:AS11 D5:X13 A5:B35 Y5:AG35 AW5:AW35 AY5:AY35 BA5:BA35 BC5:BC35 BE5:BE35 BG5:BG35 BI5:BI35 BK5:BK35 BQ5:BQ35 BS5:BS35 BY5:BY35 CA5:CA35 BM6:BO7 BM8:BM13 BO8:BO13 AR12:AS13 AH12:AQ17 BM14:BO14 D14:P15 R14:X15 BO15 D16:X35 AI18:AO18 AR18:AS32 AH19:AH20 AJ19:AQ20 AH21:AP22 AH23:AO23 AI24:AP25 AH26:AP31 AH32:AQ32 AH33:AS33 AH34:AP34 AR34:AS34 AH35:AS35">
    <cfRule type="cellIs" dxfId="3716" priority="1452" operator="equal">
      <formula>"ח"</formula>
    </cfRule>
  </conditionalFormatting>
  <conditionalFormatting sqref="AX6:BD7">
    <cfRule type="cellIs" dxfId="3715" priority="352" operator="equal">
      <formula>"כ"</formula>
    </cfRule>
    <cfRule type="cellIs" dxfId="3714" priority="351" operator="equal">
      <formula>"כש"</formula>
    </cfRule>
  </conditionalFormatting>
  <conditionalFormatting sqref="AX10:BD11">
    <cfRule type="cellIs" dxfId="3713" priority="319" operator="equal">
      <formula>"כש"</formula>
    </cfRule>
    <cfRule type="cellIs" dxfId="3712" priority="320" operator="equal">
      <formula>"כ"</formula>
    </cfRule>
  </conditionalFormatting>
  <conditionalFormatting sqref="AX14:BD15">
    <cfRule type="cellIs" dxfId="3711" priority="288" operator="equal">
      <formula>"כ"</formula>
    </cfRule>
    <cfRule type="cellIs" dxfId="3710" priority="287" operator="equal">
      <formula>"כש"</formula>
    </cfRule>
  </conditionalFormatting>
  <conditionalFormatting sqref="AX18:BD19">
    <cfRule type="cellIs" dxfId="3709" priority="256" operator="equal">
      <formula>"כ"</formula>
    </cfRule>
    <cfRule type="cellIs" dxfId="3708" priority="255" operator="equal">
      <formula>"כש"</formula>
    </cfRule>
  </conditionalFormatting>
  <conditionalFormatting sqref="AX22:BD23">
    <cfRule type="cellIs" dxfId="3707" priority="224" operator="equal">
      <formula>"כ"</formula>
    </cfRule>
    <cfRule type="cellIs" dxfId="3706" priority="223" operator="equal">
      <formula>"כש"</formula>
    </cfRule>
  </conditionalFormatting>
  <conditionalFormatting sqref="AX26:BD27">
    <cfRule type="cellIs" dxfId="3705" priority="192" operator="equal">
      <formula>"כ"</formula>
    </cfRule>
    <cfRule type="cellIs" dxfId="3704" priority="191" operator="equal">
      <formula>"כש"</formula>
    </cfRule>
  </conditionalFormatting>
  <conditionalFormatting sqref="AX30:BD31">
    <cfRule type="cellIs" dxfId="3703" priority="159" operator="equal">
      <formula>"כש"</formula>
    </cfRule>
    <cfRule type="cellIs" dxfId="3702" priority="160" operator="equal">
      <formula>"כ"</formula>
    </cfRule>
  </conditionalFormatting>
  <conditionalFormatting sqref="AX34:BD35">
    <cfRule type="cellIs" dxfId="3701" priority="128" operator="equal">
      <formula>"כ"</formula>
    </cfRule>
    <cfRule type="cellIs" dxfId="3700" priority="127" operator="equal">
      <formula>"כש"</formula>
    </cfRule>
  </conditionalFormatting>
  <conditionalFormatting sqref="AZ5:AZ35">
    <cfRule type="cellIs" dxfId="3699" priority="1362" operator="equal">
      <formula>"ח"</formula>
    </cfRule>
  </conditionalFormatting>
  <conditionalFormatting sqref="AZ6">
    <cfRule type="cellIs" dxfId="3698" priority="337" operator="equal">
      <formula>"כ"</formula>
    </cfRule>
    <cfRule type="cellIs" dxfId="3697" priority="336" operator="equal">
      <formula>"כש"</formula>
    </cfRule>
    <cfRule type="cellIs" dxfId="3696" priority="338" operator="equal">
      <formula>"ח"</formula>
    </cfRule>
  </conditionalFormatting>
  <conditionalFormatting sqref="AZ6:AZ7">
    <cfRule type="cellIs" dxfId="3695" priority="355" operator="equal">
      <formula>"ח"</formula>
    </cfRule>
  </conditionalFormatting>
  <conditionalFormatting sqref="AZ7">
    <cfRule type="cellIs" dxfId="3694" priority="350" operator="equal">
      <formula>"כ"</formula>
    </cfRule>
    <cfRule type="cellIs" dxfId="3693" priority="349" operator="equal">
      <formula>"כש"</formula>
    </cfRule>
    <cfRule type="cellIs" dxfId="3692" priority="348" stopIfTrue="1" operator="equal">
      <formula>"ח"</formula>
    </cfRule>
  </conditionalFormatting>
  <conditionalFormatting sqref="AZ10">
    <cfRule type="cellIs" dxfId="3691" priority="306" operator="equal">
      <formula>"ח"</formula>
    </cfRule>
    <cfRule type="cellIs" dxfId="3690" priority="305" operator="equal">
      <formula>"כ"</formula>
    </cfRule>
    <cfRule type="cellIs" dxfId="3689" priority="304" operator="equal">
      <formula>"כש"</formula>
    </cfRule>
  </conditionalFormatting>
  <conditionalFormatting sqref="AZ10:AZ11">
    <cfRule type="cellIs" dxfId="3688" priority="323" operator="equal">
      <formula>"ח"</formula>
    </cfRule>
  </conditionalFormatting>
  <conditionalFormatting sqref="AZ11">
    <cfRule type="cellIs" dxfId="3687" priority="316" stopIfTrue="1" operator="equal">
      <formula>"ח"</formula>
    </cfRule>
    <cfRule type="cellIs" dxfId="3686" priority="317" operator="equal">
      <formula>"כש"</formula>
    </cfRule>
    <cfRule type="cellIs" dxfId="3685" priority="318" operator="equal">
      <formula>"כ"</formula>
    </cfRule>
  </conditionalFormatting>
  <conditionalFormatting sqref="AZ14">
    <cfRule type="cellIs" dxfId="3684" priority="273" operator="equal">
      <formula>"כ"</formula>
    </cfRule>
    <cfRule type="cellIs" dxfId="3683" priority="272" operator="equal">
      <formula>"כש"</formula>
    </cfRule>
    <cfRule type="cellIs" dxfId="3682" priority="274" operator="equal">
      <formula>"ח"</formula>
    </cfRule>
  </conditionalFormatting>
  <conditionalFormatting sqref="AZ14:AZ15">
    <cfRule type="cellIs" dxfId="3681" priority="291" operator="equal">
      <formula>"ח"</formula>
    </cfRule>
  </conditionalFormatting>
  <conditionalFormatting sqref="AZ15">
    <cfRule type="cellIs" dxfId="3680" priority="285" operator="equal">
      <formula>"כש"</formula>
    </cfRule>
    <cfRule type="cellIs" dxfId="3679" priority="286" operator="equal">
      <formula>"כ"</formula>
    </cfRule>
    <cfRule type="cellIs" dxfId="3678" priority="284" stopIfTrue="1" operator="equal">
      <formula>"ח"</formula>
    </cfRule>
  </conditionalFormatting>
  <conditionalFormatting sqref="AZ18">
    <cfRule type="cellIs" dxfId="3677" priority="241" operator="equal">
      <formula>"כ"</formula>
    </cfRule>
    <cfRule type="cellIs" dxfId="3676" priority="242" operator="equal">
      <formula>"ח"</formula>
    </cfRule>
    <cfRule type="cellIs" dxfId="3675" priority="240" operator="equal">
      <formula>"כש"</formula>
    </cfRule>
  </conditionalFormatting>
  <conditionalFormatting sqref="AZ18:AZ19">
    <cfRule type="cellIs" dxfId="3674" priority="259" operator="equal">
      <formula>"ח"</formula>
    </cfRule>
  </conditionalFormatting>
  <conditionalFormatting sqref="AZ19">
    <cfRule type="cellIs" dxfId="3673" priority="253" operator="equal">
      <formula>"כש"</formula>
    </cfRule>
    <cfRule type="cellIs" dxfId="3672" priority="254" operator="equal">
      <formula>"כ"</formula>
    </cfRule>
    <cfRule type="cellIs" dxfId="3671" priority="252" stopIfTrue="1" operator="equal">
      <formula>"ח"</formula>
    </cfRule>
  </conditionalFormatting>
  <conditionalFormatting sqref="AZ22">
    <cfRule type="cellIs" dxfId="3670" priority="208" operator="equal">
      <formula>"כש"</formula>
    </cfRule>
    <cfRule type="cellIs" dxfId="3669" priority="209" operator="equal">
      <formula>"כ"</formula>
    </cfRule>
    <cfRule type="cellIs" dxfId="3668" priority="210" operator="equal">
      <formula>"ח"</formula>
    </cfRule>
  </conditionalFormatting>
  <conditionalFormatting sqref="AZ22:AZ23">
    <cfRule type="cellIs" dxfId="3667" priority="227" operator="equal">
      <formula>"ח"</formula>
    </cfRule>
  </conditionalFormatting>
  <conditionalFormatting sqref="AZ23">
    <cfRule type="cellIs" dxfId="3666" priority="220" stopIfTrue="1" operator="equal">
      <formula>"ח"</formula>
    </cfRule>
    <cfRule type="cellIs" dxfId="3665" priority="221" operator="equal">
      <formula>"כש"</formula>
    </cfRule>
    <cfRule type="cellIs" dxfId="3664" priority="222" operator="equal">
      <formula>"כ"</formula>
    </cfRule>
  </conditionalFormatting>
  <conditionalFormatting sqref="AZ26">
    <cfRule type="cellIs" dxfId="3663" priority="178" operator="equal">
      <formula>"ח"</formula>
    </cfRule>
    <cfRule type="cellIs" dxfId="3662" priority="176" operator="equal">
      <formula>"כש"</formula>
    </cfRule>
    <cfRule type="cellIs" dxfId="3661" priority="177" operator="equal">
      <formula>"כ"</formula>
    </cfRule>
  </conditionalFormatting>
  <conditionalFormatting sqref="AZ26:AZ27">
    <cfRule type="cellIs" dxfId="3660" priority="195" operator="equal">
      <formula>"ח"</formula>
    </cfRule>
  </conditionalFormatting>
  <conditionalFormatting sqref="AZ27">
    <cfRule type="cellIs" dxfId="3659" priority="190" operator="equal">
      <formula>"כ"</formula>
    </cfRule>
    <cfRule type="cellIs" dxfId="3658" priority="189" operator="equal">
      <formula>"כש"</formula>
    </cfRule>
    <cfRule type="cellIs" dxfId="3657" priority="188" stopIfTrue="1" operator="equal">
      <formula>"ח"</formula>
    </cfRule>
  </conditionalFormatting>
  <conditionalFormatting sqref="AZ30">
    <cfRule type="cellIs" dxfId="3656" priority="145" operator="equal">
      <formula>"כ"</formula>
    </cfRule>
    <cfRule type="cellIs" dxfId="3655" priority="144" operator="equal">
      <formula>"כש"</formula>
    </cfRule>
    <cfRule type="cellIs" dxfId="3654" priority="146" operator="equal">
      <formula>"ח"</formula>
    </cfRule>
  </conditionalFormatting>
  <conditionalFormatting sqref="AZ30:AZ31">
    <cfRule type="cellIs" dxfId="3653" priority="163" operator="equal">
      <formula>"ח"</formula>
    </cfRule>
  </conditionalFormatting>
  <conditionalFormatting sqref="AZ31">
    <cfRule type="cellIs" dxfId="3652" priority="158" operator="equal">
      <formula>"כ"</formula>
    </cfRule>
    <cfRule type="cellIs" dxfId="3651" priority="156" stopIfTrue="1" operator="equal">
      <formula>"ח"</formula>
    </cfRule>
    <cfRule type="cellIs" dxfId="3650" priority="157" operator="equal">
      <formula>"כש"</formula>
    </cfRule>
  </conditionalFormatting>
  <conditionalFormatting sqref="AZ34">
    <cfRule type="cellIs" dxfId="3649" priority="114" operator="equal">
      <formula>"ח"</formula>
    </cfRule>
    <cfRule type="cellIs" dxfId="3648" priority="113" operator="equal">
      <formula>"כ"</formula>
    </cfRule>
    <cfRule type="cellIs" dxfId="3647" priority="112" operator="equal">
      <formula>"כש"</formula>
    </cfRule>
  </conditionalFormatting>
  <conditionalFormatting sqref="AZ34:AZ35">
    <cfRule type="cellIs" dxfId="3646" priority="131" operator="equal">
      <formula>"ח"</formula>
    </cfRule>
  </conditionalFormatting>
  <conditionalFormatting sqref="AZ35">
    <cfRule type="cellIs" dxfId="3645" priority="126" operator="equal">
      <formula>"כ"</formula>
    </cfRule>
    <cfRule type="cellIs" dxfId="3644" priority="125" operator="equal">
      <formula>"כש"</formula>
    </cfRule>
    <cfRule type="cellIs" dxfId="3643" priority="124" stopIfTrue="1" operator="equal">
      <formula>"ח"</formula>
    </cfRule>
  </conditionalFormatting>
  <conditionalFormatting sqref="BB5:BB35">
    <cfRule type="cellIs" dxfId="3642" priority="1351" operator="equal">
      <formula>"ח"</formula>
    </cfRule>
  </conditionalFormatting>
  <conditionalFormatting sqref="BB6">
    <cfRule type="cellIs" dxfId="3641" priority="329" operator="equal">
      <formula>"ח"</formula>
    </cfRule>
    <cfRule type="cellIs" dxfId="3640" priority="328" operator="equal">
      <formula>"ח"</formula>
    </cfRule>
    <cfRule type="cellIs" dxfId="3639" priority="327" operator="equal">
      <formula>"כ"</formula>
    </cfRule>
    <cfRule type="cellIs" dxfId="3638" priority="326" operator="equal">
      <formula>"כש"</formula>
    </cfRule>
    <cfRule type="cellIs" dxfId="3637" priority="335" operator="equal">
      <formula>"ח"</formula>
    </cfRule>
  </conditionalFormatting>
  <conditionalFormatting sqref="BB6:BB7">
    <cfRule type="cellIs" dxfId="3636" priority="354" operator="equal">
      <formula>"ח"</formula>
    </cfRule>
  </conditionalFormatting>
  <conditionalFormatting sqref="BB7">
    <cfRule type="cellIs" dxfId="3635" priority="345" stopIfTrue="1" operator="equal">
      <formula>"ח"</formula>
    </cfRule>
    <cfRule type="cellIs" dxfId="3634" priority="346" operator="equal">
      <formula>"כש"</formula>
    </cfRule>
    <cfRule type="cellIs" dxfId="3633" priority="347" operator="equal">
      <formula>"כ"</formula>
    </cfRule>
  </conditionalFormatting>
  <conditionalFormatting sqref="BB10">
    <cfRule type="cellIs" dxfId="3632" priority="303" operator="equal">
      <formula>"ח"</formula>
    </cfRule>
    <cfRule type="cellIs" dxfId="3631" priority="297" operator="equal">
      <formula>"ח"</formula>
    </cfRule>
    <cfRule type="cellIs" dxfId="3630" priority="296" operator="equal">
      <formula>"ח"</formula>
    </cfRule>
    <cfRule type="cellIs" dxfId="3629" priority="295" operator="equal">
      <formula>"כ"</formula>
    </cfRule>
    <cfRule type="cellIs" dxfId="3628" priority="294" operator="equal">
      <formula>"כש"</formula>
    </cfRule>
  </conditionalFormatting>
  <conditionalFormatting sqref="BB10:BB11">
    <cfRule type="cellIs" dxfId="3627" priority="322" operator="equal">
      <formula>"ח"</formula>
    </cfRule>
  </conditionalFormatting>
  <conditionalFormatting sqref="BB11">
    <cfRule type="cellIs" dxfId="3626" priority="315" operator="equal">
      <formula>"כ"</formula>
    </cfRule>
    <cfRule type="cellIs" dxfId="3625" priority="314" operator="equal">
      <formula>"כש"</formula>
    </cfRule>
    <cfRule type="cellIs" dxfId="3624" priority="313" stopIfTrue="1" operator="equal">
      <formula>"ח"</formula>
    </cfRule>
  </conditionalFormatting>
  <conditionalFormatting sqref="BB14">
    <cfRule type="cellIs" dxfId="3623" priority="271" operator="equal">
      <formula>"ח"</formula>
    </cfRule>
    <cfRule type="cellIs" dxfId="3622" priority="262" operator="equal">
      <formula>"כש"</formula>
    </cfRule>
    <cfRule type="cellIs" dxfId="3621" priority="263" operator="equal">
      <formula>"כ"</formula>
    </cfRule>
    <cfRule type="cellIs" dxfId="3620" priority="264" operator="equal">
      <formula>"ח"</formula>
    </cfRule>
    <cfRule type="cellIs" dxfId="3619" priority="265" operator="equal">
      <formula>"ח"</formula>
    </cfRule>
  </conditionalFormatting>
  <conditionalFormatting sqref="BB14:BB15">
    <cfRule type="cellIs" dxfId="3618" priority="290" operator="equal">
      <formula>"ח"</formula>
    </cfRule>
  </conditionalFormatting>
  <conditionalFormatting sqref="BB15">
    <cfRule type="cellIs" dxfId="3617" priority="283" operator="equal">
      <formula>"כ"</formula>
    </cfRule>
    <cfRule type="cellIs" dxfId="3616" priority="282" operator="equal">
      <formula>"כש"</formula>
    </cfRule>
    <cfRule type="cellIs" dxfId="3615" priority="281" stopIfTrue="1" operator="equal">
      <formula>"ח"</formula>
    </cfRule>
  </conditionalFormatting>
  <conditionalFormatting sqref="BB18">
    <cfRule type="cellIs" dxfId="3614" priority="232" operator="equal">
      <formula>"ח"</formula>
    </cfRule>
    <cfRule type="cellIs" dxfId="3613" priority="239" operator="equal">
      <formula>"ח"</formula>
    </cfRule>
    <cfRule type="cellIs" dxfId="3612" priority="233" operator="equal">
      <formula>"ח"</formula>
    </cfRule>
    <cfRule type="cellIs" dxfId="3611" priority="231" operator="equal">
      <formula>"כ"</formula>
    </cfRule>
    <cfRule type="cellIs" dxfId="3610" priority="230" operator="equal">
      <formula>"כש"</formula>
    </cfRule>
  </conditionalFormatting>
  <conditionalFormatting sqref="BB18:BB19">
    <cfRule type="cellIs" dxfId="3609" priority="258" operator="equal">
      <formula>"ח"</formula>
    </cfRule>
  </conditionalFormatting>
  <conditionalFormatting sqref="BB19">
    <cfRule type="cellIs" dxfId="3608" priority="251" operator="equal">
      <formula>"כ"</formula>
    </cfRule>
    <cfRule type="cellIs" dxfId="3607" priority="250" operator="equal">
      <formula>"כש"</formula>
    </cfRule>
    <cfRule type="cellIs" dxfId="3606" priority="249" stopIfTrue="1" operator="equal">
      <formula>"ח"</formula>
    </cfRule>
  </conditionalFormatting>
  <conditionalFormatting sqref="BB22">
    <cfRule type="cellIs" dxfId="3605" priority="207" operator="equal">
      <formula>"ח"</formula>
    </cfRule>
    <cfRule type="cellIs" dxfId="3604" priority="198" operator="equal">
      <formula>"כש"</formula>
    </cfRule>
    <cfRule type="cellIs" dxfId="3603" priority="201" operator="equal">
      <formula>"ח"</formula>
    </cfRule>
    <cfRule type="cellIs" dxfId="3602" priority="200" operator="equal">
      <formula>"ח"</formula>
    </cfRule>
    <cfRule type="cellIs" dxfId="3601" priority="199" operator="equal">
      <formula>"כ"</formula>
    </cfRule>
  </conditionalFormatting>
  <conditionalFormatting sqref="BB22:BB23">
    <cfRule type="cellIs" dxfId="3600" priority="226" operator="equal">
      <formula>"ח"</formula>
    </cfRule>
  </conditionalFormatting>
  <conditionalFormatting sqref="BB23">
    <cfRule type="cellIs" dxfId="3599" priority="219" operator="equal">
      <formula>"כ"</formula>
    </cfRule>
    <cfRule type="cellIs" dxfId="3598" priority="217" stopIfTrue="1" operator="equal">
      <formula>"ח"</formula>
    </cfRule>
    <cfRule type="cellIs" dxfId="3597" priority="218" operator="equal">
      <formula>"כש"</formula>
    </cfRule>
  </conditionalFormatting>
  <conditionalFormatting sqref="BB26">
    <cfRule type="cellIs" dxfId="3596" priority="168" operator="equal">
      <formula>"ח"</formula>
    </cfRule>
    <cfRule type="cellIs" dxfId="3595" priority="169" operator="equal">
      <formula>"ח"</formula>
    </cfRule>
    <cfRule type="cellIs" dxfId="3594" priority="175" operator="equal">
      <formula>"ח"</formula>
    </cfRule>
    <cfRule type="cellIs" dxfId="3593" priority="167" operator="equal">
      <formula>"כ"</formula>
    </cfRule>
    <cfRule type="cellIs" dxfId="3592" priority="166" operator="equal">
      <formula>"כש"</formula>
    </cfRule>
  </conditionalFormatting>
  <conditionalFormatting sqref="BB26:BB27">
    <cfRule type="cellIs" dxfId="3591" priority="194" operator="equal">
      <formula>"ח"</formula>
    </cfRule>
  </conditionalFormatting>
  <conditionalFormatting sqref="BB27">
    <cfRule type="cellIs" dxfId="3590" priority="185" stopIfTrue="1" operator="equal">
      <formula>"ח"</formula>
    </cfRule>
    <cfRule type="cellIs" dxfId="3589" priority="186" operator="equal">
      <formula>"כש"</formula>
    </cfRule>
    <cfRule type="cellIs" dxfId="3588" priority="187" operator="equal">
      <formula>"כ"</formula>
    </cfRule>
  </conditionalFormatting>
  <conditionalFormatting sqref="BB30">
    <cfRule type="cellIs" dxfId="3587" priority="135" operator="equal">
      <formula>"כ"</formula>
    </cfRule>
    <cfRule type="cellIs" dxfId="3586" priority="134" operator="equal">
      <formula>"כש"</formula>
    </cfRule>
    <cfRule type="cellIs" dxfId="3585" priority="136" operator="equal">
      <formula>"ח"</formula>
    </cfRule>
    <cfRule type="cellIs" dxfId="3584" priority="137" operator="equal">
      <formula>"ח"</formula>
    </cfRule>
    <cfRule type="cellIs" dxfId="3583" priority="143" operator="equal">
      <formula>"ח"</formula>
    </cfRule>
  </conditionalFormatting>
  <conditionalFormatting sqref="BB30:BB31">
    <cfRule type="cellIs" dxfId="3582" priority="162" operator="equal">
      <formula>"ח"</formula>
    </cfRule>
  </conditionalFormatting>
  <conditionalFormatting sqref="BB31">
    <cfRule type="cellIs" dxfId="3581" priority="155" operator="equal">
      <formula>"כ"</formula>
    </cfRule>
    <cfRule type="cellIs" dxfId="3580" priority="153" stopIfTrue="1" operator="equal">
      <formula>"ח"</formula>
    </cfRule>
    <cfRule type="cellIs" dxfId="3579" priority="154" operator="equal">
      <formula>"כש"</formula>
    </cfRule>
  </conditionalFormatting>
  <conditionalFormatting sqref="BB34">
    <cfRule type="cellIs" dxfId="3578" priority="102" operator="equal">
      <formula>"כש"</formula>
    </cfRule>
    <cfRule type="cellIs" dxfId="3577" priority="103" operator="equal">
      <formula>"כ"</formula>
    </cfRule>
    <cfRule type="cellIs" dxfId="3576" priority="105" operator="equal">
      <formula>"ח"</formula>
    </cfRule>
    <cfRule type="cellIs" dxfId="3575" priority="111" operator="equal">
      <formula>"ח"</formula>
    </cfRule>
    <cfRule type="cellIs" dxfId="3574" priority="104" operator="equal">
      <formula>"ח"</formula>
    </cfRule>
  </conditionalFormatting>
  <conditionalFormatting sqref="BB34:BB35">
    <cfRule type="cellIs" dxfId="3573" priority="130" operator="equal">
      <formula>"ח"</formula>
    </cfRule>
  </conditionalFormatting>
  <conditionalFormatting sqref="BB35">
    <cfRule type="cellIs" dxfId="3572" priority="121" stopIfTrue="1" operator="equal">
      <formula>"ח"</formula>
    </cfRule>
    <cfRule type="cellIs" dxfId="3571" priority="122" operator="equal">
      <formula>"כש"</formula>
    </cfRule>
    <cfRule type="cellIs" dxfId="3570" priority="123" operator="equal">
      <formula>"כ"</formula>
    </cfRule>
  </conditionalFormatting>
  <conditionalFormatting sqref="BC3:BC4">
    <cfRule type="cellIs" dxfId="3569" priority="1097" operator="equal">
      <formula>"כש"</formula>
    </cfRule>
    <cfRule type="cellIs" dxfId="3568" priority="1091" operator="equal">
      <formula>"כמ"</formula>
    </cfRule>
    <cfRule type="cellIs" dxfId="3567" priority="1092" operator="equal">
      <formula>"ק"</formula>
    </cfRule>
    <cfRule type="cellIs" dxfId="3566" priority="1093" operator="equal">
      <formula>"מ"</formula>
    </cfRule>
    <cfRule type="cellIs" dxfId="3565" priority="1094" operator="equal">
      <formula>"מנוחה"</formula>
    </cfRule>
    <cfRule type="cellIs" dxfId="3564" priority="1096" operator="equal">
      <formula>"ח"</formula>
    </cfRule>
    <cfRule type="cellIs" dxfId="3563" priority="1098" operator="equal">
      <formula>"כ"</formula>
    </cfRule>
    <cfRule type="cellIs" dxfId="3562" priority="1089" operator="equal">
      <formula>"י"</formula>
    </cfRule>
    <cfRule type="cellIs" dxfId="3561" priority="1088" operator="equal">
      <formula>"ל"</formula>
    </cfRule>
    <cfRule type="cellIs" dxfId="3560" priority="1095" operator="equal">
      <formula>"מיל"</formula>
    </cfRule>
    <cfRule type="cellIs" dxfId="3559" priority="1090" operator="equal">
      <formula>"כמש"</formula>
    </cfRule>
  </conditionalFormatting>
  <conditionalFormatting sqref="BD5:BD35">
    <cfRule type="cellIs" dxfId="3558" priority="1340" operator="equal">
      <formula>"ח"</formula>
    </cfRule>
  </conditionalFormatting>
  <conditionalFormatting sqref="BD6">
    <cfRule type="cellIs" dxfId="3557" priority="332" operator="equal">
      <formula>"ח"</formula>
    </cfRule>
    <cfRule type="cellIs" dxfId="3556" priority="331" operator="equal">
      <formula>"כ"</formula>
    </cfRule>
    <cfRule type="cellIs" dxfId="3555" priority="330" operator="equal">
      <formula>"כש"</formula>
    </cfRule>
  </conditionalFormatting>
  <conditionalFormatting sqref="BD6:BD7">
    <cfRule type="cellIs" dxfId="3554" priority="353" operator="equal">
      <formula>"ח"</formula>
    </cfRule>
  </conditionalFormatting>
  <conditionalFormatting sqref="BD7">
    <cfRule type="cellIs" dxfId="3553" priority="343" operator="equal">
      <formula>"כש"</formula>
    </cfRule>
    <cfRule type="cellIs" dxfId="3552" priority="344" operator="equal">
      <formula>"כ"</formula>
    </cfRule>
    <cfRule type="cellIs" dxfId="3551" priority="342" stopIfTrue="1" operator="equal">
      <formula>"ח"</formula>
    </cfRule>
  </conditionalFormatting>
  <conditionalFormatting sqref="BD10">
    <cfRule type="cellIs" dxfId="3550" priority="300" operator="equal">
      <formula>"ח"</formula>
    </cfRule>
    <cfRule type="cellIs" dxfId="3549" priority="299" operator="equal">
      <formula>"כ"</formula>
    </cfRule>
    <cfRule type="cellIs" dxfId="3548" priority="298" operator="equal">
      <formula>"כש"</formula>
    </cfRule>
  </conditionalFormatting>
  <conditionalFormatting sqref="BD10:BD11">
    <cfRule type="cellIs" dxfId="3547" priority="321" operator="equal">
      <formula>"ח"</formula>
    </cfRule>
  </conditionalFormatting>
  <conditionalFormatting sqref="BD11">
    <cfRule type="cellIs" dxfId="3546" priority="310" stopIfTrue="1" operator="equal">
      <formula>"ח"</formula>
    </cfRule>
    <cfRule type="cellIs" dxfId="3545" priority="311" operator="equal">
      <formula>"כש"</formula>
    </cfRule>
    <cfRule type="cellIs" dxfId="3544" priority="312" operator="equal">
      <formula>"כ"</formula>
    </cfRule>
  </conditionalFormatting>
  <conditionalFormatting sqref="BD14">
    <cfRule type="cellIs" dxfId="3543" priority="266" operator="equal">
      <formula>"כש"</formula>
    </cfRule>
    <cfRule type="cellIs" dxfId="3542" priority="267" operator="equal">
      <formula>"כ"</formula>
    </cfRule>
    <cfRule type="cellIs" dxfId="3541" priority="268" operator="equal">
      <formula>"ח"</formula>
    </cfRule>
  </conditionalFormatting>
  <conditionalFormatting sqref="BD14:BD15">
    <cfRule type="cellIs" dxfId="3540" priority="289" operator="equal">
      <formula>"ח"</formula>
    </cfRule>
  </conditionalFormatting>
  <conditionalFormatting sqref="BD15">
    <cfRule type="cellIs" dxfId="3539" priority="278" stopIfTrue="1" operator="equal">
      <formula>"ח"</formula>
    </cfRule>
    <cfRule type="cellIs" dxfId="3538" priority="279" operator="equal">
      <formula>"כש"</formula>
    </cfRule>
    <cfRule type="cellIs" dxfId="3537" priority="280" operator="equal">
      <formula>"כ"</formula>
    </cfRule>
  </conditionalFormatting>
  <conditionalFormatting sqref="BD18">
    <cfRule type="cellIs" dxfId="3536" priority="234" operator="equal">
      <formula>"כש"</formula>
    </cfRule>
    <cfRule type="cellIs" dxfId="3535" priority="235" operator="equal">
      <formula>"כ"</formula>
    </cfRule>
    <cfRule type="cellIs" dxfId="3534" priority="236" operator="equal">
      <formula>"ח"</formula>
    </cfRule>
  </conditionalFormatting>
  <conditionalFormatting sqref="BD18:BD19">
    <cfRule type="cellIs" dxfId="3533" priority="257" operator="equal">
      <formula>"ח"</formula>
    </cfRule>
  </conditionalFormatting>
  <conditionalFormatting sqref="BD19">
    <cfRule type="cellIs" dxfId="3532" priority="248" operator="equal">
      <formula>"כ"</formula>
    </cfRule>
    <cfRule type="cellIs" dxfId="3531" priority="246" stopIfTrue="1" operator="equal">
      <formula>"ח"</formula>
    </cfRule>
    <cfRule type="cellIs" dxfId="3530" priority="247" operator="equal">
      <formula>"כש"</formula>
    </cfRule>
  </conditionalFormatting>
  <conditionalFormatting sqref="BD22">
    <cfRule type="cellIs" dxfId="3529" priority="204" operator="equal">
      <formula>"ח"</formula>
    </cfRule>
    <cfRule type="cellIs" dxfId="3528" priority="203" operator="equal">
      <formula>"כ"</formula>
    </cfRule>
    <cfRule type="cellIs" dxfId="3527" priority="202" operator="equal">
      <formula>"כש"</formula>
    </cfRule>
  </conditionalFormatting>
  <conditionalFormatting sqref="BD22:BD23">
    <cfRule type="cellIs" dxfId="3526" priority="225" operator="equal">
      <formula>"ח"</formula>
    </cfRule>
  </conditionalFormatting>
  <conditionalFormatting sqref="BD23">
    <cfRule type="cellIs" dxfId="3525" priority="216" operator="equal">
      <formula>"כ"</formula>
    </cfRule>
    <cfRule type="cellIs" dxfId="3524" priority="214" stopIfTrue="1" operator="equal">
      <formula>"ח"</formula>
    </cfRule>
    <cfRule type="cellIs" dxfId="3523" priority="215" operator="equal">
      <formula>"כש"</formula>
    </cfRule>
  </conditionalFormatting>
  <conditionalFormatting sqref="BD26">
    <cfRule type="cellIs" dxfId="3522" priority="171" operator="equal">
      <formula>"כ"</formula>
    </cfRule>
    <cfRule type="cellIs" dxfId="3521" priority="170" operator="equal">
      <formula>"כש"</formula>
    </cfRule>
    <cfRule type="cellIs" dxfId="3520" priority="172" operator="equal">
      <formula>"ח"</formula>
    </cfRule>
  </conditionalFormatting>
  <conditionalFormatting sqref="BD26:BD27">
    <cfRule type="cellIs" dxfId="3519" priority="193" operator="equal">
      <formula>"ח"</formula>
    </cfRule>
  </conditionalFormatting>
  <conditionalFormatting sqref="BD27">
    <cfRule type="cellIs" dxfId="3518" priority="184" operator="equal">
      <formula>"כ"</formula>
    </cfRule>
    <cfRule type="cellIs" dxfId="3517" priority="182" stopIfTrue="1" operator="equal">
      <formula>"ח"</formula>
    </cfRule>
    <cfRule type="cellIs" dxfId="3516" priority="183" operator="equal">
      <formula>"כש"</formula>
    </cfRule>
  </conditionalFormatting>
  <conditionalFormatting sqref="BD30">
    <cfRule type="cellIs" dxfId="3515" priority="140" operator="equal">
      <formula>"ח"</formula>
    </cfRule>
    <cfRule type="cellIs" dxfId="3514" priority="139" operator="equal">
      <formula>"כ"</formula>
    </cfRule>
    <cfRule type="cellIs" dxfId="3513" priority="138" operator="equal">
      <formula>"כש"</formula>
    </cfRule>
  </conditionalFormatting>
  <conditionalFormatting sqref="BD30:BD31">
    <cfRule type="cellIs" dxfId="3512" priority="161" operator="equal">
      <formula>"ח"</formula>
    </cfRule>
  </conditionalFormatting>
  <conditionalFormatting sqref="BD31">
    <cfRule type="cellIs" dxfId="3511" priority="150" stopIfTrue="1" operator="equal">
      <formula>"ח"</formula>
    </cfRule>
    <cfRule type="cellIs" dxfId="3510" priority="151" operator="equal">
      <formula>"כש"</formula>
    </cfRule>
    <cfRule type="cellIs" dxfId="3509" priority="152" operator="equal">
      <formula>"כ"</formula>
    </cfRule>
  </conditionalFormatting>
  <conditionalFormatting sqref="BD34">
    <cfRule type="cellIs" dxfId="3508" priority="108" operator="equal">
      <formula>"ח"</formula>
    </cfRule>
    <cfRule type="cellIs" dxfId="3507" priority="107" operator="equal">
      <formula>"כ"</formula>
    </cfRule>
    <cfRule type="cellIs" dxfId="3506" priority="106" operator="equal">
      <formula>"כש"</formula>
    </cfRule>
  </conditionalFormatting>
  <conditionalFormatting sqref="BD34:BD35">
    <cfRule type="cellIs" dxfId="3505" priority="129" operator="equal">
      <formula>"ח"</formula>
    </cfRule>
  </conditionalFormatting>
  <conditionalFormatting sqref="BD35">
    <cfRule type="cellIs" dxfId="3504" priority="119" operator="equal">
      <formula>"כש"</formula>
    </cfRule>
    <cfRule type="cellIs" dxfId="3503" priority="118" stopIfTrue="1" operator="equal">
      <formula>"ח"</formula>
    </cfRule>
    <cfRule type="cellIs" dxfId="3502" priority="120" operator="equal">
      <formula>"כ"</formula>
    </cfRule>
  </conditionalFormatting>
  <conditionalFormatting sqref="BF5:BF16">
    <cfRule type="cellIs" dxfId="3501" priority="11" operator="equal">
      <formula>"ח"</formula>
    </cfRule>
  </conditionalFormatting>
  <conditionalFormatting sqref="BF17:BF35">
    <cfRule type="cellIs" dxfId="3500" priority="1384" operator="equal">
      <formula>"ח"</formula>
    </cfRule>
  </conditionalFormatting>
  <conditionalFormatting sqref="BF20">
    <cfRule type="cellIs" dxfId="3499" priority="469" operator="equal">
      <formula>"כ"</formula>
    </cfRule>
    <cfRule type="cellIs" dxfId="3498" priority="468" operator="equal">
      <formula>"כש"</formula>
    </cfRule>
    <cfRule type="cellIs" dxfId="3497" priority="467" stopIfTrue="1" operator="equal">
      <formula>"ח"</formula>
    </cfRule>
  </conditionalFormatting>
  <conditionalFormatting sqref="BF24">
    <cfRule type="cellIs" dxfId="3496" priority="437" operator="equal">
      <formula>"כ"</formula>
    </cfRule>
    <cfRule type="cellIs" dxfId="3495" priority="436" operator="equal">
      <formula>"כש"</formula>
    </cfRule>
    <cfRule type="cellIs" dxfId="3494" priority="435" stopIfTrue="1" operator="equal">
      <formula>"ח"</formula>
    </cfRule>
  </conditionalFormatting>
  <conditionalFormatting sqref="BF28">
    <cfRule type="cellIs" dxfId="3493" priority="403" stopIfTrue="1" operator="equal">
      <formula>"ח"</formula>
    </cfRule>
    <cfRule type="cellIs" dxfId="3492" priority="404" operator="equal">
      <formula>"כש"</formula>
    </cfRule>
    <cfRule type="cellIs" dxfId="3491" priority="405" operator="equal">
      <formula>"כ"</formula>
    </cfRule>
  </conditionalFormatting>
  <conditionalFormatting sqref="BF32">
    <cfRule type="cellIs" dxfId="3490" priority="373" operator="equal">
      <formula>"כ"</formula>
    </cfRule>
    <cfRule type="cellIs" dxfId="3489" priority="372" operator="equal">
      <formula>"כש"</formula>
    </cfRule>
    <cfRule type="cellIs" dxfId="3488" priority="371" stopIfTrue="1" operator="equal">
      <formula>"ח"</formula>
    </cfRule>
  </conditionalFormatting>
  <conditionalFormatting sqref="BF35">
    <cfRule type="cellIs" dxfId="3487" priority="101" operator="equal">
      <formula>"ח"</formula>
    </cfRule>
  </conditionalFormatting>
  <conditionalFormatting sqref="BF7:BH7">
    <cfRule type="cellIs" dxfId="3486" priority="562" operator="equal">
      <formula>"ח"</formula>
    </cfRule>
  </conditionalFormatting>
  <conditionalFormatting sqref="BF11:BH11">
    <cfRule type="cellIs" dxfId="3485" priority="530" operator="equal">
      <formula>"ח"</formula>
    </cfRule>
  </conditionalFormatting>
  <conditionalFormatting sqref="BF15:BH15">
    <cfRule type="cellIs" dxfId="3484" priority="498" operator="equal">
      <formula>"ח"</formula>
    </cfRule>
  </conditionalFormatting>
  <conditionalFormatting sqref="BF7:BL7">
    <cfRule type="cellIs" dxfId="3483" priority="551" operator="equal">
      <formula>"כ"</formula>
    </cfRule>
    <cfRule type="cellIs" dxfId="3482" priority="550" operator="equal">
      <formula>"כש"</formula>
    </cfRule>
  </conditionalFormatting>
  <conditionalFormatting sqref="BF11:BL11">
    <cfRule type="cellIs" dxfId="3481" priority="518" operator="equal">
      <formula>"כש"</formula>
    </cfRule>
    <cfRule type="cellIs" dxfId="3480" priority="519" operator="equal">
      <formula>"כ"</formula>
    </cfRule>
  </conditionalFormatting>
  <conditionalFormatting sqref="BF19:BL20">
    <cfRule type="cellIs" dxfId="3479" priority="480" operator="equal">
      <formula>"כ"</formula>
    </cfRule>
    <cfRule type="cellIs" dxfId="3478" priority="479" operator="equal">
      <formula>"כש"</formula>
    </cfRule>
  </conditionalFormatting>
  <conditionalFormatting sqref="BF23:BL24">
    <cfRule type="cellIs" dxfId="3477" priority="448" operator="equal">
      <formula>"כ"</formula>
    </cfRule>
    <cfRule type="cellIs" dxfId="3476" priority="447" operator="equal">
      <formula>"כש"</formula>
    </cfRule>
  </conditionalFormatting>
  <conditionalFormatting sqref="BF27:BL28">
    <cfRule type="cellIs" dxfId="3475" priority="415" operator="equal">
      <formula>"כש"</formula>
    </cfRule>
    <cfRule type="cellIs" dxfId="3474" priority="416" operator="equal">
      <formula>"כ"</formula>
    </cfRule>
  </conditionalFormatting>
  <conditionalFormatting sqref="BF31:BL32">
    <cfRule type="cellIs" dxfId="3473" priority="383" operator="equal">
      <formula>"כש"</formula>
    </cfRule>
    <cfRule type="cellIs" dxfId="3472" priority="384" operator="equal">
      <formula>"כ"</formula>
    </cfRule>
  </conditionalFormatting>
  <conditionalFormatting sqref="BF35:BL35">
    <cfRule type="cellIs" dxfId="3471" priority="78" operator="equal">
      <formula>"כש"</formula>
    </cfRule>
    <cfRule type="cellIs" dxfId="3470" priority="79" operator="equal">
      <formula>"כ"</formula>
    </cfRule>
  </conditionalFormatting>
  <conditionalFormatting sqref="BF15:BO15">
    <cfRule type="cellIs" dxfId="3469" priority="54" operator="equal">
      <formula>"כ"</formula>
    </cfRule>
    <cfRule type="cellIs" dxfId="3468" priority="53" operator="equal">
      <formula>"כש"</formula>
    </cfRule>
  </conditionalFormatting>
  <conditionalFormatting sqref="BG8:BL8">
    <cfRule type="cellIs" dxfId="3467" priority="574" operator="equal">
      <formula>"כ"</formula>
    </cfRule>
    <cfRule type="cellIs" dxfId="3466" priority="573" operator="equal">
      <formula>"כש"</formula>
    </cfRule>
  </conditionalFormatting>
  <conditionalFormatting sqref="BG12:BL12">
    <cfRule type="cellIs" dxfId="3465" priority="542" operator="equal">
      <formula>"כ"</formula>
    </cfRule>
    <cfRule type="cellIs" dxfId="3464" priority="541" operator="equal">
      <formula>"כש"</formula>
    </cfRule>
  </conditionalFormatting>
  <conditionalFormatting sqref="BG16:BL16">
    <cfRule type="cellIs" dxfId="3463" priority="510" operator="equal">
      <formula>"כ"</formula>
    </cfRule>
    <cfRule type="cellIs" dxfId="3462" priority="509" operator="equal">
      <formula>"כש"</formula>
    </cfRule>
  </conditionalFormatting>
  <conditionalFormatting sqref="BH5:BH35">
    <cfRule type="cellIs" dxfId="3461" priority="1329" operator="equal">
      <formula>"ח"</formula>
    </cfRule>
  </conditionalFormatting>
  <conditionalFormatting sqref="BH7:BH8">
    <cfRule type="cellIs" dxfId="3460" priority="579" operator="equal">
      <formula>"ח"</formula>
    </cfRule>
  </conditionalFormatting>
  <conditionalFormatting sqref="BH8">
    <cfRule type="cellIs" dxfId="3459" priority="572" stopIfTrue="1" operator="equal">
      <formula>"ח"</formula>
    </cfRule>
  </conditionalFormatting>
  <conditionalFormatting sqref="BH11:BH12">
    <cfRule type="cellIs" dxfId="3458" priority="547" operator="equal">
      <formula>"ח"</formula>
    </cfRule>
  </conditionalFormatting>
  <conditionalFormatting sqref="BH12">
    <cfRule type="cellIs" dxfId="3457" priority="540" stopIfTrue="1" operator="equal">
      <formula>"ח"</formula>
    </cfRule>
  </conditionalFormatting>
  <conditionalFormatting sqref="BH15:BH16">
    <cfRule type="cellIs" dxfId="3456" priority="515" operator="equal">
      <formula>"ח"</formula>
    </cfRule>
  </conditionalFormatting>
  <conditionalFormatting sqref="BH16">
    <cfRule type="cellIs" dxfId="3455" priority="508" stopIfTrue="1" operator="equal">
      <formula>"ח"</formula>
    </cfRule>
  </conditionalFormatting>
  <conditionalFormatting sqref="BH19">
    <cfRule type="cellIs" dxfId="3454" priority="466" operator="equal">
      <formula>"ח"</formula>
    </cfRule>
    <cfRule type="cellIs" dxfId="3453" priority="465" operator="equal">
      <formula>"כ"</formula>
    </cfRule>
    <cfRule type="cellIs" dxfId="3452" priority="464" operator="equal">
      <formula>"כש"</formula>
    </cfRule>
  </conditionalFormatting>
  <conditionalFormatting sqref="BH19:BH20">
    <cfRule type="cellIs" dxfId="3451" priority="483" operator="equal">
      <formula>"ח"</formula>
    </cfRule>
  </conditionalFormatting>
  <conditionalFormatting sqref="BH20">
    <cfRule type="cellIs" dxfId="3450" priority="478" operator="equal">
      <formula>"כ"</formula>
    </cfRule>
    <cfRule type="cellIs" dxfId="3449" priority="477" operator="equal">
      <formula>"כש"</formula>
    </cfRule>
    <cfRule type="cellIs" dxfId="3448" priority="476" stopIfTrue="1" operator="equal">
      <formula>"ח"</formula>
    </cfRule>
  </conditionalFormatting>
  <conditionalFormatting sqref="BH23">
    <cfRule type="cellIs" dxfId="3447" priority="432" operator="equal">
      <formula>"כש"</formula>
    </cfRule>
    <cfRule type="cellIs" dxfId="3446" priority="433" operator="equal">
      <formula>"כ"</formula>
    </cfRule>
    <cfRule type="cellIs" dxfId="3445" priority="434" operator="equal">
      <formula>"ח"</formula>
    </cfRule>
  </conditionalFormatting>
  <conditionalFormatting sqref="BH23:BH24">
    <cfRule type="cellIs" dxfId="3444" priority="451" operator="equal">
      <formula>"ח"</formula>
    </cfRule>
  </conditionalFormatting>
  <conditionalFormatting sqref="BH24">
    <cfRule type="cellIs" dxfId="3443" priority="445" operator="equal">
      <formula>"כש"</formula>
    </cfRule>
    <cfRule type="cellIs" dxfId="3442" priority="446" operator="equal">
      <formula>"כ"</formula>
    </cfRule>
    <cfRule type="cellIs" dxfId="3441" priority="444" stopIfTrue="1" operator="equal">
      <formula>"ח"</formula>
    </cfRule>
  </conditionalFormatting>
  <conditionalFormatting sqref="BH27">
    <cfRule type="cellIs" dxfId="3440" priority="401" operator="equal">
      <formula>"כ"</formula>
    </cfRule>
    <cfRule type="cellIs" dxfId="3439" priority="400" operator="equal">
      <formula>"כש"</formula>
    </cfRule>
    <cfRule type="cellIs" dxfId="3438" priority="402" operator="equal">
      <formula>"ח"</formula>
    </cfRule>
  </conditionalFormatting>
  <conditionalFormatting sqref="BH27:BH28">
    <cfRule type="cellIs" dxfId="3437" priority="419" operator="equal">
      <formula>"ח"</formula>
    </cfRule>
  </conditionalFormatting>
  <conditionalFormatting sqref="BH28">
    <cfRule type="cellIs" dxfId="3436" priority="412" stopIfTrue="1" operator="equal">
      <formula>"ח"</formula>
    </cfRule>
    <cfRule type="cellIs" dxfId="3435" priority="413" operator="equal">
      <formula>"כש"</formula>
    </cfRule>
    <cfRule type="cellIs" dxfId="3434" priority="414" operator="equal">
      <formula>"כ"</formula>
    </cfRule>
  </conditionalFormatting>
  <conditionalFormatting sqref="BH31">
    <cfRule type="cellIs" dxfId="3433" priority="370" operator="equal">
      <formula>"ח"</formula>
    </cfRule>
    <cfRule type="cellIs" dxfId="3432" priority="369" operator="equal">
      <formula>"כ"</formula>
    </cfRule>
    <cfRule type="cellIs" dxfId="3431" priority="368" operator="equal">
      <formula>"כש"</formula>
    </cfRule>
  </conditionalFormatting>
  <conditionalFormatting sqref="BH31:BH32">
    <cfRule type="cellIs" dxfId="3430" priority="387" operator="equal">
      <formula>"ח"</formula>
    </cfRule>
  </conditionalFormatting>
  <conditionalFormatting sqref="BH32">
    <cfRule type="cellIs" dxfId="3429" priority="382" operator="equal">
      <formula>"כ"</formula>
    </cfRule>
    <cfRule type="cellIs" dxfId="3428" priority="381" operator="equal">
      <formula>"כש"</formula>
    </cfRule>
    <cfRule type="cellIs" dxfId="3427" priority="380" stopIfTrue="1" operator="equal">
      <formula>"ח"</formula>
    </cfRule>
  </conditionalFormatting>
  <conditionalFormatting sqref="BH35">
    <cfRule type="cellIs" dxfId="3426" priority="100" operator="equal">
      <formula>"ח"</formula>
    </cfRule>
    <cfRule type="cellIs" dxfId="3425" priority="90" operator="equal">
      <formula>"ח"</formula>
    </cfRule>
    <cfRule type="cellIs" dxfId="3424" priority="95" operator="equal">
      <formula>"ח"</formula>
    </cfRule>
  </conditionalFormatting>
  <conditionalFormatting sqref="BJ5:BJ35">
    <cfRule type="cellIs" dxfId="3423" priority="1318" operator="equal">
      <formula>"ח"</formula>
    </cfRule>
  </conditionalFormatting>
  <conditionalFormatting sqref="BJ7">
    <cfRule type="cellIs" dxfId="3422" priority="559" operator="equal">
      <formula>"ח"</formula>
    </cfRule>
    <cfRule type="cellIs" dxfId="3421" priority="553" operator="equal">
      <formula>"ח"</formula>
    </cfRule>
    <cfRule type="cellIs" dxfId="3420" priority="552" operator="equal">
      <formula>"ח"</formula>
    </cfRule>
  </conditionalFormatting>
  <conditionalFormatting sqref="BJ7:BJ8">
    <cfRule type="cellIs" dxfId="3419" priority="578" operator="equal">
      <formula>"ח"</formula>
    </cfRule>
  </conditionalFormatting>
  <conditionalFormatting sqref="BJ8">
    <cfRule type="cellIs" dxfId="3418" priority="570" operator="equal">
      <formula>"כש"</formula>
    </cfRule>
    <cfRule type="cellIs" dxfId="3417" priority="571" operator="equal">
      <formula>"כ"</formula>
    </cfRule>
    <cfRule type="cellIs" dxfId="3416" priority="569" stopIfTrue="1" operator="equal">
      <formula>"ח"</formula>
    </cfRule>
  </conditionalFormatting>
  <conditionalFormatting sqref="BJ11">
    <cfRule type="cellIs" dxfId="3415" priority="527" operator="equal">
      <formula>"ח"</formula>
    </cfRule>
    <cfRule type="cellIs" dxfId="3414" priority="521" operator="equal">
      <formula>"ח"</formula>
    </cfRule>
    <cfRule type="cellIs" dxfId="3413" priority="520" operator="equal">
      <formula>"ח"</formula>
    </cfRule>
  </conditionalFormatting>
  <conditionalFormatting sqref="BJ11:BJ12">
    <cfRule type="cellIs" dxfId="3412" priority="546" operator="equal">
      <formula>"ח"</formula>
    </cfRule>
  </conditionalFormatting>
  <conditionalFormatting sqref="BJ12">
    <cfRule type="cellIs" dxfId="3411" priority="539" operator="equal">
      <formula>"כ"</formula>
    </cfRule>
    <cfRule type="cellIs" dxfId="3410" priority="538" operator="equal">
      <formula>"כש"</formula>
    </cfRule>
    <cfRule type="cellIs" dxfId="3409" priority="537" stopIfTrue="1" operator="equal">
      <formula>"ח"</formula>
    </cfRule>
  </conditionalFormatting>
  <conditionalFormatting sqref="BJ15">
    <cfRule type="cellIs" dxfId="3408" priority="488" operator="equal">
      <formula>"ח"</formula>
    </cfRule>
    <cfRule type="cellIs" dxfId="3407" priority="489" operator="equal">
      <formula>"ח"</formula>
    </cfRule>
    <cfRule type="cellIs" dxfId="3406" priority="495" operator="equal">
      <formula>"ח"</formula>
    </cfRule>
  </conditionalFormatting>
  <conditionalFormatting sqref="BJ15:BJ16">
    <cfRule type="cellIs" dxfId="3405" priority="514" operator="equal">
      <formula>"ח"</formula>
    </cfRule>
  </conditionalFormatting>
  <conditionalFormatting sqref="BJ16">
    <cfRule type="cellIs" dxfId="3404" priority="507" operator="equal">
      <formula>"כ"</formula>
    </cfRule>
    <cfRule type="cellIs" dxfId="3403" priority="505" stopIfTrue="1" operator="equal">
      <formula>"ח"</formula>
    </cfRule>
    <cfRule type="cellIs" dxfId="3402" priority="506" operator="equal">
      <formula>"כש"</formula>
    </cfRule>
  </conditionalFormatting>
  <conditionalFormatting sqref="BJ19">
    <cfRule type="cellIs" dxfId="3401" priority="457" operator="equal">
      <formula>"ח"</formula>
    </cfRule>
    <cfRule type="cellIs" dxfId="3400" priority="455" operator="equal">
      <formula>"כ"</formula>
    </cfRule>
    <cfRule type="cellIs" dxfId="3399" priority="454" operator="equal">
      <formula>"כש"</formula>
    </cfRule>
    <cfRule type="cellIs" dxfId="3398" priority="463" operator="equal">
      <formula>"ח"</formula>
    </cfRule>
    <cfRule type="cellIs" dxfId="3397" priority="456" operator="equal">
      <formula>"ח"</formula>
    </cfRule>
  </conditionalFormatting>
  <conditionalFormatting sqref="BJ19:BJ20">
    <cfRule type="cellIs" dxfId="3396" priority="482" operator="equal">
      <formula>"ח"</formula>
    </cfRule>
  </conditionalFormatting>
  <conditionalFormatting sqref="BJ20">
    <cfRule type="cellIs" dxfId="3395" priority="474" operator="equal">
      <formula>"כש"</formula>
    </cfRule>
    <cfRule type="cellIs" dxfId="3394" priority="475" operator="equal">
      <formula>"כ"</formula>
    </cfRule>
    <cfRule type="cellIs" dxfId="3393" priority="473" stopIfTrue="1" operator="equal">
      <formula>"ח"</formula>
    </cfRule>
  </conditionalFormatting>
  <conditionalFormatting sqref="BJ23">
    <cfRule type="cellIs" dxfId="3392" priority="422" operator="equal">
      <formula>"כש"</formula>
    </cfRule>
    <cfRule type="cellIs" dxfId="3391" priority="431" operator="equal">
      <formula>"ח"</formula>
    </cfRule>
    <cfRule type="cellIs" dxfId="3390" priority="425" operator="equal">
      <formula>"ח"</formula>
    </cfRule>
    <cfRule type="cellIs" dxfId="3389" priority="424" operator="equal">
      <formula>"ח"</formula>
    </cfRule>
    <cfRule type="cellIs" dxfId="3388" priority="423" operator="equal">
      <formula>"כ"</formula>
    </cfRule>
  </conditionalFormatting>
  <conditionalFormatting sqref="BJ23:BJ24">
    <cfRule type="cellIs" dxfId="3387" priority="450" operator="equal">
      <formula>"ח"</formula>
    </cfRule>
  </conditionalFormatting>
  <conditionalFormatting sqref="BJ24">
    <cfRule type="cellIs" dxfId="3386" priority="441" stopIfTrue="1" operator="equal">
      <formula>"ח"</formula>
    </cfRule>
    <cfRule type="cellIs" dxfId="3385" priority="443" operator="equal">
      <formula>"כ"</formula>
    </cfRule>
    <cfRule type="cellIs" dxfId="3384" priority="442" operator="equal">
      <formula>"כש"</formula>
    </cfRule>
  </conditionalFormatting>
  <conditionalFormatting sqref="BJ27">
    <cfRule type="cellIs" dxfId="3383" priority="399" operator="equal">
      <formula>"ח"</formula>
    </cfRule>
    <cfRule type="cellIs" dxfId="3382" priority="393" operator="equal">
      <formula>"ח"</formula>
    </cfRule>
    <cfRule type="cellIs" dxfId="3381" priority="390" operator="equal">
      <formula>"כש"</formula>
    </cfRule>
    <cfRule type="cellIs" dxfId="3380" priority="392" operator="equal">
      <formula>"ח"</formula>
    </cfRule>
    <cfRule type="cellIs" dxfId="3379" priority="391" operator="equal">
      <formula>"כ"</formula>
    </cfRule>
  </conditionalFormatting>
  <conditionalFormatting sqref="BJ27:BJ28">
    <cfRule type="cellIs" dxfId="3378" priority="418" operator="equal">
      <formula>"ח"</formula>
    </cfRule>
  </conditionalFormatting>
  <conditionalFormatting sqref="BJ28">
    <cfRule type="cellIs" dxfId="3377" priority="410" operator="equal">
      <formula>"כש"</formula>
    </cfRule>
    <cfRule type="cellIs" dxfId="3376" priority="409" stopIfTrue="1" operator="equal">
      <formula>"ח"</formula>
    </cfRule>
    <cfRule type="cellIs" dxfId="3375" priority="411" operator="equal">
      <formula>"כ"</formula>
    </cfRule>
  </conditionalFormatting>
  <conditionalFormatting sqref="BJ31">
    <cfRule type="cellIs" dxfId="3374" priority="358" operator="equal">
      <formula>"כש"</formula>
    </cfRule>
    <cfRule type="cellIs" dxfId="3373" priority="359" operator="equal">
      <formula>"כ"</formula>
    </cfRule>
    <cfRule type="cellIs" dxfId="3372" priority="360" operator="equal">
      <formula>"ח"</formula>
    </cfRule>
    <cfRule type="cellIs" dxfId="3371" priority="361" operator="equal">
      <formula>"ח"</formula>
    </cfRule>
    <cfRule type="cellIs" dxfId="3370" priority="367" operator="equal">
      <formula>"ח"</formula>
    </cfRule>
  </conditionalFormatting>
  <conditionalFormatting sqref="BJ31:BJ32">
    <cfRule type="cellIs" dxfId="3369" priority="386" operator="equal">
      <formula>"ח"</formula>
    </cfRule>
  </conditionalFormatting>
  <conditionalFormatting sqref="BJ32">
    <cfRule type="cellIs" dxfId="3368" priority="377" stopIfTrue="1" operator="equal">
      <formula>"ח"</formula>
    </cfRule>
    <cfRule type="cellIs" dxfId="3367" priority="378" operator="equal">
      <formula>"כש"</formula>
    </cfRule>
    <cfRule type="cellIs" dxfId="3366" priority="379" operator="equal">
      <formula>"כ"</formula>
    </cfRule>
  </conditionalFormatting>
  <conditionalFormatting sqref="BJ35">
    <cfRule type="cellIs" dxfId="3365" priority="99" operator="equal">
      <formula>"ח"</formula>
    </cfRule>
    <cfRule type="cellIs" dxfId="3364" priority="94" operator="equal">
      <formula>"ח"</formula>
    </cfRule>
    <cfRule type="cellIs" dxfId="3363" priority="87" operator="equal">
      <formula>"ח"</formula>
    </cfRule>
    <cfRule type="cellIs" dxfId="3362" priority="81" operator="equal">
      <formula>"ח"</formula>
    </cfRule>
    <cfRule type="cellIs" dxfId="3361" priority="80" operator="equal">
      <formula>"ח"</formula>
    </cfRule>
  </conditionalFormatting>
  <conditionalFormatting sqref="BL5:BL35">
    <cfRule type="cellIs" dxfId="3360" priority="1307" operator="equal">
      <formula>"ח"</formula>
    </cfRule>
  </conditionalFormatting>
  <conditionalFormatting sqref="BL7">
    <cfRule type="cellIs" dxfId="3359" priority="556" operator="equal">
      <formula>"ח"</formula>
    </cfRule>
  </conditionalFormatting>
  <conditionalFormatting sqref="BL7:BL8">
    <cfRule type="cellIs" dxfId="3358" priority="577" operator="equal">
      <formula>"ח"</formula>
    </cfRule>
  </conditionalFormatting>
  <conditionalFormatting sqref="BL8">
    <cfRule type="cellIs" dxfId="3357" priority="566" stopIfTrue="1" operator="equal">
      <formula>"ח"</formula>
    </cfRule>
    <cfRule type="cellIs" dxfId="3356" priority="568" operator="equal">
      <formula>"כ"</formula>
    </cfRule>
    <cfRule type="cellIs" dxfId="3355" priority="567" operator="equal">
      <formula>"כש"</formula>
    </cfRule>
  </conditionalFormatting>
  <conditionalFormatting sqref="BL11">
    <cfRule type="cellIs" dxfId="3354" priority="524" operator="equal">
      <formula>"ח"</formula>
    </cfRule>
  </conditionalFormatting>
  <conditionalFormatting sqref="BL11:BL12">
    <cfRule type="cellIs" dxfId="3353" priority="545" operator="equal">
      <formula>"ח"</formula>
    </cfRule>
  </conditionalFormatting>
  <conditionalFormatting sqref="BL12">
    <cfRule type="cellIs" dxfId="3352" priority="536" operator="equal">
      <formula>"כ"</formula>
    </cfRule>
    <cfRule type="cellIs" dxfId="3351" priority="534" stopIfTrue="1" operator="equal">
      <formula>"ח"</formula>
    </cfRule>
    <cfRule type="cellIs" dxfId="3350" priority="535" operator="equal">
      <formula>"כש"</formula>
    </cfRule>
  </conditionalFormatting>
  <conditionalFormatting sqref="BL15:BL16">
    <cfRule type="cellIs" dxfId="3349" priority="513" operator="equal">
      <formula>"ח"</formula>
    </cfRule>
  </conditionalFormatting>
  <conditionalFormatting sqref="BL16">
    <cfRule type="cellIs" dxfId="3348" priority="502" stopIfTrue="1" operator="equal">
      <formula>"ח"</formula>
    </cfRule>
    <cfRule type="cellIs" dxfId="3347" priority="503" operator="equal">
      <formula>"כש"</formula>
    </cfRule>
    <cfRule type="cellIs" dxfId="3346" priority="504" operator="equal">
      <formula>"כ"</formula>
    </cfRule>
  </conditionalFormatting>
  <conditionalFormatting sqref="BL19">
    <cfRule type="cellIs" dxfId="3345" priority="460" operator="equal">
      <formula>"ח"</formula>
    </cfRule>
    <cfRule type="cellIs" dxfId="3344" priority="459" operator="equal">
      <formula>"כ"</formula>
    </cfRule>
    <cfRule type="cellIs" dxfId="3343" priority="458" operator="equal">
      <formula>"כש"</formula>
    </cfRule>
  </conditionalFormatting>
  <conditionalFormatting sqref="BL19:BL20">
    <cfRule type="cellIs" dxfId="3342" priority="481" operator="equal">
      <formula>"ח"</formula>
    </cfRule>
  </conditionalFormatting>
  <conditionalFormatting sqref="BL20">
    <cfRule type="cellIs" dxfId="3341" priority="470" stopIfTrue="1" operator="equal">
      <formula>"ח"</formula>
    </cfRule>
    <cfRule type="cellIs" dxfId="3340" priority="472" operator="equal">
      <formula>"כ"</formula>
    </cfRule>
    <cfRule type="cellIs" dxfId="3339" priority="471" operator="equal">
      <formula>"כש"</formula>
    </cfRule>
  </conditionalFormatting>
  <conditionalFormatting sqref="BL23">
    <cfRule type="cellIs" dxfId="3338" priority="427" operator="equal">
      <formula>"כ"</formula>
    </cfRule>
    <cfRule type="cellIs" dxfId="3337" priority="428" operator="equal">
      <formula>"ח"</formula>
    </cfRule>
    <cfRule type="cellIs" dxfId="3336" priority="426" operator="equal">
      <formula>"כש"</formula>
    </cfRule>
  </conditionalFormatting>
  <conditionalFormatting sqref="BL23:BL24">
    <cfRule type="cellIs" dxfId="3335" priority="449" operator="equal">
      <formula>"ח"</formula>
    </cfRule>
  </conditionalFormatting>
  <conditionalFormatting sqref="BL24">
    <cfRule type="cellIs" dxfId="3334" priority="440" operator="equal">
      <formula>"כ"</formula>
    </cfRule>
    <cfRule type="cellIs" dxfId="3333" priority="439" operator="equal">
      <formula>"כש"</formula>
    </cfRule>
    <cfRule type="cellIs" dxfId="3332" priority="438" stopIfTrue="1" operator="equal">
      <formula>"ח"</formula>
    </cfRule>
  </conditionalFormatting>
  <conditionalFormatting sqref="BL27">
    <cfRule type="cellIs" dxfId="3331" priority="396" operator="equal">
      <formula>"ח"</formula>
    </cfRule>
    <cfRule type="cellIs" dxfId="3330" priority="395" operator="equal">
      <formula>"כ"</formula>
    </cfRule>
    <cfRule type="cellIs" dxfId="3329" priority="394" operator="equal">
      <formula>"כש"</formula>
    </cfRule>
  </conditionalFormatting>
  <conditionalFormatting sqref="BL27:BL28">
    <cfRule type="cellIs" dxfId="3328" priority="417" operator="equal">
      <formula>"ח"</formula>
    </cfRule>
  </conditionalFormatting>
  <conditionalFormatting sqref="BL28">
    <cfRule type="cellIs" dxfId="3327" priority="407" operator="equal">
      <formula>"כש"</formula>
    </cfRule>
    <cfRule type="cellIs" dxfId="3326" priority="406" stopIfTrue="1" operator="equal">
      <formula>"ח"</formula>
    </cfRule>
    <cfRule type="cellIs" dxfId="3325" priority="408" operator="equal">
      <formula>"כ"</formula>
    </cfRule>
  </conditionalFormatting>
  <conditionalFormatting sqref="BL31">
    <cfRule type="cellIs" dxfId="3324" priority="362" operator="equal">
      <formula>"כש"</formula>
    </cfRule>
    <cfRule type="cellIs" dxfId="3323" priority="363" operator="equal">
      <formula>"כ"</formula>
    </cfRule>
    <cfRule type="cellIs" dxfId="3322" priority="364" operator="equal">
      <formula>"ח"</formula>
    </cfRule>
  </conditionalFormatting>
  <conditionalFormatting sqref="BL31:BL32">
    <cfRule type="cellIs" dxfId="3321" priority="385" operator="equal">
      <formula>"ח"</formula>
    </cfRule>
  </conditionalFormatting>
  <conditionalFormatting sqref="BL32">
    <cfRule type="cellIs" dxfId="3320" priority="376" operator="equal">
      <formula>"כ"</formula>
    </cfRule>
    <cfRule type="cellIs" dxfId="3319" priority="375" operator="equal">
      <formula>"כש"</formula>
    </cfRule>
    <cfRule type="cellIs" dxfId="3318" priority="374" stopIfTrue="1" operator="equal">
      <formula>"ח"</formula>
    </cfRule>
  </conditionalFormatting>
  <conditionalFormatting sqref="BL35">
    <cfRule type="cellIs" dxfId="3317" priority="98" operator="equal">
      <formula>"ח"</formula>
    </cfRule>
    <cfRule type="cellIs" dxfId="3316" priority="84" operator="equal">
      <formula>"ח"</formula>
    </cfRule>
    <cfRule type="cellIs" dxfId="3315" priority="93" operator="equal">
      <formula>"ח"</formula>
    </cfRule>
  </conditionalFormatting>
  <conditionalFormatting sqref="BL15:BM15">
    <cfRule type="cellIs" dxfId="3314" priority="492" operator="equal">
      <formula>"ח"</formula>
    </cfRule>
  </conditionalFormatting>
  <conditionalFormatting sqref="BM5:BN5">
    <cfRule type="cellIs" dxfId="3313" priority="42" operator="equal">
      <formula>"כש"</formula>
    </cfRule>
    <cfRule type="cellIs" dxfId="3312" priority="43" operator="equal">
      <formula>"כ"</formula>
    </cfRule>
  </conditionalFormatting>
  <conditionalFormatting sqref="BM6:BO14">
    <cfRule type="cellIs" dxfId="3311" priority="65" operator="equal">
      <formula>"כ"</formula>
    </cfRule>
    <cfRule type="cellIs" dxfId="3310" priority="64" operator="equal">
      <formula>"כש"</formula>
    </cfRule>
  </conditionalFormatting>
  <conditionalFormatting sqref="BM16:BO35">
    <cfRule type="cellIs" dxfId="3309" priority="1374" operator="equal">
      <formula>"כש"</formula>
    </cfRule>
    <cfRule type="cellIs" dxfId="3308" priority="1375" operator="equal">
      <formula>"כ"</formula>
    </cfRule>
  </conditionalFormatting>
  <conditionalFormatting sqref="BN5">
    <cfRule type="cellIs" dxfId="3307" priority="44" operator="equal">
      <formula>"ח"</formula>
    </cfRule>
  </conditionalFormatting>
  <conditionalFormatting sqref="BN8:BN13">
    <cfRule type="cellIs" dxfId="3306" priority="63" operator="equal">
      <formula>"מיל"</formula>
    </cfRule>
    <cfRule type="cellIs" dxfId="3305" priority="62" operator="equal">
      <formula>"מנוחה"</formula>
    </cfRule>
    <cfRule type="cellIs" dxfId="3304" priority="61" operator="equal">
      <formula>"מ"</formula>
    </cfRule>
    <cfRule type="cellIs" dxfId="3303" priority="60" operator="equal">
      <formula>"ק"</formula>
    </cfRule>
    <cfRule type="cellIs" dxfId="3302" priority="59" operator="equal">
      <formula>"כמ"</formula>
    </cfRule>
    <cfRule type="cellIs" dxfId="3301" priority="58" operator="equal">
      <formula>"כמש"</formula>
    </cfRule>
    <cfRule type="cellIs" dxfId="3300" priority="57" operator="equal">
      <formula>"י"</formula>
    </cfRule>
    <cfRule type="cellIs" dxfId="3299" priority="56" operator="equal">
      <formula>"ל"</formula>
    </cfRule>
    <cfRule type="cellIs" dxfId="3298" priority="66" operator="equal">
      <formula>"ח"</formula>
    </cfRule>
  </conditionalFormatting>
  <conditionalFormatting sqref="BN15">
    <cfRule type="cellIs" dxfId="3297" priority="55" operator="equal">
      <formula>"ח"</formula>
    </cfRule>
  </conditionalFormatting>
  <conditionalFormatting sqref="BN17">
    <cfRule type="cellIs" dxfId="3296" priority="723" stopIfTrue="1" operator="equal">
      <formula>"ח"</formula>
    </cfRule>
    <cfRule type="cellIs" dxfId="3295" priority="724" operator="equal">
      <formula>"כש"</formula>
    </cfRule>
    <cfRule type="cellIs" dxfId="3294" priority="725" operator="equal">
      <formula>"כ"</formula>
    </cfRule>
  </conditionalFormatting>
  <conditionalFormatting sqref="BN21">
    <cfRule type="cellIs" dxfId="3293" priority="691" stopIfTrue="1" operator="equal">
      <formula>"ח"</formula>
    </cfRule>
    <cfRule type="cellIs" dxfId="3292" priority="692" operator="equal">
      <formula>"כש"</formula>
    </cfRule>
    <cfRule type="cellIs" dxfId="3291" priority="693" operator="equal">
      <formula>"כ"</formula>
    </cfRule>
  </conditionalFormatting>
  <conditionalFormatting sqref="BN25">
    <cfRule type="cellIs" dxfId="3290" priority="659" stopIfTrue="1" operator="equal">
      <formula>"ח"</formula>
    </cfRule>
    <cfRule type="cellIs" dxfId="3289" priority="660" operator="equal">
      <formula>"כש"</formula>
    </cfRule>
    <cfRule type="cellIs" dxfId="3288" priority="661" operator="equal">
      <formula>"כ"</formula>
    </cfRule>
  </conditionalFormatting>
  <conditionalFormatting sqref="BN29">
    <cfRule type="cellIs" dxfId="3287" priority="627" stopIfTrue="1" operator="equal">
      <formula>"ח"</formula>
    </cfRule>
    <cfRule type="cellIs" dxfId="3286" priority="628" operator="equal">
      <formula>"כש"</formula>
    </cfRule>
    <cfRule type="cellIs" dxfId="3285" priority="629" operator="equal">
      <formula>"כ"</formula>
    </cfRule>
  </conditionalFormatting>
  <conditionalFormatting sqref="BN33">
    <cfRule type="cellIs" dxfId="3284" priority="595" stopIfTrue="1" operator="equal">
      <formula>"ח"</formula>
    </cfRule>
    <cfRule type="cellIs" dxfId="3283" priority="597" operator="equal">
      <formula>"כ"</formula>
    </cfRule>
    <cfRule type="cellIs" dxfId="3282" priority="596" operator="equal">
      <formula>"כש"</formula>
    </cfRule>
  </conditionalFormatting>
  <conditionalFormatting sqref="BN16:BT17">
    <cfRule type="cellIs" dxfId="3281" priority="736" operator="equal">
      <formula>"כ"</formula>
    </cfRule>
    <cfRule type="cellIs" dxfId="3280" priority="735" operator="equal">
      <formula>"כש"</formula>
    </cfRule>
  </conditionalFormatting>
  <conditionalFormatting sqref="BN20:BT21">
    <cfRule type="cellIs" dxfId="3279" priority="703" operator="equal">
      <formula>"כש"</formula>
    </cfRule>
    <cfRule type="cellIs" dxfId="3278" priority="704" operator="equal">
      <formula>"כ"</formula>
    </cfRule>
  </conditionalFormatting>
  <conditionalFormatting sqref="BN24:BT25">
    <cfRule type="cellIs" dxfId="3277" priority="672" operator="equal">
      <formula>"כ"</formula>
    </cfRule>
    <cfRule type="cellIs" dxfId="3276" priority="671" operator="equal">
      <formula>"כש"</formula>
    </cfRule>
  </conditionalFormatting>
  <conditionalFormatting sqref="BN28:BT29">
    <cfRule type="cellIs" dxfId="3275" priority="639" operator="equal">
      <formula>"כש"</formula>
    </cfRule>
    <cfRule type="cellIs" dxfId="3274" priority="640" operator="equal">
      <formula>"כ"</formula>
    </cfRule>
  </conditionalFormatting>
  <conditionalFormatting sqref="BN32:BT33">
    <cfRule type="cellIs" dxfId="3273" priority="607" operator="equal">
      <formula>"כש"</formula>
    </cfRule>
    <cfRule type="cellIs" dxfId="3272" priority="608" operator="equal">
      <formula>"כ"</formula>
    </cfRule>
  </conditionalFormatting>
  <conditionalFormatting sqref="BN15:CD15">
    <cfRule type="cellIs" dxfId="3271" priority="52" operator="equal">
      <formula>"מיל"</formula>
    </cfRule>
    <cfRule type="cellIs" dxfId="3270" priority="51" operator="equal">
      <formula>"מנוחה"</formula>
    </cfRule>
    <cfRule type="cellIs" dxfId="3269" priority="50" operator="equal">
      <formula>"מ"</formula>
    </cfRule>
    <cfRule type="cellIs" dxfId="3268" priority="49" operator="equal">
      <formula>"ק"</formula>
    </cfRule>
    <cfRule type="cellIs" dxfId="3267" priority="48" operator="equal">
      <formula>"כמ"</formula>
    </cfRule>
    <cfRule type="cellIs" dxfId="3266" priority="47" operator="equal">
      <formula>"כמש"</formula>
    </cfRule>
    <cfRule type="cellIs" dxfId="3265" priority="45" operator="equal">
      <formula>"ל"</formula>
    </cfRule>
    <cfRule type="cellIs" dxfId="3264" priority="46" operator="equal">
      <formula>"י"</formula>
    </cfRule>
  </conditionalFormatting>
  <conditionalFormatting sqref="BO8:BT9">
    <cfRule type="cellIs" dxfId="3263" priority="800" operator="equal">
      <formula>"כ"</formula>
    </cfRule>
    <cfRule type="cellIs" dxfId="3262" priority="799" operator="equal">
      <formula>"כש"</formula>
    </cfRule>
  </conditionalFormatting>
  <conditionalFormatting sqref="BO12:BT13">
    <cfRule type="cellIs" dxfId="3261" priority="768" operator="equal">
      <formula>"כ"</formula>
    </cfRule>
    <cfRule type="cellIs" dxfId="3260" priority="767" operator="equal">
      <formula>"כש"</formula>
    </cfRule>
  </conditionalFormatting>
  <conditionalFormatting sqref="BO5:CE5 AW6:CD7 BO8:CD13 AW14:CD14 AW17:CD35 BG8:BM8 BG12:BM12 BG16:CD16 AW9:BM11 AW15:BM15 AW13:BM13">
    <cfRule type="cellIs" dxfId="3259" priority="1017" operator="equal">
      <formula>"מנוחה"</formula>
    </cfRule>
    <cfRule type="cellIs" dxfId="3258" priority="1012" operator="equal">
      <formula>"י"</formula>
    </cfRule>
    <cfRule type="cellIs" dxfId="3257" priority="1018" operator="equal">
      <formula>"מיל"</formula>
    </cfRule>
    <cfRule type="cellIs" dxfId="3256" priority="1011" operator="equal">
      <formula>"ל"</formula>
    </cfRule>
    <cfRule type="cellIs" dxfId="3255" priority="1014" operator="equal">
      <formula>"כמ"</formula>
    </cfRule>
    <cfRule type="cellIs" dxfId="3254" priority="1013" operator="equal">
      <formula>"כמש"</formula>
    </cfRule>
    <cfRule type="cellIs" dxfId="3253" priority="1015" operator="equal">
      <formula>"ק"</formula>
    </cfRule>
    <cfRule type="cellIs" dxfId="3252" priority="1016" operator="equal">
      <formula>"מ"</formula>
    </cfRule>
  </conditionalFormatting>
  <conditionalFormatting sqref="BP5">
    <cfRule type="cellIs" dxfId="3251" priority="1010" operator="equal">
      <formula>"כ"</formula>
    </cfRule>
    <cfRule type="cellIs" dxfId="3250" priority="1285" stopIfTrue="1" operator="equal">
      <formula>"ח"</formula>
    </cfRule>
    <cfRule type="cellIs" dxfId="3249" priority="1008" stopIfTrue="1" operator="equal">
      <formula>"ח"</formula>
    </cfRule>
    <cfRule type="cellIs" dxfId="3248" priority="1009" operator="equal">
      <formula>"כש"</formula>
    </cfRule>
  </conditionalFormatting>
  <conditionalFormatting sqref="BP6:BP35">
    <cfRule type="cellIs" dxfId="3247" priority="803" operator="equal">
      <formula>"ח"</formula>
    </cfRule>
  </conditionalFormatting>
  <conditionalFormatting sqref="BP8">
    <cfRule type="cellIs" dxfId="3246" priority="785" operator="equal">
      <formula>"כ"</formula>
    </cfRule>
    <cfRule type="cellIs" dxfId="3245" priority="786" operator="equal">
      <formula>"ח"</formula>
    </cfRule>
    <cfRule type="cellIs" dxfId="3244" priority="784" operator="equal">
      <formula>"כש"</formula>
    </cfRule>
  </conditionalFormatting>
  <conditionalFormatting sqref="BP9">
    <cfRule type="cellIs" dxfId="3243" priority="797" operator="equal">
      <formula>"כש"</formula>
    </cfRule>
    <cfRule type="cellIs" dxfId="3242" priority="796" stopIfTrue="1" operator="equal">
      <formula>"ח"</formula>
    </cfRule>
    <cfRule type="cellIs" dxfId="3241" priority="798" operator="equal">
      <formula>"כ"</formula>
    </cfRule>
  </conditionalFormatting>
  <conditionalFormatting sqref="BP12">
    <cfRule type="cellIs" dxfId="3240" priority="753" operator="equal">
      <formula>"כ"</formula>
    </cfRule>
    <cfRule type="cellIs" dxfId="3239" priority="754" operator="equal">
      <formula>"ח"</formula>
    </cfRule>
    <cfRule type="cellIs" dxfId="3238" priority="752" operator="equal">
      <formula>"כש"</formula>
    </cfRule>
  </conditionalFormatting>
  <conditionalFormatting sqref="BP12:BP13">
    <cfRule type="cellIs" dxfId="3237" priority="771" operator="equal">
      <formula>"ח"</formula>
    </cfRule>
  </conditionalFormatting>
  <conditionalFormatting sqref="BP13">
    <cfRule type="cellIs" dxfId="3236" priority="764" stopIfTrue="1" operator="equal">
      <formula>"ח"</formula>
    </cfRule>
    <cfRule type="cellIs" dxfId="3235" priority="765" operator="equal">
      <formula>"כש"</formula>
    </cfRule>
    <cfRule type="cellIs" dxfId="3234" priority="766" operator="equal">
      <formula>"כ"</formula>
    </cfRule>
  </conditionalFormatting>
  <conditionalFormatting sqref="BP16">
    <cfRule type="cellIs" dxfId="3233" priority="720" operator="equal">
      <formula>"כש"</formula>
    </cfRule>
    <cfRule type="cellIs" dxfId="3232" priority="721" operator="equal">
      <formula>"כ"</formula>
    </cfRule>
    <cfRule type="cellIs" dxfId="3231" priority="722" operator="equal">
      <formula>"ח"</formula>
    </cfRule>
  </conditionalFormatting>
  <conditionalFormatting sqref="BP16:BP17">
    <cfRule type="cellIs" dxfId="3230" priority="739" operator="equal">
      <formula>"ח"</formula>
    </cfRule>
  </conditionalFormatting>
  <conditionalFormatting sqref="BP17">
    <cfRule type="cellIs" dxfId="3229" priority="732" stopIfTrue="1" operator="equal">
      <formula>"ח"</formula>
    </cfRule>
    <cfRule type="cellIs" dxfId="3228" priority="734" operator="equal">
      <formula>"כ"</formula>
    </cfRule>
    <cfRule type="cellIs" dxfId="3227" priority="733" operator="equal">
      <formula>"כש"</formula>
    </cfRule>
  </conditionalFormatting>
  <conditionalFormatting sqref="BP20">
    <cfRule type="cellIs" dxfId="3226" priority="688" operator="equal">
      <formula>"כש"</formula>
    </cfRule>
    <cfRule type="cellIs" dxfId="3225" priority="689" operator="equal">
      <formula>"כ"</formula>
    </cfRule>
    <cfRule type="cellIs" dxfId="3224" priority="690" operator="equal">
      <formula>"ח"</formula>
    </cfRule>
  </conditionalFormatting>
  <conditionalFormatting sqref="BP20:BP21">
    <cfRule type="cellIs" dxfId="3223" priority="707" operator="equal">
      <formula>"ח"</formula>
    </cfRule>
  </conditionalFormatting>
  <conditionalFormatting sqref="BP21">
    <cfRule type="cellIs" dxfId="3222" priority="702" operator="equal">
      <formula>"כ"</formula>
    </cfRule>
    <cfRule type="cellIs" dxfId="3221" priority="701" operator="equal">
      <formula>"כש"</formula>
    </cfRule>
    <cfRule type="cellIs" dxfId="3220" priority="700" stopIfTrue="1" operator="equal">
      <formula>"ח"</formula>
    </cfRule>
  </conditionalFormatting>
  <conditionalFormatting sqref="BP24">
    <cfRule type="cellIs" dxfId="3219" priority="656" operator="equal">
      <formula>"כש"</formula>
    </cfRule>
    <cfRule type="cellIs" dxfId="3218" priority="657" operator="equal">
      <formula>"כ"</formula>
    </cfRule>
    <cfRule type="cellIs" dxfId="3217" priority="658" operator="equal">
      <formula>"ח"</formula>
    </cfRule>
  </conditionalFormatting>
  <conditionalFormatting sqref="BP24:BP25">
    <cfRule type="cellIs" dxfId="3216" priority="675" operator="equal">
      <formula>"ח"</formula>
    </cfRule>
  </conditionalFormatting>
  <conditionalFormatting sqref="BP25">
    <cfRule type="cellIs" dxfId="3215" priority="670" operator="equal">
      <formula>"כ"</formula>
    </cfRule>
    <cfRule type="cellIs" dxfId="3214" priority="669" operator="equal">
      <formula>"כש"</formula>
    </cfRule>
    <cfRule type="cellIs" dxfId="3213" priority="668" stopIfTrue="1" operator="equal">
      <formula>"ח"</formula>
    </cfRule>
  </conditionalFormatting>
  <conditionalFormatting sqref="BP28">
    <cfRule type="cellIs" dxfId="3212" priority="624" operator="equal">
      <formula>"כש"</formula>
    </cfRule>
    <cfRule type="cellIs" dxfId="3211" priority="625" operator="equal">
      <formula>"כ"</formula>
    </cfRule>
    <cfRule type="cellIs" dxfId="3210" priority="626" operator="equal">
      <formula>"ח"</formula>
    </cfRule>
  </conditionalFormatting>
  <conditionalFormatting sqref="BP28:BP29">
    <cfRule type="cellIs" dxfId="3209" priority="643" operator="equal">
      <formula>"ח"</formula>
    </cfRule>
  </conditionalFormatting>
  <conditionalFormatting sqref="BP29">
    <cfRule type="cellIs" dxfId="3208" priority="636" stopIfTrue="1" operator="equal">
      <formula>"ח"</formula>
    </cfRule>
    <cfRule type="cellIs" dxfId="3207" priority="637" operator="equal">
      <formula>"כש"</formula>
    </cfRule>
    <cfRule type="cellIs" dxfId="3206" priority="638" operator="equal">
      <formula>"כ"</formula>
    </cfRule>
  </conditionalFormatting>
  <conditionalFormatting sqref="BP32">
    <cfRule type="cellIs" dxfId="3205" priority="592" operator="equal">
      <formula>"כש"</formula>
    </cfRule>
    <cfRule type="cellIs" dxfId="3204" priority="593" operator="equal">
      <formula>"כ"</formula>
    </cfRule>
    <cfRule type="cellIs" dxfId="3203" priority="594" operator="equal">
      <formula>"ח"</formula>
    </cfRule>
  </conditionalFormatting>
  <conditionalFormatting sqref="BP32:BP33">
    <cfRule type="cellIs" dxfId="3202" priority="611" operator="equal">
      <formula>"ח"</formula>
    </cfRule>
  </conditionalFormatting>
  <conditionalFormatting sqref="BP33">
    <cfRule type="cellIs" dxfId="3201" priority="606" operator="equal">
      <formula>"כ"</formula>
    </cfRule>
    <cfRule type="cellIs" dxfId="3200" priority="604" stopIfTrue="1" operator="equal">
      <formula>"ח"</formula>
    </cfRule>
    <cfRule type="cellIs" dxfId="3199" priority="605" operator="equal">
      <formula>"כש"</formula>
    </cfRule>
  </conditionalFormatting>
  <conditionalFormatting sqref="BP5:BQ35">
    <cfRule type="cellIs" dxfId="3198" priority="1286" operator="equal">
      <formula>"כש"</formula>
    </cfRule>
    <cfRule type="cellIs" dxfId="3197" priority="1287" operator="equal">
      <formula>"כ"</formula>
    </cfRule>
  </conditionalFormatting>
  <conditionalFormatting sqref="BQ3:CA3 BQ4">
    <cfRule type="cellIs" dxfId="3196" priority="1099" operator="equal">
      <formula>"ל"</formula>
    </cfRule>
    <cfRule type="cellIs" dxfId="3195" priority="1109" operator="equal">
      <formula>"כ"</formula>
    </cfRule>
    <cfRule type="cellIs" dxfId="3194" priority="1108" operator="equal">
      <formula>"כש"</formula>
    </cfRule>
    <cfRule type="cellIs" dxfId="3193" priority="1106" operator="equal">
      <formula>"מיל"</formula>
    </cfRule>
    <cfRule type="cellIs" dxfId="3192" priority="1105" operator="equal">
      <formula>"מנוחה"</formula>
    </cfRule>
    <cfRule type="cellIs" dxfId="3191" priority="1104" operator="equal">
      <formula>"מ"</formula>
    </cfRule>
    <cfRule type="cellIs" dxfId="3190" priority="1103" operator="equal">
      <formula>"ק"</formula>
    </cfRule>
    <cfRule type="cellIs" dxfId="3189" priority="1102" operator="equal">
      <formula>"כמ"</formula>
    </cfRule>
    <cfRule type="cellIs" dxfId="3188" priority="1100" operator="equal">
      <formula>"י"</formula>
    </cfRule>
    <cfRule type="cellIs" dxfId="3187" priority="1107" operator="equal">
      <formula>"ח"</formula>
    </cfRule>
    <cfRule type="cellIs" dxfId="3186" priority="1101" operator="equal">
      <formula>"כמש"</formula>
    </cfRule>
  </conditionalFormatting>
  <conditionalFormatting sqref="BR5">
    <cfRule type="cellIs" dxfId="3185" priority="1005" stopIfTrue="1" operator="equal">
      <formula>"ח"</formula>
    </cfRule>
    <cfRule type="cellIs" dxfId="3184" priority="1006" operator="equal">
      <formula>"כש"</formula>
    </cfRule>
    <cfRule type="cellIs" dxfId="3183" priority="1007" operator="equal">
      <formula>"כ"</formula>
    </cfRule>
    <cfRule type="cellIs" dxfId="3182" priority="1263" stopIfTrue="1" operator="equal">
      <formula>"ח"</formula>
    </cfRule>
  </conditionalFormatting>
  <conditionalFormatting sqref="BR6:BR35">
    <cfRule type="cellIs" dxfId="3181" priority="802" operator="equal">
      <formula>"ח"</formula>
    </cfRule>
  </conditionalFormatting>
  <conditionalFormatting sqref="BR8">
    <cfRule type="cellIs" dxfId="3180" priority="775" operator="equal">
      <formula>"כ"</formula>
    </cfRule>
    <cfRule type="cellIs" dxfId="3179" priority="776" operator="equal">
      <formula>"ח"</formula>
    </cfRule>
    <cfRule type="cellIs" dxfId="3178" priority="783" operator="equal">
      <formula>"ח"</formula>
    </cfRule>
    <cfRule type="cellIs" dxfId="3177" priority="777" operator="equal">
      <formula>"ח"</formula>
    </cfRule>
    <cfRule type="cellIs" dxfId="3176" priority="774" operator="equal">
      <formula>"כש"</formula>
    </cfRule>
  </conditionalFormatting>
  <conditionalFormatting sqref="BR9">
    <cfRule type="cellIs" dxfId="3175" priority="795" operator="equal">
      <formula>"כ"</formula>
    </cfRule>
    <cfRule type="cellIs" dxfId="3174" priority="794" operator="equal">
      <formula>"כש"</formula>
    </cfRule>
    <cfRule type="cellIs" dxfId="3173" priority="793" stopIfTrue="1" operator="equal">
      <formula>"ח"</formula>
    </cfRule>
  </conditionalFormatting>
  <conditionalFormatting sqref="BR12">
    <cfRule type="cellIs" dxfId="3172" priority="742" operator="equal">
      <formula>"כש"</formula>
    </cfRule>
    <cfRule type="cellIs" dxfId="3171" priority="743" operator="equal">
      <formula>"כ"</formula>
    </cfRule>
    <cfRule type="cellIs" dxfId="3170" priority="744" operator="equal">
      <formula>"ח"</formula>
    </cfRule>
    <cfRule type="cellIs" dxfId="3169" priority="745" operator="equal">
      <formula>"ח"</formula>
    </cfRule>
    <cfRule type="cellIs" dxfId="3168" priority="751" operator="equal">
      <formula>"ח"</formula>
    </cfRule>
  </conditionalFormatting>
  <conditionalFormatting sqref="BR12:BR13">
    <cfRule type="cellIs" dxfId="3167" priority="770" operator="equal">
      <formula>"ח"</formula>
    </cfRule>
  </conditionalFormatting>
  <conditionalFormatting sqref="BR13">
    <cfRule type="cellIs" dxfId="3166" priority="762" operator="equal">
      <formula>"כש"</formula>
    </cfRule>
    <cfRule type="cellIs" dxfId="3165" priority="761" stopIfTrue="1" operator="equal">
      <formula>"ח"</formula>
    </cfRule>
    <cfRule type="cellIs" dxfId="3164" priority="763" operator="equal">
      <formula>"כ"</formula>
    </cfRule>
  </conditionalFormatting>
  <conditionalFormatting sqref="BR16">
    <cfRule type="cellIs" dxfId="3163" priority="713" operator="equal">
      <formula>"ח"</formula>
    </cfRule>
    <cfRule type="cellIs" dxfId="3162" priority="719" operator="equal">
      <formula>"ח"</formula>
    </cfRule>
    <cfRule type="cellIs" dxfId="3161" priority="712" operator="equal">
      <formula>"ח"</formula>
    </cfRule>
    <cfRule type="cellIs" dxfId="3160" priority="711" operator="equal">
      <formula>"כ"</formula>
    </cfRule>
    <cfRule type="cellIs" dxfId="3159" priority="710" operator="equal">
      <formula>"כש"</formula>
    </cfRule>
  </conditionalFormatting>
  <conditionalFormatting sqref="BR16:BR17">
    <cfRule type="cellIs" dxfId="3158" priority="738" operator="equal">
      <formula>"ח"</formula>
    </cfRule>
  </conditionalFormatting>
  <conditionalFormatting sqref="BR17">
    <cfRule type="cellIs" dxfId="3157" priority="731" operator="equal">
      <formula>"כ"</formula>
    </cfRule>
    <cfRule type="cellIs" dxfId="3156" priority="729" stopIfTrue="1" operator="equal">
      <formula>"ח"</formula>
    </cfRule>
    <cfRule type="cellIs" dxfId="3155" priority="730" operator="equal">
      <formula>"כש"</formula>
    </cfRule>
  </conditionalFormatting>
  <conditionalFormatting sqref="BR20">
    <cfRule type="cellIs" dxfId="3154" priority="679" operator="equal">
      <formula>"כ"</formula>
    </cfRule>
    <cfRule type="cellIs" dxfId="3153" priority="681" operator="equal">
      <formula>"ח"</formula>
    </cfRule>
    <cfRule type="cellIs" dxfId="3152" priority="680" operator="equal">
      <formula>"ח"</formula>
    </cfRule>
    <cfRule type="cellIs" dxfId="3151" priority="687" operator="equal">
      <formula>"ח"</formula>
    </cfRule>
    <cfRule type="cellIs" dxfId="3150" priority="678" operator="equal">
      <formula>"כש"</formula>
    </cfRule>
  </conditionalFormatting>
  <conditionalFormatting sqref="BR20:BR21">
    <cfRule type="cellIs" dxfId="3149" priority="706" operator="equal">
      <formula>"ח"</formula>
    </cfRule>
  </conditionalFormatting>
  <conditionalFormatting sqref="BR21">
    <cfRule type="cellIs" dxfId="3148" priority="699" operator="equal">
      <formula>"כ"</formula>
    </cfRule>
    <cfRule type="cellIs" dxfId="3147" priority="697" stopIfTrue="1" operator="equal">
      <formula>"ח"</formula>
    </cfRule>
    <cfRule type="cellIs" dxfId="3146" priority="698" operator="equal">
      <formula>"כש"</formula>
    </cfRule>
  </conditionalFormatting>
  <conditionalFormatting sqref="BR24">
    <cfRule type="cellIs" dxfId="3145" priority="655" operator="equal">
      <formula>"ח"</formula>
    </cfRule>
    <cfRule type="cellIs" dxfId="3144" priority="648" operator="equal">
      <formula>"ח"</formula>
    </cfRule>
    <cfRule type="cellIs" dxfId="3143" priority="646" operator="equal">
      <formula>"כש"</formula>
    </cfRule>
    <cfRule type="cellIs" dxfId="3142" priority="647" operator="equal">
      <formula>"כ"</formula>
    </cfRule>
    <cfRule type="cellIs" dxfId="3141" priority="649" operator="equal">
      <formula>"ח"</formula>
    </cfRule>
  </conditionalFormatting>
  <conditionalFormatting sqref="BR24:BR25">
    <cfRule type="cellIs" dxfId="3140" priority="674" operator="equal">
      <formula>"ח"</formula>
    </cfRule>
  </conditionalFormatting>
  <conditionalFormatting sqref="BR25">
    <cfRule type="cellIs" dxfId="3139" priority="665" stopIfTrue="1" operator="equal">
      <formula>"ח"</formula>
    </cfRule>
    <cfRule type="cellIs" dxfId="3138" priority="666" operator="equal">
      <formula>"כש"</formula>
    </cfRule>
    <cfRule type="cellIs" dxfId="3137" priority="667" operator="equal">
      <formula>"כ"</formula>
    </cfRule>
  </conditionalFormatting>
  <conditionalFormatting sqref="BR28">
    <cfRule type="cellIs" dxfId="3136" priority="615" operator="equal">
      <formula>"כ"</formula>
    </cfRule>
    <cfRule type="cellIs" dxfId="3135" priority="616" operator="equal">
      <formula>"ח"</formula>
    </cfRule>
    <cfRule type="cellIs" dxfId="3134" priority="617" operator="equal">
      <formula>"ח"</formula>
    </cfRule>
    <cfRule type="cellIs" dxfId="3133" priority="623" operator="equal">
      <formula>"ח"</formula>
    </cfRule>
    <cfRule type="cellIs" dxfId="3132" priority="614" operator="equal">
      <formula>"כש"</formula>
    </cfRule>
  </conditionalFormatting>
  <conditionalFormatting sqref="BR28:BR29">
    <cfRule type="cellIs" dxfId="3131" priority="642" operator="equal">
      <formula>"ח"</formula>
    </cfRule>
  </conditionalFormatting>
  <conditionalFormatting sqref="BR29">
    <cfRule type="cellIs" dxfId="3130" priority="633" stopIfTrue="1" operator="equal">
      <formula>"ח"</formula>
    </cfRule>
    <cfRule type="cellIs" dxfId="3129" priority="635" operator="equal">
      <formula>"כ"</formula>
    </cfRule>
    <cfRule type="cellIs" dxfId="3128" priority="634" operator="equal">
      <formula>"כש"</formula>
    </cfRule>
  </conditionalFormatting>
  <conditionalFormatting sqref="BR32">
    <cfRule type="cellIs" dxfId="3127" priority="582" operator="equal">
      <formula>"כש"</formula>
    </cfRule>
    <cfRule type="cellIs" dxfId="3126" priority="583" operator="equal">
      <formula>"כ"</formula>
    </cfRule>
    <cfRule type="cellIs" dxfId="3125" priority="584" operator="equal">
      <formula>"ח"</formula>
    </cfRule>
    <cfRule type="cellIs" dxfId="3124" priority="591" operator="equal">
      <formula>"ח"</formula>
    </cfRule>
    <cfRule type="cellIs" dxfId="3123" priority="585" operator="equal">
      <formula>"ח"</formula>
    </cfRule>
  </conditionalFormatting>
  <conditionalFormatting sqref="BR32:BR33">
    <cfRule type="cellIs" dxfId="3122" priority="610" operator="equal">
      <formula>"ח"</formula>
    </cfRule>
  </conditionalFormatting>
  <conditionalFormatting sqref="BR33">
    <cfRule type="cellIs" dxfId="3121" priority="603" operator="equal">
      <formula>"כ"</formula>
    </cfRule>
    <cfRule type="cellIs" dxfId="3120" priority="601" stopIfTrue="1" operator="equal">
      <formula>"ח"</formula>
    </cfRule>
    <cfRule type="cellIs" dxfId="3119" priority="602" operator="equal">
      <formula>"כש"</formula>
    </cfRule>
  </conditionalFormatting>
  <conditionalFormatting sqref="BR5:BS35">
    <cfRule type="cellIs" dxfId="3118" priority="1265" operator="equal">
      <formula>"כ"</formula>
    </cfRule>
    <cfRule type="cellIs" dxfId="3117" priority="1264" operator="equal">
      <formula>"כש"</formula>
    </cfRule>
  </conditionalFormatting>
  <conditionalFormatting sqref="BT5">
    <cfRule type="cellIs" dxfId="3116" priority="1004" operator="equal">
      <formula>"כ"</formula>
    </cfRule>
    <cfRule type="cellIs" dxfId="3115" priority="1003" operator="equal">
      <formula>"כש"</formula>
    </cfRule>
    <cfRule type="cellIs" dxfId="3114" priority="1002" stopIfTrue="1" operator="equal">
      <formula>"ח"</formula>
    </cfRule>
    <cfRule type="cellIs" dxfId="3113" priority="1241" stopIfTrue="1" operator="equal">
      <formula>"ח"</formula>
    </cfRule>
  </conditionalFormatting>
  <conditionalFormatting sqref="BT6:BT35">
    <cfRule type="cellIs" dxfId="3112" priority="801" operator="equal">
      <formula>"ח"</formula>
    </cfRule>
  </conditionalFormatting>
  <conditionalFormatting sqref="BT8">
    <cfRule type="cellIs" dxfId="3111" priority="778" operator="equal">
      <formula>"כש"</formula>
    </cfRule>
    <cfRule type="cellIs" dxfId="3110" priority="779" operator="equal">
      <formula>"כ"</formula>
    </cfRule>
    <cfRule type="cellIs" dxfId="3109" priority="780" operator="equal">
      <formula>"ח"</formula>
    </cfRule>
  </conditionalFormatting>
  <conditionalFormatting sqref="BT9">
    <cfRule type="cellIs" dxfId="3108" priority="790" stopIfTrue="1" operator="equal">
      <formula>"ח"</formula>
    </cfRule>
    <cfRule type="cellIs" dxfId="3107" priority="791" operator="equal">
      <formula>"כש"</formula>
    </cfRule>
    <cfRule type="cellIs" dxfId="3106" priority="792" operator="equal">
      <formula>"כ"</formula>
    </cfRule>
  </conditionalFormatting>
  <conditionalFormatting sqref="BT12">
    <cfRule type="cellIs" dxfId="3105" priority="747" operator="equal">
      <formula>"כ"</formula>
    </cfRule>
    <cfRule type="cellIs" dxfId="3104" priority="746" operator="equal">
      <formula>"כש"</formula>
    </cfRule>
    <cfRule type="cellIs" dxfId="3103" priority="748" operator="equal">
      <formula>"ח"</formula>
    </cfRule>
  </conditionalFormatting>
  <conditionalFormatting sqref="BT12:BT13">
    <cfRule type="cellIs" dxfId="3102" priority="769" operator="equal">
      <formula>"ח"</formula>
    </cfRule>
  </conditionalFormatting>
  <conditionalFormatting sqref="BT13">
    <cfRule type="cellIs" dxfId="3101" priority="760" operator="equal">
      <formula>"כ"</formula>
    </cfRule>
    <cfRule type="cellIs" dxfId="3100" priority="759" operator="equal">
      <formula>"כש"</formula>
    </cfRule>
    <cfRule type="cellIs" dxfId="3099" priority="758" stopIfTrue="1" operator="equal">
      <formula>"ח"</formula>
    </cfRule>
  </conditionalFormatting>
  <conditionalFormatting sqref="BT16">
    <cfRule type="cellIs" dxfId="3098" priority="716" operator="equal">
      <formula>"ח"</formula>
    </cfRule>
    <cfRule type="cellIs" dxfId="3097" priority="714" operator="equal">
      <formula>"כש"</formula>
    </cfRule>
    <cfRule type="cellIs" dxfId="3096" priority="715" operator="equal">
      <formula>"כ"</formula>
    </cfRule>
  </conditionalFormatting>
  <conditionalFormatting sqref="BT16:BT17">
    <cfRule type="cellIs" dxfId="3095" priority="737" operator="equal">
      <formula>"ח"</formula>
    </cfRule>
  </conditionalFormatting>
  <conditionalFormatting sqref="BT17">
    <cfRule type="cellIs" dxfId="3094" priority="727" operator="equal">
      <formula>"כש"</formula>
    </cfRule>
    <cfRule type="cellIs" dxfId="3093" priority="726" stopIfTrue="1" operator="equal">
      <formula>"ח"</formula>
    </cfRule>
    <cfRule type="cellIs" dxfId="3092" priority="728" operator="equal">
      <formula>"כ"</formula>
    </cfRule>
  </conditionalFormatting>
  <conditionalFormatting sqref="BT20">
    <cfRule type="cellIs" dxfId="3091" priority="682" operator="equal">
      <formula>"כש"</formula>
    </cfRule>
    <cfRule type="cellIs" dxfId="3090" priority="683" operator="equal">
      <formula>"כ"</formula>
    </cfRule>
    <cfRule type="cellIs" dxfId="3089" priority="684" operator="equal">
      <formula>"ח"</formula>
    </cfRule>
  </conditionalFormatting>
  <conditionalFormatting sqref="BT20:BT21">
    <cfRule type="cellIs" dxfId="3088" priority="705" operator="equal">
      <formula>"ח"</formula>
    </cfRule>
  </conditionalFormatting>
  <conditionalFormatting sqref="BT21">
    <cfRule type="cellIs" dxfId="3087" priority="694" stopIfTrue="1" operator="equal">
      <formula>"ח"</formula>
    </cfRule>
    <cfRule type="cellIs" dxfId="3086" priority="696" operator="equal">
      <formula>"כ"</formula>
    </cfRule>
    <cfRule type="cellIs" dxfId="3085" priority="695" operator="equal">
      <formula>"כש"</formula>
    </cfRule>
  </conditionalFormatting>
  <conditionalFormatting sqref="BT24">
    <cfRule type="cellIs" dxfId="3084" priority="650" operator="equal">
      <formula>"כש"</formula>
    </cfRule>
    <cfRule type="cellIs" dxfId="3083" priority="651" operator="equal">
      <formula>"כ"</formula>
    </cfRule>
    <cfRule type="cellIs" dxfId="3082" priority="652" operator="equal">
      <formula>"ח"</formula>
    </cfRule>
  </conditionalFormatting>
  <conditionalFormatting sqref="BT24:BT25">
    <cfRule type="cellIs" dxfId="3081" priority="673" operator="equal">
      <formula>"ח"</formula>
    </cfRule>
  </conditionalFormatting>
  <conditionalFormatting sqref="BT25">
    <cfRule type="cellIs" dxfId="3080" priority="662" stopIfTrue="1" operator="equal">
      <formula>"ח"</formula>
    </cfRule>
    <cfRule type="cellIs" dxfId="3079" priority="664" operator="equal">
      <formula>"כ"</formula>
    </cfRule>
    <cfRule type="cellIs" dxfId="3078" priority="663" operator="equal">
      <formula>"כש"</formula>
    </cfRule>
  </conditionalFormatting>
  <conditionalFormatting sqref="BT28">
    <cfRule type="cellIs" dxfId="3077" priority="620" operator="equal">
      <formula>"ח"</formula>
    </cfRule>
    <cfRule type="cellIs" dxfId="3076" priority="618" operator="equal">
      <formula>"כש"</formula>
    </cfRule>
    <cfRule type="cellIs" dxfId="3075" priority="619" operator="equal">
      <formula>"כ"</formula>
    </cfRule>
  </conditionalFormatting>
  <conditionalFormatting sqref="BT28:BT29">
    <cfRule type="cellIs" dxfId="3074" priority="641" operator="equal">
      <formula>"ח"</formula>
    </cfRule>
  </conditionalFormatting>
  <conditionalFormatting sqref="BT29">
    <cfRule type="cellIs" dxfId="3073" priority="630" stopIfTrue="1" operator="equal">
      <formula>"ח"</formula>
    </cfRule>
    <cfRule type="cellIs" dxfId="3072" priority="631" operator="equal">
      <formula>"כש"</formula>
    </cfRule>
    <cfRule type="cellIs" dxfId="3071" priority="632" operator="equal">
      <formula>"כ"</formula>
    </cfRule>
  </conditionalFormatting>
  <conditionalFormatting sqref="BT32">
    <cfRule type="cellIs" dxfId="3070" priority="586" operator="equal">
      <formula>"כש"</formula>
    </cfRule>
    <cfRule type="cellIs" dxfId="3069" priority="587" operator="equal">
      <formula>"כ"</formula>
    </cfRule>
    <cfRule type="cellIs" dxfId="3068" priority="588" operator="equal">
      <formula>"ח"</formula>
    </cfRule>
  </conditionalFormatting>
  <conditionalFormatting sqref="BT32:BT33">
    <cfRule type="cellIs" dxfId="3067" priority="609" operator="equal">
      <formula>"ח"</formula>
    </cfRule>
  </conditionalFormatting>
  <conditionalFormatting sqref="BT33">
    <cfRule type="cellIs" dxfId="3066" priority="600" operator="equal">
      <formula>"כ"</formula>
    </cfRule>
    <cfRule type="cellIs" dxfId="3065" priority="599" operator="equal">
      <formula>"כש"</formula>
    </cfRule>
    <cfRule type="cellIs" dxfId="3064" priority="598" stopIfTrue="1" operator="equal">
      <formula>"ח"</formula>
    </cfRule>
  </conditionalFormatting>
  <conditionalFormatting sqref="BT5:BW35">
    <cfRule type="cellIs" dxfId="3063" priority="1242" operator="equal">
      <formula>"כש"</formula>
    </cfRule>
    <cfRule type="cellIs" dxfId="3062" priority="1243" operator="equal">
      <formula>"כ"</formula>
    </cfRule>
  </conditionalFormatting>
  <conditionalFormatting sqref="BV6">
    <cfRule type="cellIs" dxfId="3061" priority="992" operator="equal">
      <formula>"כ"</formula>
    </cfRule>
    <cfRule type="cellIs" dxfId="3060" priority="991" operator="equal">
      <formula>"כש"</formula>
    </cfRule>
    <cfRule type="cellIs" dxfId="3059" priority="990" stopIfTrue="1" operator="equal">
      <formula>"ח"</formula>
    </cfRule>
  </conditionalFormatting>
  <conditionalFormatting sqref="BV10">
    <cfRule type="cellIs" dxfId="3058" priority="969" stopIfTrue="1" operator="equal">
      <formula>"ח"</formula>
    </cfRule>
    <cfRule type="cellIs" dxfId="3057" priority="970" operator="equal">
      <formula>"כש"</formula>
    </cfRule>
    <cfRule type="cellIs" dxfId="3056" priority="971" operator="equal">
      <formula>"כ"</formula>
    </cfRule>
  </conditionalFormatting>
  <conditionalFormatting sqref="BV14">
    <cfRule type="cellIs" dxfId="3055" priority="950" operator="equal">
      <formula>"כ"</formula>
    </cfRule>
    <cfRule type="cellIs" dxfId="3054" priority="948" stopIfTrue="1" operator="equal">
      <formula>"ח"</formula>
    </cfRule>
    <cfRule type="cellIs" dxfId="3053" priority="949" operator="equal">
      <formula>"כש"</formula>
    </cfRule>
  </conditionalFormatting>
  <conditionalFormatting sqref="BV18">
    <cfRule type="cellIs" dxfId="3052" priority="920" operator="equal">
      <formula>"כש"</formula>
    </cfRule>
    <cfRule type="cellIs" dxfId="3051" priority="919" stopIfTrue="1" operator="equal">
      <formula>"ח"</formula>
    </cfRule>
    <cfRule type="cellIs" dxfId="3050" priority="921" operator="equal">
      <formula>"כ"</formula>
    </cfRule>
  </conditionalFormatting>
  <conditionalFormatting sqref="BV22">
    <cfRule type="cellIs" dxfId="3049" priority="896" operator="equal">
      <formula>"כ"</formula>
    </cfRule>
    <cfRule type="cellIs" dxfId="3048" priority="895" operator="equal">
      <formula>"כש"</formula>
    </cfRule>
    <cfRule type="cellIs" dxfId="3047" priority="894" stopIfTrue="1" operator="equal">
      <formula>"ח"</formula>
    </cfRule>
  </conditionalFormatting>
  <conditionalFormatting sqref="BV26">
    <cfRule type="cellIs" dxfId="3046" priority="869" stopIfTrue="1" operator="equal">
      <formula>"ח"</formula>
    </cfRule>
    <cfRule type="cellIs" dxfId="3045" priority="870" operator="equal">
      <formula>"כש"</formula>
    </cfRule>
    <cfRule type="cellIs" dxfId="3044" priority="871" operator="equal">
      <formula>"כ"</formula>
    </cfRule>
  </conditionalFormatting>
  <conditionalFormatting sqref="BV30">
    <cfRule type="cellIs" dxfId="3043" priority="844" stopIfTrue="1" operator="equal">
      <formula>"ח"</formula>
    </cfRule>
    <cfRule type="cellIs" dxfId="3042" priority="846" operator="equal">
      <formula>"כ"</formula>
    </cfRule>
    <cfRule type="cellIs" dxfId="3041" priority="845" operator="equal">
      <formula>"כש"</formula>
    </cfRule>
  </conditionalFormatting>
  <conditionalFormatting sqref="BV34">
    <cfRule type="cellIs" dxfId="3040" priority="819" stopIfTrue="1" operator="equal">
      <formula>"ח"</formula>
    </cfRule>
    <cfRule type="cellIs" dxfId="3039" priority="820" operator="equal">
      <formula>"כש"</formula>
    </cfRule>
    <cfRule type="cellIs" dxfId="3038" priority="821" operator="equal">
      <formula>"כ"</formula>
    </cfRule>
  </conditionalFormatting>
  <conditionalFormatting sqref="BX5">
    <cfRule type="cellIs" dxfId="3037" priority="988" operator="equal">
      <formula>"כ"</formula>
    </cfRule>
    <cfRule type="cellIs" dxfId="3036" priority="989" operator="equal">
      <formula>"ח"</formula>
    </cfRule>
    <cfRule type="cellIs" dxfId="3035" priority="987" operator="equal">
      <formula>"כש"</formula>
    </cfRule>
  </conditionalFormatting>
  <conditionalFormatting sqref="BX5:BX35">
    <cfRule type="cellIs" dxfId="3034" priority="1230" operator="equal">
      <formula>"ח"</formula>
    </cfRule>
  </conditionalFormatting>
  <conditionalFormatting sqref="BX6">
    <cfRule type="cellIs" dxfId="3033" priority="1000" operator="equal">
      <formula>"כש"</formula>
    </cfRule>
    <cfRule type="cellIs" dxfId="3032" priority="999" stopIfTrue="1" operator="equal">
      <formula>"ח"</formula>
    </cfRule>
    <cfRule type="cellIs" dxfId="3031" priority="1001" operator="equal">
      <formula>"כ"</formula>
    </cfRule>
  </conditionalFormatting>
  <conditionalFormatting sqref="BX9">
    <cfRule type="cellIs" dxfId="3030" priority="966" operator="equal">
      <formula>"כש"</formula>
    </cfRule>
    <cfRule type="cellIs" dxfId="3029" priority="967" operator="equal">
      <formula>"כ"</formula>
    </cfRule>
    <cfRule type="cellIs" dxfId="3028" priority="968" operator="equal">
      <formula>"ח"</formula>
    </cfRule>
  </conditionalFormatting>
  <conditionalFormatting sqref="BX10">
    <cfRule type="cellIs" dxfId="3027" priority="978" stopIfTrue="1" operator="equal">
      <formula>"ח"</formula>
    </cfRule>
    <cfRule type="cellIs" dxfId="3026" priority="979" operator="equal">
      <formula>"כש"</formula>
    </cfRule>
    <cfRule type="cellIs" dxfId="3025" priority="980" operator="equal">
      <formula>"כ"</formula>
    </cfRule>
  </conditionalFormatting>
  <conditionalFormatting sqref="BX13">
    <cfRule type="cellIs" dxfId="3024" priority="946" operator="equal">
      <formula>"כ"</formula>
    </cfRule>
    <cfRule type="cellIs" dxfId="3023" priority="945" operator="equal">
      <formula>"כש"</formula>
    </cfRule>
    <cfRule type="cellIs" dxfId="3022" priority="947" operator="equal">
      <formula>"ח"</formula>
    </cfRule>
  </conditionalFormatting>
  <conditionalFormatting sqref="BX14">
    <cfRule type="cellIs" dxfId="3021" priority="959" operator="equal">
      <formula>"כ"</formula>
    </cfRule>
    <cfRule type="cellIs" dxfId="3020" priority="958" operator="equal">
      <formula>"כש"</formula>
    </cfRule>
    <cfRule type="cellIs" dxfId="3019" priority="957" stopIfTrue="1" operator="equal">
      <formula>"ח"</formula>
    </cfRule>
  </conditionalFormatting>
  <conditionalFormatting sqref="BX17">
    <cfRule type="cellIs" dxfId="3018" priority="918" operator="equal">
      <formula>"ח"</formula>
    </cfRule>
    <cfRule type="cellIs" dxfId="3017" priority="916" operator="equal">
      <formula>"כש"</formula>
    </cfRule>
    <cfRule type="cellIs" dxfId="3016" priority="917" operator="equal">
      <formula>"כ"</formula>
    </cfRule>
  </conditionalFormatting>
  <conditionalFormatting sqref="BX18">
    <cfRule type="cellIs" dxfId="3015" priority="928" stopIfTrue="1" operator="equal">
      <formula>"ח"</formula>
    </cfRule>
    <cfRule type="cellIs" dxfId="3014" priority="930" operator="equal">
      <formula>"כ"</formula>
    </cfRule>
    <cfRule type="cellIs" dxfId="3013" priority="929" operator="equal">
      <formula>"כש"</formula>
    </cfRule>
  </conditionalFormatting>
  <conditionalFormatting sqref="BX21">
    <cfRule type="cellIs" dxfId="3012" priority="893" operator="equal">
      <formula>"ח"</formula>
    </cfRule>
    <cfRule type="cellIs" dxfId="3011" priority="891" operator="equal">
      <formula>"כש"</formula>
    </cfRule>
    <cfRule type="cellIs" dxfId="3010" priority="892" operator="equal">
      <formula>"כ"</formula>
    </cfRule>
  </conditionalFormatting>
  <conditionalFormatting sqref="BX22">
    <cfRule type="cellIs" dxfId="3009" priority="903" stopIfTrue="1" operator="equal">
      <formula>"ח"</formula>
    </cfRule>
    <cfRule type="cellIs" dxfId="3008" priority="905" operator="equal">
      <formula>"כ"</formula>
    </cfRule>
    <cfRule type="cellIs" dxfId="3007" priority="904" operator="equal">
      <formula>"כש"</formula>
    </cfRule>
  </conditionalFormatting>
  <conditionalFormatting sqref="BX25">
    <cfRule type="cellIs" dxfId="3006" priority="866" operator="equal">
      <formula>"כש"</formula>
    </cfRule>
    <cfRule type="cellIs" dxfId="3005" priority="868" operator="equal">
      <formula>"ח"</formula>
    </cfRule>
    <cfRule type="cellIs" dxfId="3004" priority="867" operator="equal">
      <formula>"כ"</formula>
    </cfRule>
  </conditionalFormatting>
  <conditionalFormatting sqref="BX26">
    <cfRule type="cellIs" dxfId="3003" priority="880" operator="equal">
      <formula>"כ"</formula>
    </cfRule>
    <cfRule type="cellIs" dxfId="3002" priority="879" operator="equal">
      <formula>"כש"</formula>
    </cfRule>
    <cfRule type="cellIs" dxfId="3001" priority="878" stopIfTrue="1" operator="equal">
      <formula>"ח"</formula>
    </cfRule>
  </conditionalFormatting>
  <conditionalFormatting sqref="BX29">
    <cfRule type="cellIs" dxfId="3000" priority="842" operator="equal">
      <formula>"כ"</formula>
    </cfRule>
    <cfRule type="cellIs" dxfId="2999" priority="843" operator="equal">
      <formula>"ח"</formula>
    </cfRule>
    <cfRule type="cellIs" dxfId="2998" priority="841" operator="equal">
      <formula>"כש"</formula>
    </cfRule>
  </conditionalFormatting>
  <conditionalFormatting sqref="BX30">
    <cfRule type="cellIs" dxfId="2997" priority="855" operator="equal">
      <formula>"כ"</formula>
    </cfRule>
    <cfRule type="cellIs" dxfId="2996" priority="853" stopIfTrue="1" operator="equal">
      <formula>"ח"</formula>
    </cfRule>
    <cfRule type="cellIs" dxfId="2995" priority="854" operator="equal">
      <formula>"כש"</formula>
    </cfRule>
  </conditionalFormatting>
  <conditionalFormatting sqref="BX33">
    <cfRule type="cellIs" dxfId="2994" priority="817" operator="equal">
      <formula>"כ"</formula>
    </cfRule>
    <cfRule type="cellIs" dxfId="2993" priority="818" operator="equal">
      <formula>"ח"</formula>
    </cfRule>
    <cfRule type="cellIs" dxfId="2992" priority="816" operator="equal">
      <formula>"כש"</formula>
    </cfRule>
  </conditionalFormatting>
  <conditionalFormatting sqref="BX34">
    <cfRule type="cellIs" dxfId="2991" priority="828" stopIfTrue="1" operator="equal">
      <formula>"ח"</formula>
    </cfRule>
    <cfRule type="cellIs" dxfId="2990" priority="829" operator="equal">
      <formula>"כש"</formula>
    </cfRule>
    <cfRule type="cellIs" dxfId="2989" priority="830" operator="equal">
      <formula>"כ"</formula>
    </cfRule>
  </conditionalFormatting>
  <conditionalFormatting sqref="BX5:CD35 CE5">
    <cfRule type="cellIs" dxfId="2988" priority="1021" operator="equal">
      <formula>"כ"</formula>
    </cfRule>
    <cfRule type="cellIs" dxfId="2987" priority="1020" operator="equal">
      <formula>"כש"</formula>
    </cfRule>
  </conditionalFormatting>
  <conditionalFormatting sqref="BZ5">
    <cfRule type="cellIs" dxfId="2986" priority="985" operator="equal">
      <formula>"כ"</formula>
    </cfRule>
    <cfRule type="cellIs" dxfId="2985" priority="986" operator="equal">
      <formula>"ח"</formula>
    </cfRule>
    <cfRule type="cellIs" dxfId="2984" priority="984" operator="equal">
      <formula>"כש"</formula>
    </cfRule>
  </conditionalFormatting>
  <conditionalFormatting sqref="BZ5:BZ35">
    <cfRule type="cellIs" dxfId="2983" priority="1219" operator="equal">
      <formula>"ח"</formula>
    </cfRule>
  </conditionalFormatting>
  <conditionalFormatting sqref="BZ6">
    <cfRule type="cellIs" dxfId="2982" priority="997" operator="equal">
      <formula>"כש"</formula>
    </cfRule>
    <cfRule type="cellIs" dxfId="2981" priority="998" operator="equal">
      <formula>"כ"</formula>
    </cfRule>
    <cfRule type="cellIs" dxfId="2980" priority="996" stopIfTrue="1" operator="equal">
      <formula>"ח"</formula>
    </cfRule>
  </conditionalFormatting>
  <conditionalFormatting sqref="BZ9">
    <cfRule type="cellIs" dxfId="2979" priority="931" operator="equal">
      <formula>"כש"</formula>
    </cfRule>
    <cfRule type="cellIs" dxfId="2978" priority="934" operator="equal">
      <formula>"ח"</formula>
    </cfRule>
    <cfRule type="cellIs" dxfId="2977" priority="965" operator="equal">
      <formula>"ח"</formula>
    </cfRule>
    <cfRule type="cellIs" dxfId="2976" priority="932" operator="equal">
      <formula>"כ"</formula>
    </cfRule>
    <cfRule type="cellIs" dxfId="2975" priority="933" operator="equal">
      <formula>"ח"</formula>
    </cfRule>
  </conditionalFormatting>
  <conditionalFormatting sqref="BZ10">
    <cfRule type="cellIs" dxfId="2974" priority="975" stopIfTrue="1" operator="equal">
      <formula>"ח"</formula>
    </cfRule>
    <cfRule type="cellIs" dxfId="2973" priority="976" operator="equal">
      <formula>"כש"</formula>
    </cfRule>
    <cfRule type="cellIs" dxfId="2972" priority="977" operator="equal">
      <formula>"כ"</formula>
    </cfRule>
  </conditionalFormatting>
  <conditionalFormatting sqref="BZ13">
    <cfRule type="cellIs" dxfId="2971" priority="935" operator="equal">
      <formula>"כש"</formula>
    </cfRule>
    <cfRule type="cellIs" dxfId="2970" priority="936" operator="equal">
      <formula>"כ"</formula>
    </cfRule>
    <cfRule type="cellIs" dxfId="2969" priority="944" operator="equal">
      <formula>"ח"</formula>
    </cfRule>
    <cfRule type="cellIs" dxfId="2968" priority="938" operator="equal">
      <formula>"ח"</formula>
    </cfRule>
    <cfRule type="cellIs" dxfId="2967" priority="937" operator="equal">
      <formula>"ח"</formula>
    </cfRule>
  </conditionalFormatting>
  <conditionalFormatting sqref="BZ14">
    <cfRule type="cellIs" dxfId="2966" priority="954" stopIfTrue="1" operator="equal">
      <formula>"ח"</formula>
    </cfRule>
    <cfRule type="cellIs" dxfId="2965" priority="955" operator="equal">
      <formula>"כש"</formula>
    </cfRule>
    <cfRule type="cellIs" dxfId="2964" priority="956" operator="equal">
      <formula>"כ"</formula>
    </cfRule>
  </conditionalFormatting>
  <conditionalFormatting sqref="BZ17">
    <cfRule type="cellIs" dxfId="2963" priority="909" operator="equal">
      <formula>"ח"</formula>
    </cfRule>
    <cfRule type="cellIs" dxfId="2962" priority="915" operator="equal">
      <formula>"ח"</formula>
    </cfRule>
    <cfRule type="cellIs" dxfId="2961" priority="908" operator="equal">
      <formula>"ח"</formula>
    </cfRule>
    <cfRule type="cellIs" dxfId="2960" priority="907" operator="equal">
      <formula>"כ"</formula>
    </cfRule>
    <cfRule type="cellIs" dxfId="2959" priority="906" operator="equal">
      <formula>"כש"</formula>
    </cfRule>
  </conditionalFormatting>
  <conditionalFormatting sqref="BZ18">
    <cfRule type="cellIs" dxfId="2958" priority="925" stopIfTrue="1" operator="equal">
      <formula>"ח"</formula>
    </cfRule>
    <cfRule type="cellIs" dxfId="2957" priority="926" operator="equal">
      <formula>"כש"</formula>
    </cfRule>
    <cfRule type="cellIs" dxfId="2956" priority="927" operator="equal">
      <formula>"כ"</formula>
    </cfRule>
  </conditionalFormatting>
  <conditionalFormatting sqref="BZ21">
    <cfRule type="cellIs" dxfId="2955" priority="881" operator="equal">
      <formula>"כש"</formula>
    </cfRule>
    <cfRule type="cellIs" dxfId="2954" priority="882" operator="equal">
      <formula>"כ"</formula>
    </cfRule>
    <cfRule type="cellIs" dxfId="2953" priority="884" operator="equal">
      <formula>"ח"</formula>
    </cfRule>
    <cfRule type="cellIs" dxfId="2952" priority="890" operator="equal">
      <formula>"ח"</formula>
    </cfRule>
    <cfRule type="cellIs" dxfId="2951" priority="883" operator="equal">
      <formula>"ח"</formula>
    </cfRule>
  </conditionalFormatting>
  <conditionalFormatting sqref="BZ22">
    <cfRule type="cellIs" dxfId="2950" priority="900" stopIfTrue="1" operator="equal">
      <formula>"ח"</formula>
    </cfRule>
    <cfRule type="cellIs" dxfId="2949" priority="901" operator="equal">
      <formula>"כש"</formula>
    </cfRule>
    <cfRule type="cellIs" dxfId="2948" priority="902" operator="equal">
      <formula>"כ"</formula>
    </cfRule>
  </conditionalFormatting>
  <conditionalFormatting sqref="BZ25">
    <cfRule type="cellIs" dxfId="2947" priority="858" operator="equal">
      <formula>"ח"</formula>
    </cfRule>
    <cfRule type="cellIs" dxfId="2946" priority="857" operator="equal">
      <formula>"כ"</formula>
    </cfRule>
    <cfRule type="cellIs" dxfId="2945" priority="856" operator="equal">
      <formula>"כש"</formula>
    </cfRule>
    <cfRule type="cellIs" dxfId="2944" priority="865" operator="equal">
      <formula>"ח"</formula>
    </cfRule>
    <cfRule type="cellIs" dxfId="2943" priority="859" operator="equal">
      <formula>"ח"</formula>
    </cfRule>
  </conditionalFormatting>
  <conditionalFormatting sqref="BZ26">
    <cfRule type="cellIs" dxfId="2942" priority="875" stopIfTrue="1" operator="equal">
      <formula>"ח"</formula>
    </cfRule>
    <cfRule type="cellIs" dxfId="2941" priority="876" operator="equal">
      <formula>"כש"</formula>
    </cfRule>
    <cfRule type="cellIs" dxfId="2940" priority="877" operator="equal">
      <formula>"כ"</formula>
    </cfRule>
  </conditionalFormatting>
  <conditionalFormatting sqref="BZ29">
    <cfRule type="cellIs" dxfId="2939" priority="833" operator="equal">
      <formula>"ח"</formula>
    </cfRule>
    <cfRule type="cellIs" dxfId="2938" priority="831" operator="equal">
      <formula>"כש"</formula>
    </cfRule>
    <cfRule type="cellIs" dxfId="2937" priority="832" operator="equal">
      <formula>"כ"</formula>
    </cfRule>
    <cfRule type="cellIs" dxfId="2936" priority="840" operator="equal">
      <formula>"ח"</formula>
    </cfRule>
    <cfRule type="cellIs" dxfId="2935" priority="834" operator="equal">
      <formula>"ח"</formula>
    </cfRule>
  </conditionalFormatting>
  <conditionalFormatting sqref="BZ30">
    <cfRule type="cellIs" dxfId="2934" priority="850" stopIfTrue="1" operator="equal">
      <formula>"ח"</formula>
    </cfRule>
    <cfRule type="cellIs" dxfId="2933" priority="851" operator="equal">
      <formula>"כש"</formula>
    </cfRule>
    <cfRule type="cellIs" dxfId="2932" priority="852" operator="equal">
      <formula>"כ"</formula>
    </cfRule>
  </conditionalFormatting>
  <conditionalFormatting sqref="BZ33">
    <cfRule type="cellIs" dxfId="2931" priority="809" operator="equal">
      <formula>"ח"</formula>
    </cfRule>
    <cfRule type="cellIs" dxfId="2930" priority="808" operator="equal">
      <formula>"ח"</formula>
    </cfRule>
    <cfRule type="cellIs" dxfId="2929" priority="807" operator="equal">
      <formula>"כ"</formula>
    </cfRule>
    <cfRule type="cellIs" dxfId="2928" priority="806" operator="equal">
      <formula>"כש"</formula>
    </cfRule>
    <cfRule type="cellIs" dxfId="2927" priority="815" operator="equal">
      <formula>"ח"</formula>
    </cfRule>
  </conditionalFormatting>
  <conditionalFormatting sqref="BZ34">
    <cfRule type="cellIs" dxfId="2926" priority="827" operator="equal">
      <formula>"כ"</formula>
    </cfRule>
    <cfRule type="cellIs" dxfId="2925" priority="826" operator="equal">
      <formula>"כש"</formula>
    </cfRule>
    <cfRule type="cellIs" dxfId="2924" priority="825" stopIfTrue="1" operator="equal">
      <formula>"ח"</formula>
    </cfRule>
  </conditionalFormatting>
  <conditionalFormatting sqref="CB5">
    <cfRule type="cellIs" dxfId="2923" priority="983" operator="equal">
      <formula>"ח"</formula>
    </cfRule>
    <cfRule type="cellIs" dxfId="2922" priority="982" operator="equal">
      <formula>"כ"</formula>
    </cfRule>
    <cfRule type="cellIs" dxfId="2921" priority="981" operator="equal">
      <formula>"כש"</formula>
    </cfRule>
  </conditionalFormatting>
  <conditionalFormatting sqref="CB5:CB35">
    <cfRule type="cellIs" dxfId="2920" priority="1208" operator="equal">
      <formula>"ח"</formula>
    </cfRule>
  </conditionalFormatting>
  <conditionalFormatting sqref="CB6">
    <cfRule type="cellIs" dxfId="2919" priority="995" operator="equal">
      <formula>"כ"</formula>
    </cfRule>
    <cfRule type="cellIs" dxfId="2918" priority="993" stopIfTrue="1" operator="equal">
      <formula>"ח"</formula>
    </cfRule>
    <cfRule type="cellIs" dxfId="2917" priority="994" operator="equal">
      <formula>"כש"</formula>
    </cfRule>
  </conditionalFormatting>
  <conditionalFormatting sqref="CB9">
    <cfRule type="cellIs" dxfId="2916" priority="962" operator="equal">
      <formula>"ח"</formula>
    </cfRule>
    <cfRule type="cellIs" dxfId="2915" priority="961" operator="equal">
      <formula>"כ"</formula>
    </cfRule>
    <cfRule type="cellIs" dxfId="2914" priority="960" operator="equal">
      <formula>"כש"</formula>
    </cfRule>
  </conditionalFormatting>
  <conditionalFormatting sqref="CB10">
    <cfRule type="cellIs" dxfId="2913" priority="973" operator="equal">
      <formula>"כש"</formula>
    </cfRule>
    <cfRule type="cellIs" dxfId="2912" priority="972" stopIfTrue="1" operator="equal">
      <formula>"ח"</formula>
    </cfRule>
    <cfRule type="cellIs" dxfId="2911" priority="974" operator="equal">
      <formula>"כ"</formula>
    </cfRule>
  </conditionalFormatting>
  <conditionalFormatting sqref="CB13">
    <cfRule type="cellIs" dxfId="2910" priority="941" operator="equal">
      <formula>"ח"</formula>
    </cfRule>
    <cfRule type="cellIs" dxfId="2909" priority="940" operator="equal">
      <formula>"כ"</formula>
    </cfRule>
    <cfRule type="cellIs" dxfId="2908" priority="939" operator="equal">
      <formula>"כש"</formula>
    </cfRule>
  </conditionalFormatting>
  <conditionalFormatting sqref="CB14">
    <cfRule type="cellIs" dxfId="2907" priority="951" stopIfTrue="1" operator="equal">
      <formula>"ח"</formula>
    </cfRule>
    <cfRule type="cellIs" dxfId="2906" priority="953" operator="equal">
      <formula>"כ"</formula>
    </cfRule>
    <cfRule type="cellIs" dxfId="2905" priority="952" operator="equal">
      <formula>"כש"</formula>
    </cfRule>
  </conditionalFormatting>
  <conditionalFormatting sqref="CB17">
    <cfRule type="cellIs" dxfId="2904" priority="910" operator="equal">
      <formula>"כש"</formula>
    </cfRule>
    <cfRule type="cellIs" dxfId="2903" priority="912" operator="equal">
      <formula>"ח"</formula>
    </cfRule>
    <cfRule type="cellIs" dxfId="2902" priority="911" operator="equal">
      <formula>"כ"</formula>
    </cfRule>
  </conditionalFormatting>
  <conditionalFormatting sqref="CB18">
    <cfRule type="cellIs" dxfId="2901" priority="922" stopIfTrue="1" operator="equal">
      <formula>"ח"</formula>
    </cfRule>
    <cfRule type="cellIs" dxfId="2900" priority="923" operator="equal">
      <formula>"כש"</formula>
    </cfRule>
    <cfRule type="cellIs" dxfId="2899" priority="924" operator="equal">
      <formula>"כ"</formula>
    </cfRule>
  </conditionalFormatting>
  <conditionalFormatting sqref="CB21">
    <cfRule type="cellIs" dxfId="2898" priority="887" operator="equal">
      <formula>"ח"</formula>
    </cfRule>
    <cfRule type="cellIs" dxfId="2897" priority="885" operator="equal">
      <formula>"כש"</formula>
    </cfRule>
    <cfRule type="cellIs" dxfId="2896" priority="886" operator="equal">
      <formula>"כ"</formula>
    </cfRule>
  </conditionalFormatting>
  <conditionalFormatting sqref="CB22">
    <cfRule type="cellIs" dxfId="2895" priority="897" stopIfTrue="1" operator="equal">
      <formula>"ח"</formula>
    </cfRule>
    <cfRule type="cellIs" dxfId="2894" priority="899" operator="equal">
      <formula>"כ"</formula>
    </cfRule>
    <cfRule type="cellIs" dxfId="2893" priority="898" operator="equal">
      <formula>"כש"</formula>
    </cfRule>
  </conditionalFormatting>
  <conditionalFormatting sqref="CB25">
    <cfRule type="cellIs" dxfId="2892" priority="862" operator="equal">
      <formula>"ח"</formula>
    </cfRule>
    <cfRule type="cellIs" dxfId="2891" priority="861" operator="equal">
      <formula>"כ"</formula>
    </cfRule>
    <cfRule type="cellIs" dxfId="2890" priority="860" operator="equal">
      <formula>"כש"</formula>
    </cfRule>
  </conditionalFormatting>
  <conditionalFormatting sqref="CB26">
    <cfRule type="cellIs" dxfId="2889" priority="873" operator="equal">
      <formula>"כש"</formula>
    </cfRule>
    <cfRule type="cellIs" dxfId="2888" priority="872" stopIfTrue="1" operator="equal">
      <formula>"ח"</formula>
    </cfRule>
    <cfRule type="cellIs" dxfId="2887" priority="874" operator="equal">
      <formula>"כ"</formula>
    </cfRule>
  </conditionalFormatting>
  <conditionalFormatting sqref="CB29">
    <cfRule type="cellIs" dxfId="2886" priority="836" operator="equal">
      <formula>"כ"</formula>
    </cfRule>
    <cfRule type="cellIs" dxfId="2885" priority="837" operator="equal">
      <formula>"ח"</formula>
    </cfRule>
    <cfRule type="cellIs" dxfId="2884" priority="835" operator="equal">
      <formula>"כש"</formula>
    </cfRule>
  </conditionalFormatting>
  <conditionalFormatting sqref="CB30">
    <cfRule type="cellIs" dxfId="2883" priority="847" stopIfTrue="1" operator="equal">
      <formula>"ח"</formula>
    </cfRule>
    <cfRule type="cellIs" dxfId="2882" priority="848" operator="equal">
      <formula>"כש"</formula>
    </cfRule>
    <cfRule type="cellIs" dxfId="2881" priority="849" operator="equal">
      <formula>"כ"</formula>
    </cfRule>
  </conditionalFormatting>
  <conditionalFormatting sqref="CB33">
    <cfRule type="cellIs" dxfId="2880" priority="812" operator="equal">
      <formula>"ח"</formula>
    </cfRule>
    <cfRule type="cellIs" dxfId="2879" priority="810" operator="equal">
      <formula>"כש"</formula>
    </cfRule>
    <cfRule type="cellIs" dxfId="2878" priority="811" operator="equal">
      <formula>"כ"</formula>
    </cfRule>
  </conditionalFormatting>
  <conditionalFormatting sqref="CB34">
    <cfRule type="cellIs" dxfId="2877" priority="824" operator="equal">
      <formula>"כ"</formula>
    </cfRule>
    <cfRule type="cellIs" dxfId="2876" priority="822" stopIfTrue="1" operator="equal">
      <formula>"ח"</formula>
    </cfRule>
    <cfRule type="cellIs" dxfId="2875" priority="823" operator="equal">
      <formula>"כש"</formula>
    </cfRule>
  </conditionalFormatting>
  <conditionalFormatting sqref="CC1:CE4">
    <cfRule type="cellIs" dxfId="2874" priority="1041" operator="equal">
      <formula>"ח"</formula>
    </cfRule>
    <cfRule type="cellIs" dxfId="2873" priority="1042" operator="equal">
      <formula>"כש"</formula>
    </cfRule>
    <cfRule type="cellIs" dxfId="2872" priority="1043" operator="equal">
      <formula>"כ"</formula>
    </cfRule>
    <cfRule type="cellIs" dxfId="2871" priority="1033" operator="equal">
      <formula>"ל"</formula>
    </cfRule>
    <cfRule type="cellIs" dxfId="2870" priority="1039" operator="equal">
      <formula>"מנוחה"</formula>
    </cfRule>
    <cfRule type="cellIs" dxfId="2869" priority="1034" operator="equal">
      <formula>"י"</formula>
    </cfRule>
    <cfRule type="cellIs" dxfId="2868" priority="1035" operator="equal">
      <formula>"כמש"</formula>
    </cfRule>
    <cfRule type="cellIs" dxfId="2867" priority="1037" operator="equal">
      <formula>"ק"</formula>
    </cfRule>
    <cfRule type="cellIs" dxfId="2866" priority="1038" operator="equal">
      <formula>"מ"</formula>
    </cfRule>
    <cfRule type="cellIs" dxfId="2865" priority="1040" operator="equal">
      <formula>"מיל"</formula>
    </cfRule>
    <cfRule type="cellIs" dxfId="2864" priority="1036" operator="equal">
      <formula>"כמ"</formula>
    </cfRule>
  </conditionalFormatting>
  <conditionalFormatting sqref="CE5 CC5:CD35">
    <cfRule type="cellIs" dxfId="2863" priority="1019" operator="equal">
      <formula>"ח"</formula>
    </cfRule>
  </conditionalFormatting>
  <conditionalFormatting sqref="CF5:CG35">
    <cfRule type="cellIs" dxfId="2862" priority="1433" operator="lessThan">
      <formula>4</formula>
    </cfRule>
  </conditionalFormatting>
  <hyperlinks>
    <hyperlink ref="X4:Y4" r:id="rId11" tooltip="עדכון במייל" display="עדכון במייל" xr:uid="{00000000-0004-0000-09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מיילים!$M$2:$M$38</xm:f>
          </x14:formula1>
          <xm:sqref>BQ3:BR3 BC3</xm:sqref>
        </x14:dataValidation>
        <x14:dataValidation type="list" allowBlank="1" showInputMessage="1" showErrorMessage="1" xr:uid="{00000000-0002-0000-0900-000001000000}">
          <x14:formula1>
            <xm:f>מיילים!$M$2:$M$31</xm:f>
          </x14:formula1>
          <xm:sqref>P3:Q3 AW3:AZ3 BS3:CA3 BE3:BO3 AD3:AE3 D3:N3</xm:sqref>
        </x14:dataValidation>
        <x14:dataValidation type="list" allowBlank="1" showInputMessage="1" showErrorMessage="1" xr:uid="{00000000-0002-0000-0900-000002000000}">
          <x14:formula1>
            <xm:f>מיילים!$M$3:$M$37</xm:f>
          </x14:formula1>
          <xm:sqref>R3:S3 V3:W3</xm:sqref>
        </x14:dataValidation>
        <x14:dataValidation type="list" allowBlank="1" showInputMessage="1" showErrorMessage="1" xr:uid="{00000000-0002-0000-0900-000003000000}">
          <x14:formula1>
            <xm:f>מיילים!$M$2:$M$36</xm:f>
          </x14:formula1>
          <xm:sqref>T3:U3</xm:sqref>
        </x14:dataValidation>
        <x14:dataValidation type="list" allowBlank="1" showInputMessage="1" showErrorMessage="1" xr:uid="{00000000-0002-0000-0900-000004000000}">
          <x14:formula1>
            <xm:f>מקרא!$B$5:$B$60</xm:f>
          </x14:formula1>
          <xm:sqref>BR5 BP5 BB35 BT5 BX6 BZ6 CB6 BV6 BX10 BZ10 CB10 BV10 BX14 BZ14 CB14 BV14 BX18 BZ18 CB18 BV18 BX22 BZ22 CB22 BV22 BX26 BZ26 CB26 BV26 BX30 BZ30 CB30 BV30 BX34 BZ34 CB34 BV34 BP9 BR9 BT9 BD35 BP13 BR13 BT13 AX35 BP17 BR17 BT17 BN17 BP21 BR21 BT21 BN21 BP25 BR25 BT25 BN25 BP29 BR29 BT29 BN29 BP33 BR33 BT33 BN33 BH8 BJ8 BL8 AZ35 BH12 BJ12 BL12 AX31 BH16 BJ16 BL16 BD31 BH20 BJ20 BL20 BF20 BH24 BJ24 BL24 BF24 BH28 BJ28 BL28 BF28 BH32 BJ32 BL32 BF32 AZ7 BB7 BD7 AX7 AZ11 BB11 BD11 AX11 AZ15 BB15 BD15 AX15 AZ19 BB19 BD19 AX19 AZ23 BB23 BD23 AX23 AZ27 BB27 BD27 AX27 AZ31 BB31</xm:sqref>
        </x14:dataValidation>
        <x14:dataValidation type="list" allowBlank="1" showInputMessage="1" xr:uid="{00000000-0002-0000-0900-000005000000}">
          <x14:formula1>
            <xm:f>מקרא!$B$5:$B$60</xm:f>
          </x14:formula1>
          <xm:sqref>AI18:AO18 BR34:BR35 BT34:BT35 BN34:BN35 AI24:AO25 BZ35 AG19:AH20 AJ19:AO20 Y5:AO17 AG21:AO23 R14:X15 BZ7:BZ9 CB35 BX5 BZ5 BU5:BU35 CB5 BV5 BZ11:BZ13 BV7:BV9 BX7:BX9 CB7:CB9 CB11:CB13 BX35 BV11:BV13 BX11:BX13 BV15:BV17 BX15:BX17 CB15:CB17 BZ15:BZ17 BZ19:BZ21 BV19:BV21 BX19:BX21 CB19:CB21 CB23:CB25 BZ23:BZ25 BV23:BV25 BX23:BX25 BX27:BX29 BV35 CB27:CB29 BZ27:BZ29 BV27:BV29 BV31:BV33 BW5:BW35 CA5:CA35 BY5:BY35 BX31:BX33 CB31:CB33 BZ31:BZ33 BT6:BT8 BR6:BR8 BP6:BP8 D19:AF23 BT10:BT12 BR10:BR12 BP10:BP12 BP14:BP16 BT14:BT16 BR14:BR16 BR18:BR20 BP18:BP20 BN18:BN20 BT18:BT20 BT22:BT24 BR22:BR24 BP22:BP24 BN22:BN24 BN26:BN28 BP34:BP35 BT26:BT28 BR26:BR28 BP26:BP28 BP30:BP32 BS5:BS35 BO5:BO35 BQ5:BQ35 BN30:BN32 BT30:BT32 BR30:BR32 BI31:BI32 BM5:BM35 BF5:BL6 BI7:BI8 BJ7 BL7 BH7 BF7:BG8 BK7:BK8 BF9:BL10 BI11:BI12 BJ11 BL11 BH11 BF11:BG12 BK11:BK12 BF13:BL14 BI15:BI16 BJ15 BL15 BH15 BF15:BG16 BK15:BK16 BF17:BL18 BI19:BI20 BJ19 BL19 BF19 BH19 BG19:BG20 BK19:BK20 BF21:BL22 BI23:BI24 BJ23 BL23 BF23 BH23 BG23:BG24 BK23:BK24 BF25:BL26 BI27:BI28 BJ27 BL27 BF27 BH27 BG27:BG28 BK27:BK28 BF29:BL30 BA34:BA35 BJ31 BL31 BF31 BH31 BG31:BG32 BK31:BK32 AW5:AW35 BE5:BE35 AX5:BD5 BA6:BA7 BB6 BD6 AX6 AZ6 AY6:AY7 BC6:BC7 AX8:BD9 BA10:BA11 BB10 BD10 AX10 AZ10 AY10:AY11 BC10:BC11 AX12:BD13 BA14:BA15 BB14 BD14 AX14 AZ14 AY14:AY15 BC14:BC15 AX16:BD17 BA18:BA19 BB18 BD18 AX18 AZ18 AY18:AY19 BC18:BC19 AX20:BD21 BA22:BA23 BB22 BD22 AX22 AZ22 AY22:AY23 BC22:BC23 AX24:BD25 BA26:BA27 BB26 BD26 AX26 AZ26 AY26:AY27 BC26:BC27 AX28:BD29 BA30:BA31 BB30 BD30 AX30 AZ30 AY30:AY31 BC30:BC31 AX32:BD33 BB34 BD34 AX34 AZ34 AY34:AY35 BC34:BC35 BF33:BL35 D24:AG25 D5:X13 D18:AC18 AF18:AG18 D26:AO35 D14:P15 AD5:AE18 D16:X17 BN5:BN16</xm:sqref>
        </x14:dataValidation>
        <x14:dataValidation type="list" allowBlank="1" showInputMessage="1" showErrorMessage="1" xr:uid="{00000000-0002-0000-0900-000006000000}">
          <x14:formula1>
            <xm:f>מיילים!$M$2:$M$40</xm:f>
          </x14:formula1>
          <xm:sqref>X3:AO3</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K38"/>
  <sheetViews>
    <sheetView rightToLeft="1" zoomScale="80" zoomScaleNormal="80" workbookViewId="0">
      <pane ySplit="4" topLeftCell="A5" activePane="bottomLeft" state="frozen"/>
      <selection pane="bottomLeft" activeCell="D5" sqref="D5"/>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29" width="4.625" style="1" customWidth="1"/>
    <col min="30" max="30" width="8.625" style="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297</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581" t="s">
        <v>248</v>
      </c>
      <c r="AU1" s="338"/>
      <c r="AV1" s="339"/>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581" t="s">
        <v>248</v>
      </c>
      <c r="CD1" s="338"/>
      <c r="CE1" s="339"/>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40"/>
      <c r="CD2" s="341"/>
      <c r="CE2" s="342"/>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518" t="s">
        <v>174</v>
      </c>
      <c r="Y3" s="519"/>
      <c r="Z3" s="390"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5"/>
      <c r="BO3" s="533" t="s">
        <v>21</v>
      </c>
      <c r="BP3" s="534"/>
      <c r="BQ3" s="533" t="s">
        <v>23</v>
      </c>
      <c r="BR3" s="534"/>
      <c r="BS3" s="535" t="s">
        <v>28</v>
      </c>
      <c r="BT3" s="536"/>
      <c r="BU3" s="393"/>
      <c r="BV3" s="394"/>
      <c r="BW3" s="395" t="s">
        <v>30</v>
      </c>
      <c r="BX3" s="395"/>
      <c r="BY3" s="395" t="s">
        <v>31</v>
      </c>
      <c r="BZ3" s="395"/>
      <c r="CA3" s="396" t="s">
        <v>227</v>
      </c>
      <c r="CB3" s="397"/>
      <c r="CC3" s="340"/>
      <c r="CD3" s="341"/>
      <c r="CE3" s="342"/>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384"/>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2"/>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43"/>
      <c r="CD4" s="344"/>
      <c r="CE4" s="342"/>
      <c r="CF4" s="24" t="s">
        <v>38</v>
      </c>
      <c r="CG4" s="23" t="s">
        <v>39</v>
      </c>
      <c r="CH4" s="95" t="s">
        <v>36</v>
      </c>
      <c r="CI4" s="95" t="s">
        <v>37</v>
      </c>
      <c r="CJ4" s="412"/>
      <c r="CK4" s="413"/>
    </row>
    <row r="5" spans="1:89" ht="15" customHeight="1">
      <c r="A5" s="142">
        <v>1</v>
      </c>
      <c r="B5" s="151" t="s">
        <v>132</v>
      </c>
      <c r="C5" s="605">
        <v>44</v>
      </c>
      <c r="D5" s="250"/>
      <c r="E5" s="251"/>
      <c r="F5" s="84"/>
      <c r="G5" s="80"/>
      <c r="H5" s="133"/>
      <c r="I5" s="80"/>
      <c r="J5" s="84"/>
      <c r="K5" s="80"/>
      <c r="L5" s="133"/>
      <c r="M5" s="80"/>
      <c r="N5" s="84"/>
      <c r="O5" s="87"/>
      <c r="P5" s="84"/>
      <c r="Q5" s="80"/>
      <c r="R5" s="133"/>
      <c r="S5" s="80"/>
      <c r="T5" s="133"/>
      <c r="U5" s="80"/>
      <c r="V5" s="133"/>
      <c r="W5" s="80"/>
      <c r="X5" s="97"/>
      <c r="Y5" s="80"/>
      <c r="Z5" s="84"/>
      <c r="AA5" s="80"/>
      <c r="AB5" s="84"/>
      <c r="AC5" s="80"/>
      <c r="AD5" s="97"/>
      <c r="AE5" s="80"/>
      <c r="AF5" s="84"/>
      <c r="AG5" s="80"/>
      <c r="AH5" s="84"/>
      <c r="AI5" s="80"/>
      <c r="AJ5" s="84"/>
      <c r="AK5" s="80"/>
      <c r="AL5" s="84"/>
      <c r="AM5" s="80"/>
      <c r="AN5" s="84"/>
      <c r="AO5" s="80"/>
      <c r="AP5" s="591"/>
      <c r="AQ5" s="592"/>
      <c r="AR5" s="33"/>
      <c r="AS5" s="34"/>
      <c r="AT5" s="142">
        <v>1</v>
      </c>
      <c r="AU5" s="151" t="s">
        <v>132</v>
      </c>
      <c r="AV5" s="506">
        <v>45</v>
      </c>
      <c r="AW5" s="84"/>
      <c r="AX5" s="74" t="s">
        <v>34</v>
      </c>
      <c r="AY5" s="69"/>
      <c r="AZ5" s="74" t="s">
        <v>34</v>
      </c>
      <c r="BA5" s="69"/>
      <c r="BB5" s="74" t="s">
        <v>34</v>
      </c>
      <c r="BC5" s="97"/>
      <c r="BD5" s="74" t="s">
        <v>34</v>
      </c>
      <c r="BE5" s="84"/>
      <c r="BF5" s="67" t="s">
        <v>33</v>
      </c>
      <c r="BG5" s="69"/>
      <c r="BH5" s="67" t="s">
        <v>33</v>
      </c>
      <c r="BI5" s="69"/>
      <c r="BJ5" s="72" t="s">
        <v>33</v>
      </c>
      <c r="BK5" s="97"/>
      <c r="BL5" s="67" t="s">
        <v>33</v>
      </c>
      <c r="BM5" s="37"/>
      <c r="BN5" s="74"/>
      <c r="BO5" s="72"/>
      <c r="BP5" s="74"/>
      <c r="BQ5" s="72"/>
      <c r="BR5" s="72"/>
      <c r="BS5" s="78"/>
      <c r="BT5" s="74"/>
      <c r="BU5" s="96"/>
      <c r="BV5" s="67"/>
      <c r="BW5" s="69"/>
      <c r="BX5" s="67"/>
      <c r="BY5" s="69"/>
      <c r="BZ5" s="69"/>
      <c r="CA5" s="97"/>
      <c r="CB5" s="67"/>
      <c r="CC5" s="142">
        <v>1</v>
      </c>
      <c r="CD5" s="151" t="s">
        <v>132</v>
      </c>
      <c r="CE5" s="506">
        <v>44</v>
      </c>
      <c r="CF5" s="311">
        <f t="shared" ref="CF5:CF34" si="0">COUNTIF(AX5:CB5,"י")+COUNTIF(AX5:CB5,"Y")+COUNTIF(AX5:CB5,"2")</f>
        <v>4</v>
      </c>
      <c r="CG5" s="76">
        <f t="shared" ref="CG5:CG34" si="1">COUNTIF(AW5:CB5,"ל")+COUNTIF(AW5:CB5,"L")+COUNTIF(AW5:CB5,"ל2")</f>
        <v>4</v>
      </c>
      <c r="CH5" s="93"/>
      <c r="CI5" s="94"/>
      <c r="CJ5" s="449"/>
      <c r="CK5" s="450"/>
    </row>
    <row r="6" spans="1:89" ht="15" customHeight="1">
      <c r="A6" s="142">
        <v>2</v>
      </c>
      <c r="B6" s="151" t="s">
        <v>133</v>
      </c>
      <c r="C6" s="606"/>
      <c r="D6" s="14"/>
      <c r="E6" s="65"/>
      <c r="F6" s="14"/>
      <c r="G6" s="65"/>
      <c r="H6" s="14"/>
      <c r="I6" s="65"/>
      <c r="J6" s="14"/>
      <c r="K6" s="65"/>
      <c r="L6" s="14"/>
      <c r="M6" s="65"/>
      <c r="N6" s="14"/>
      <c r="O6" s="58"/>
      <c r="P6" s="14"/>
      <c r="Q6" s="65"/>
      <c r="R6" s="15"/>
      <c r="S6" s="65"/>
      <c r="T6" s="15"/>
      <c r="U6" s="65"/>
      <c r="V6" s="15"/>
      <c r="W6" s="65"/>
      <c r="X6" s="15"/>
      <c r="Y6" s="65"/>
      <c r="Z6" s="14"/>
      <c r="AA6" s="65"/>
      <c r="AB6" s="14"/>
      <c r="AC6" s="65"/>
      <c r="AD6" s="15"/>
      <c r="AE6" s="65"/>
      <c r="AF6" s="14"/>
      <c r="AG6" s="65"/>
      <c r="AH6" s="14"/>
      <c r="AI6" s="65"/>
      <c r="AJ6" s="14"/>
      <c r="AK6" s="65"/>
      <c r="AL6" s="14"/>
      <c r="AM6" s="65"/>
      <c r="AN6" s="14"/>
      <c r="AO6" s="65"/>
      <c r="AP6" s="591"/>
      <c r="AQ6" s="592"/>
      <c r="AR6" s="33"/>
      <c r="AS6" s="34"/>
      <c r="AT6" s="142">
        <v>2</v>
      </c>
      <c r="AU6" s="151" t="s">
        <v>133</v>
      </c>
      <c r="AV6" s="507"/>
      <c r="AW6" s="14"/>
      <c r="AX6" s="70"/>
      <c r="AY6" s="72"/>
      <c r="AZ6" s="70"/>
      <c r="BA6" s="72"/>
      <c r="BB6" s="72"/>
      <c r="BC6" s="58"/>
      <c r="BD6" s="70"/>
      <c r="BE6" s="14"/>
      <c r="BF6" s="74" t="s">
        <v>34</v>
      </c>
      <c r="BG6" s="69"/>
      <c r="BH6" s="74" t="s">
        <v>34</v>
      </c>
      <c r="BI6" s="69"/>
      <c r="BJ6" s="74" t="s">
        <v>34</v>
      </c>
      <c r="BK6" s="97"/>
      <c r="BL6" s="74" t="s">
        <v>34</v>
      </c>
      <c r="BM6" s="37"/>
      <c r="BN6" s="67" t="s">
        <v>33</v>
      </c>
      <c r="BO6" s="69"/>
      <c r="BP6" s="67" t="s">
        <v>33</v>
      </c>
      <c r="BQ6" s="69"/>
      <c r="BR6" s="72" t="s">
        <v>33</v>
      </c>
      <c r="BS6" s="97"/>
      <c r="BT6" s="67" t="s">
        <v>33</v>
      </c>
      <c r="BU6" s="96"/>
      <c r="BV6" s="67"/>
      <c r="BW6" s="69"/>
      <c r="BX6" s="67"/>
      <c r="BY6" s="69"/>
      <c r="BZ6" s="69"/>
      <c r="CA6" s="97"/>
      <c r="CB6" s="67"/>
      <c r="CC6" s="142">
        <v>2</v>
      </c>
      <c r="CD6" s="151" t="s">
        <v>133</v>
      </c>
      <c r="CE6" s="507"/>
      <c r="CF6" s="311">
        <f t="shared" si="0"/>
        <v>4</v>
      </c>
      <c r="CG6" s="76">
        <f t="shared" si="1"/>
        <v>4</v>
      </c>
      <c r="CH6" s="27"/>
      <c r="CI6" s="28"/>
      <c r="CJ6" s="449"/>
      <c r="CK6" s="450"/>
    </row>
    <row r="7" spans="1:89" ht="15" customHeight="1">
      <c r="A7" s="142">
        <v>3</v>
      </c>
      <c r="B7" s="151" t="s">
        <v>127</v>
      </c>
      <c r="C7" s="606"/>
      <c r="D7" s="14"/>
      <c r="E7" s="65"/>
      <c r="F7" s="14"/>
      <c r="G7" s="65"/>
      <c r="H7" s="112"/>
      <c r="I7" s="65"/>
      <c r="J7" s="14"/>
      <c r="K7" s="65"/>
      <c r="L7" s="112"/>
      <c r="M7" s="65"/>
      <c r="N7" s="14"/>
      <c r="O7" s="58"/>
      <c r="P7" s="14"/>
      <c r="Q7" s="65"/>
      <c r="R7" s="112"/>
      <c r="S7" s="65"/>
      <c r="T7" s="112"/>
      <c r="U7" s="65"/>
      <c r="V7" s="112"/>
      <c r="W7" s="65"/>
      <c r="X7" s="300" t="s">
        <v>147</v>
      </c>
      <c r="Y7" s="65"/>
      <c r="Z7" s="14"/>
      <c r="AA7" s="65"/>
      <c r="AB7" s="14"/>
      <c r="AC7" s="65"/>
      <c r="AD7" s="15"/>
      <c r="AE7" s="65"/>
      <c r="AF7" s="14"/>
      <c r="AG7" s="65"/>
      <c r="AH7" s="14"/>
      <c r="AI7" s="65"/>
      <c r="AJ7" s="14"/>
      <c r="AK7" s="65"/>
      <c r="AL7" s="14"/>
      <c r="AM7" s="65"/>
      <c r="AN7" s="14"/>
      <c r="AO7" s="65"/>
      <c r="AP7" s="591"/>
      <c r="AQ7" s="592"/>
      <c r="AR7" s="33"/>
      <c r="AS7" s="34"/>
      <c r="AT7" s="142">
        <v>3</v>
      </c>
      <c r="AU7" s="151" t="s">
        <v>127</v>
      </c>
      <c r="AV7" s="507"/>
      <c r="AW7" s="14"/>
      <c r="AX7" s="70"/>
      <c r="AY7" s="72"/>
      <c r="AZ7" s="70"/>
      <c r="BA7" s="72"/>
      <c r="BB7" s="72"/>
      <c r="BC7" s="58"/>
      <c r="BD7" s="70"/>
      <c r="BE7" s="14"/>
      <c r="BF7" s="70"/>
      <c r="BG7" s="72"/>
      <c r="BH7" s="70"/>
      <c r="BI7" s="72"/>
      <c r="BJ7" s="72"/>
      <c r="BK7" s="58"/>
      <c r="BL7" s="70"/>
      <c r="BM7" s="37"/>
      <c r="BN7" s="74" t="s">
        <v>34</v>
      </c>
      <c r="BO7" s="69"/>
      <c r="BP7" s="74" t="s">
        <v>34</v>
      </c>
      <c r="BQ7" s="69"/>
      <c r="BR7" s="74" t="s">
        <v>34</v>
      </c>
      <c r="BS7" s="97"/>
      <c r="BT7" s="74" t="s">
        <v>34</v>
      </c>
      <c r="BU7" s="96"/>
      <c r="BV7" s="67"/>
      <c r="BW7" s="69"/>
      <c r="BX7" s="67" t="s">
        <v>33</v>
      </c>
      <c r="BY7" s="69"/>
      <c r="BZ7" s="72" t="s">
        <v>33</v>
      </c>
      <c r="CA7" s="97"/>
      <c r="CB7" s="67" t="s">
        <v>33</v>
      </c>
      <c r="CC7" s="142">
        <v>3</v>
      </c>
      <c r="CD7" s="151" t="s">
        <v>127</v>
      </c>
      <c r="CE7" s="507"/>
      <c r="CF7" s="311">
        <f t="shared" si="0"/>
        <v>3</v>
      </c>
      <c r="CG7" s="76">
        <f t="shared" si="1"/>
        <v>4</v>
      </c>
      <c r="CH7" s="27"/>
      <c r="CI7" s="28"/>
      <c r="CJ7" s="449"/>
      <c r="CK7" s="450"/>
    </row>
    <row r="8" spans="1:89" ht="15" customHeight="1">
      <c r="A8" s="142">
        <v>4</v>
      </c>
      <c r="B8" s="151" t="s">
        <v>128</v>
      </c>
      <c r="C8" s="606"/>
      <c r="D8" s="14"/>
      <c r="E8" s="65"/>
      <c r="F8" s="14"/>
      <c r="G8" s="65"/>
      <c r="H8" s="14"/>
      <c r="I8" s="65"/>
      <c r="J8" s="14"/>
      <c r="K8" s="65"/>
      <c r="L8" s="14"/>
      <c r="M8" s="65"/>
      <c r="N8" s="14"/>
      <c r="O8" s="58"/>
      <c r="P8" s="14"/>
      <c r="Q8" s="65"/>
      <c r="R8" s="15"/>
      <c r="S8" s="65"/>
      <c r="T8" s="15"/>
      <c r="U8" s="65"/>
      <c r="V8" s="15"/>
      <c r="W8" s="65"/>
      <c r="X8" s="15"/>
      <c r="Y8" s="65"/>
      <c r="Z8" s="14"/>
      <c r="AA8" s="65"/>
      <c r="AB8" s="14"/>
      <c r="AC8" s="65"/>
      <c r="AD8" s="15"/>
      <c r="AE8" s="65"/>
      <c r="AF8" s="14"/>
      <c r="AG8" s="65"/>
      <c r="AH8" s="14"/>
      <c r="AI8" s="65"/>
      <c r="AJ8" s="14"/>
      <c r="AK8" s="65"/>
      <c r="AL8" s="14"/>
      <c r="AM8" s="65"/>
      <c r="AN8" s="14"/>
      <c r="AO8" s="65"/>
      <c r="AP8" s="591"/>
      <c r="AQ8" s="592"/>
      <c r="AR8" s="33"/>
      <c r="AS8" s="34"/>
      <c r="AT8" s="142">
        <v>4</v>
      </c>
      <c r="AU8" s="151" t="s">
        <v>128</v>
      </c>
      <c r="AV8" s="507"/>
      <c r="AW8" s="14"/>
      <c r="AX8" s="67" t="s">
        <v>33</v>
      </c>
      <c r="AY8" s="69"/>
      <c r="AZ8" s="67" t="s">
        <v>33</v>
      </c>
      <c r="BA8" s="69"/>
      <c r="BB8" s="72" t="s">
        <v>33</v>
      </c>
      <c r="BC8" s="97"/>
      <c r="BD8" s="67" t="s">
        <v>33</v>
      </c>
      <c r="BE8" s="14"/>
      <c r="BF8" s="70"/>
      <c r="BG8" s="72"/>
      <c r="BH8" s="70"/>
      <c r="BI8" s="72"/>
      <c r="BJ8" s="72"/>
      <c r="BK8" s="58"/>
      <c r="BL8" s="70"/>
      <c r="BM8" s="37"/>
      <c r="BN8" s="70"/>
      <c r="BO8" s="72"/>
      <c r="BP8" s="70"/>
      <c r="BQ8" s="72"/>
      <c r="BR8" s="72"/>
      <c r="BS8" s="58"/>
      <c r="BT8" s="70"/>
      <c r="BU8" s="96"/>
      <c r="BV8" s="74"/>
      <c r="BW8" s="69"/>
      <c r="BX8" s="74" t="s">
        <v>34</v>
      </c>
      <c r="BY8" s="69"/>
      <c r="BZ8" s="74" t="s">
        <v>34</v>
      </c>
      <c r="CA8" s="97"/>
      <c r="CB8" s="74" t="s">
        <v>34</v>
      </c>
      <c r="CC8" s="142">
        <v>4</v>
      </c>
      <c r="CD8" s="151" t="s">
        <v>128</v>
      </c>
      <c r="CE8" s="507"/>
      <c r="CF8" s="311">
        <f t="shared" si="0"/>
        <v>4</v>
      </c>
      <c r="CG8" s="76">
        <f t="shared" si="1"/>
        <v>3</v>
      </c>
      <c r="CH8" s="27"/>
      <c r="CI8" s="28"/>
      <c r="CJ8" s="449"/>
      <c r="CK8" s="450"/>
    </row>
    <row r="9" spans="1:89" ht="15" customHeight="1">
      <c r="A9" s="142">
        <v>5</v>
      </c>
      <c r="B9" s="151" t="s">
        <v>129</v>
      </c>
      <c r="C9" s="606"/>
      <c r="D9" s="14"/>
      <c r="E9" s="65"/>
      <c r="F9" s="14"/>
      <c r="G9" s="65"/>
      <c r="H9" s="14"/>
      <c r="I9" s="65"/>
      <c r="J9" s="14"/>
      <c r="K9" s="65"/>
      <c r="L9" s="14"/>
      <c r="M9" s="65"/>
      <c r="N9" s="14"/>
      <c r="O9" s="58"/>
      <c r="P9" s="14"/>
      <c r="Q9" s="65"/>
      <c r="R9" s="15"/>
      <c r="S9" s="65"/>
      <c r="T9" s="15"/>
      <c r="U9" s="65"/>
      <c r="V9" s="15"/>
      <c r="W9" s="65"/>
      <c r="X9" s="15"/>
      <c r="Y9" s="65"/>
      <c r="Z9" s="14"/>
      <c r="AA9" s="65"/>
      <c r="AB9" s="14"/>
      <c r="AC9" s="65"/>
      <c r="AD9" s="15"/>
      <c r="AE9" s="65"/>
      <c r="AF9" s="14"/>
      <c r="AG9" s="65"/>
      <c r="AH9" s="14"/>
      <c r="AI9" s="65"/>
      <c r="AJ9" s="14"/>
      <c r="AK9" s="65"/>
      <c r="AL9" s="14"/>
      <c r="AM9" s="65"/>
      <c r="AN9" s="14"/>
      <c r="AO9" s="65"/>
      <c r="AP9" s="591"/>
      <c r="AQ9" s="592"/>
      <c r="AR9" s="33"/>
      <c r="AS9" s="34"/>
      <c r="AT9" s="142">
        <v>5</v>
      </c>
      <c r="AU9" s="151" t="s">
        <v>129</v>
      </c>
      <c r="AV9" s="507"/>
      <c r="AW9" s="14"/>
      <c r="AX9" s="74" t="s">
        <v>34</v>
      </c>
      <c r="AY9" s="69"/>
      <c r="AZ9" s="74" t="s">
        <v>34</v>
      </c>
      <c r="BA9" s="69"/>
      <c r="BB9" s="74" t="s">
        <v>34</v>
      </c>
      <c r="BC9" s="97"/>
      <c r="BD9" s="74" t="s">
        <v>34</v>
      </c>
      <c r="BE9" s="14"/>
      <c r="BF9" s="67" t="s">
        <v>33</v>
      </c>
      <c r="BG9" s="69"/>
      <c r="BH9" s="67" t="s">
        <v>33</v>
      </c>
      <c r="BI9" s="69"/>
      <c r="BJ9" s="72" t="s">
        <v>33</v>
      </c>
      <c r="BK9" s="97"/>
      <c r="BL9" s="67" t="s">
        <v>33</v>
      </c>
      <c r="BM9" s="37"/>
      <c r="BN9" s="70"/>
      <c r="BO9" s="72"/>
      <c r="BP9" s="70"/>
      <c r="BQ9" s="72"/>
      <c r="BR9" s="72"/>
      <c r="BS9" s="58"/>
      <c r="BT9" s="70"/>
      <c r="BU9" s="96"/>
      <c r="BV9" s="70"/>
      <c r="BW9" s="72"/>
      <c r="BX9" s="70"/>
      <c r="BY9" s="72"/>
      <c r="BZ9" s="72"/>
      <c r="CA9" s="58"/>
      <c r="CB9" s="70"/>
      <c r="CC9" s="142">
        <v>5</v>
      </c>
      <c r="CD9" s="151" t="s">
        <v>129</v>
      </c>
      <c r="CE9" s="507"/>
      <c r="CF9" s="311">
        <f t="shared" si="0"/>
        <v>4</v>
      </c>
      <c r="CG9" s="76">
        <f t="shared" si="1"/>
        <v>4</v>
      </c>
      <c r="CH9" s="27"/>
      <c r="CI9" s="28"/>
      <c r="CJ9" s="449"/>
      <c r="CK9" s="450"/>
    </row>
    <row r="10" spans="1:89" ht="15" customHeight="1">
      <c r="A10" s="22">
        <v>6</v>
      </c>
      <c r="B10" s="13" t="s">
        <v>130</v>
      </c>
      <c r="C10" s="606"/>
      <c r="D10" s="16"/>
      <c r="E10" s="17"/>
      <c r="F10" s="16"/>
      <c r="G10" s="17"/>
      <c r="H10" s="16"/>
      <c r="I10" s="17"/>
      <c r="J10" s="16"/>
      <c r="K10" s="17"/>
      <c r="L10" s="16"/>
      <c r="M10" s="17"/>
      <c r="N10" s="16"/>
      <c r="O10" s="59"/>
      <c r="P10" s="16"/>
      <c r="Q10" s="17"/>
      <c r="R10" s="18"/>
      <c r="S10" s="17"/>
      <c r="T10" s="18"/>
      <c r="U10" s="17"/>
      <c r="V10" s="18"/>
      <c r="W10" s="17"/>
      <c r="X10" s="18"/>
      <c r="Y10" s="17"/>
      <c r="Z10" s="16"/>
      <c r="AA10" s="17"/>
      <c r="AB10" s="16"/>
      <c r="AC10" s="17"/>
      <c r="AD10" s="18"/>
      <c r="AE10" s="17"/>
      <c r="AF10" s="16"/>
      <c r="AG10" s="17"/>
      <c r="AH10" s="16"/>
      <c r="AI10" s="17"/>
      <c r="AJ10" s="16"/>
      <c r="AK10" s="17"/>
      <c r="AL10" s="16"/>
      <c r="AM10" s="17"/>
      <c r="AN10" s="16"/>
      <c r="AO10" s="17"/>
      <c r="AP10" s="593"/>
      <c r="AQ10" s="594"/>
      <c r="AR10" s="104"/>
      <c r="AS10" s="105"/>
      <c r="AT10" s="22">
        <v>6</v>
      </c>
      <c r="AU10" s="13" t="s">
        <v>130</v>
      </c>
      <c r="AV10" s="507"/>
      <c r="AW10" s="16"/>
      <c r="AX10" s="71"/>
      <c r="AY10" s="73"/>
      <c r="AZ10" s="71"/>
      <c r="BA10" s="73"/>
      <c r="BB10" s="73"/>
      <c r="BC10" s="59"/>
      <c r="BD10" s="71"/>
      <c r="BE10" s="16"/>
      <c r="BF10" s="75" t="s">
        <v>34</v>
      </c>
      <c r="BG10" s="68"/>
      <c r="BH10" s="75" t="s">
        <v>34</v>
      </c>
      <c r="BI10" s="68"/>
      <c r="BJ10" s="75" t="s">
        <v>34</v>
      </c>
      <c r="BK10" s="83"/>
      <c r="BL10" s="75" t="s">
        <v>34</v>
      </c>
      <c r="BM10" s="38"/>
      <c r="BN10" s="66" t="s">
        <v>33</v>
      </c>
      <c r="BO10" s="68"/>
      <c r="BP10" s="66" t="s">
        <v>33</v>
      </c>
      <c r="BQ10" s="68"/>
      <c r="BR10" s="73" t="s">
        <v>33</v>
      </c>
      <c r="BS10" s="83"/>
      <c r="BT10" s="71" t="s">
        <v>33</v>
      </c>
      <c r="BU10" s="108"/>
      <c r="BV10" s="71"/>
      <c r="BW10" s="73"/>
      <c r="BX10" s="71"/>
      <c r="BY10" s="73"/>
      <c r="BZ10" s="73"/>
      <c r="CA10" s="59"/>
      <c r="CB10" s="71"/>
      <c r="CC10" s="22">
        <v>6</v>
      </c>
      <c r="CD10" s="13" t="s">
        <v>130</v>
      </c>
      <c r="CE10" s="507"/>
      <c r="CF10" s="311">
        <f t="shared" si="0"/>
        <v>4</v>
      </c>
      <c r="CG10" s="76">
        <f t="shared" si="1"/>
        <v>4</v>
      </c>
      <c r="CH10" s="27"/>
      <c r="CI10" s="28"/>
      <c r="CJ10" s="449"/>
      <c r="CK10" s="450"/>
    </row>
    <row r="11" spans="1:89" ht="15" customHeight="1">
      <c r="A11" s="22">
        <v>7</v>
      </c>
      <c r="B11" s="13" t="s">
        <v>131</v>
      </c>
      <c r="C11" s="607"/>
      <c r="D11" s="16"/>
      <c r="E11" s="17"/>
      <c r="F11" s="16"/>
      <c r="G11" s="17"/>
      <c r="H11" s="16"/>
      <c r="I11" s="17"/>
      <c r="J11" s="16"/>
      <c r="K11" s="17"/>
      <c r="L11" s="16"/>
      <c r="M11" s="17"/>
      <c r="N11" s="16"/>
      <c r="O11" s="59"/>
      <c r="P11" s="16"/>
      <c r="Q11" s="17"/>
      <c r="R11" s="18"/>
      <c r="S11" s="17"/>
      <c r="T11" s="18"/>
      <c r="U11" s="17"/>
      <c r="V11" s="18"/>
      <c r="W11" s="17"/>
      <c r="X11" s="18"/>
      <c r="Y11" s="17"/>
      <c r="Z11" s="16"/>
      <c r="AA11" s="17"/>
      <c r="AB11" s="16"/>
      <c r="AC11" s="17"/>
      <c r="AD11" s="18"/>
      <c r="AE11" s="17"/>
      <c r="AF11" s="16"/>
      <c r="AG11" s="17"/>
      <c r="AH11" s="16"/>
      <c r="AI11" s="17"/>
      <c r="AJ11" s="16"/>
      <c r="AK11" s="17"/>
      <c r="AL11" s="16"/>
      <c r="AM11" s="17"/>
      <c r="AN11" s="16"/>
      <c r="AO11" s="17"/>
      <c r="AP11" s="593"/>
      <c r="AQ11" s="594"/>
      <c r="AR11" s="104"/>
      <c r="AS11" s="105"/>
      <c r="AT11" s="22">
        <v>7</v>
      </c>
      <c r="AU11" s="13" t="s">
        <v>131</v>
      </c>
      <c r="AV11" s="508"/>
      <c r="AW11" s="16"/>
      <c r="AX11" s="71"/>
      <c r="AY11" s="73"/>
      <c r="AZ11" s="71"/>
      <c r="BA11" s="73"/>
      <c r="BB11" s="73"/>
      <c r="BC11" s="59"/>
      <c r="BD11" s="71"/>
      <c r="BE11" s="16"/>
      <c r="BF11" s="71"/>
      <c r="BG11" s="73"/>
      <c r="BH11" s="71"/>
      <c r="BI11" s="73"/>
      <c r="BJ11" s="73"/>
      <c r="BK11" s="59"/>
      <c r="BL11" s="71"/>
      <c r="BM11" s="38"/>
      <c r="BN11" s="75" t="s">
        <v>34</v>
      </c>
      <c r="BO11" s="68"/>
      <c r="BP11" s="75" t="s">
        <v>34</v>
      </c>
      <c r="BQ11" s="68"/>
      <c r="BR11" s="75" t="s">
        <v>34</v>
      </c>
      <c r="BS11" s="83"/>
      <c r="BT11" s="75" t="s">
        <v>34</v>
      </c>
      <c r="BU11" s="108"/>
      <c r="BV11" s="66"/>
      <c r="BW11" s="68"/>
      <c r="BX11" s="66" t="s">
        <v>33</v>
      </c>
      <c r="BY11" s="68"/>
      <c r="BZ11" s="73" t="s">
        <v>33</v>
      </c>
      <c r="CA11" s="83"/>
      <c r="CB11" s="66" t="s">
        <v>33</v>
      </c>
      <c r="CC11" s="22">
        <v>7</v>
      </c>
      <c r="CD11" s="13" t="s">
        <v>131</v>
      </c>
      <c r="CE11" s="508"/>
      <c r="CF11" s="311">
        <f t="shared" si="0"/>
        <v>3</v>
      </c>
      <c r="CG11" s="76">
        <f t="shared" si="1"/>
        <v>4</v>
      </c>
      <c r="CH11" s="27"/>
      <c r="CI11" s="28"/>
      <c r="CJ11" s="449"/>
      <c r="CK11" s="450"/>
    </row>
    <row r="12" spans="1:89" ht="15" customHeight="1">
      <c r="A12" s="142">
        <v>8</v>
      </c>
      <c r="B12" s="151" t="s">
        <v>132</v>
      </c>
      <c r="C12" s="605">
        <v>45</v>
      </c>
      <c r="D12" s="14"/>
      <c r="E12" s="65"/>
      <c r="F12" s="14"/>
      <c r="G12" s="65"/>
      <c r="H12" s="112"/>
      <c r="I12" s="65"/>
      <c r="J12" s="14"/>
      <c r="K12" s="65"/>
      <c r="L12" s="112"/>
      <c r="M12" s="65"/>
      <c r="N12" s="14"/>
      <c r="O12" s="58"/>
      <c r="P12" s="14"/>
      <c r="Q12" s="65"/>
      <c r="R12" s="112"/>
      <c r="S12" s="65"/>
      <c r="T12" s="112"/>
      <c r="U12" s="65"/>
      <c r="V12" s="112"/>
      <c r="W12" s="65"/>
      <c r="X12" s="15"/>
      <c r="Y12" s="65"/>
      <c r="Z12" s="14"/>
      <c r="AA12" s="65"/>
      <c r="AB12" s="14"/>
      <c r="AC12" s="65"/>
      <c r="AD12" s="15"/>
      <c r="AE12" s="65"/>
      <c r="AF12" s="14"/>
      <c r="AG12" s="65"/>
      <c r="AH12" s="14"/>
      <c r="AI12" s="65"/>
      <c r="AJ12" s="14"/>
      <c r="AK12" s="65"/>
      <c r="AL12" s="14"/>
      <c r="AM12" s="65"/>
      <c r="AN12" s="14"/>
      <c r="AO12" s="65"/>
      <c r="AP12" s="595"/>
      <c r="AQ12" s="596"/>
      <c r="AR12" s="33"/>
      <c r="AS12" s="34"/>
      <c r="AT12" s="142">
        <v>8</v>
      </c>
      <c r="AU12" s="151" t="s">
        <v>132</v>
      </c>
      <c r="AV12" s="506">
        <v>46</v>
      </c>
      <c r="AW12" s="14"/>
      <c r="AX12" s="67" t="s">
        <v>33</v>
      </c>
      <c r="AY12" s="69"/>
      <c r="AZ12" s="67" t="s">
        <v>33</v>
      </c>
      <c r="BA12" s="69"/>
      <c r="BB12" s="72" t="s">
        <v>33</v>
      </c>
      <c r="BC12" s="97"/>
      <c r="BD12" s="67" t="s">
        <v>33</v>
      </c>
      <c r="BE12" s="14"/>
      <c r="BF12" s="70"/>
      <c r="BG12" s="72"/>
      <c r="BH12" s="70"/>
      <c r="BI12" s="72"/>
      <c r="BJ12" s="72"/>
      <c r="BK12" s="58"/>
      <c r="BL12" s="70"/>
      <c r="BM12" s="37"/>
      <c r="BN12" s="70"/>
      <c r="BO12" s="72"/>
      <c r="BP12" s="70"/>
      <c r="BQ12" s="72"/>
      <c r="BR12" s="72"/>
      <c r="BS12" s="58"/>
      <c r="BT12" s="70"/>
      <c r="BU12" s="96"/>
      <c r="BV12" s="74"/>
      <c r="BW12" s="69"/>
      <c r="BX12" s="74" t="s">
        <v>34</v>
      </c>
      <c r="BY12" s="69"/>
      <c r="BZ12" s="74" t="s">
        <v>34</v>
      </c>
      <c r="CA12" s="97"/>
      <c r="CB12" s="74" t="s">
        <v>34</v>
      </c>
      <c r="CC12" s="142">
        <v>8</v>
      </c>
      <c r="CD12" s="151" t="s">
        <v>132</v>
      </c>
      <c r="CE12" s="506">
        <v>45</v>
      </c>
      <c r="CF12" s="311">
        <f t="shared" si="0"/>
        <v>4</v>
      </c>
      <c r="CG12" s="76">
        <f t="shared" si="1"/>
        <v>3</v>
      </c>
      <c r="CH12" s="27"/>
      <c r="CI12" s="28"/>
      <c r="CJ12" s="449"/>
      <c r="CK12" s="450"/>
    </row>
    <row r="13" spans="1:89" ht="15" customHeight="1">
      <c r="A13" s="142">
        <v>9</v>
      </c>
      <c r="B13" s="151" t="s">
        <v>133</v>
      </c>
      <c r="C13" s="606"/>
      <c r="D13" s="14"/>
      <c r="E13" s="65"/>
      <c r="F13" s="14"/>
      <c r="G13" s="65"/>
      <c r="H13" s="14"/>
      <c r="I13" s="65"/>
      <c r="J13" s="14"/>
      <c r="K13" s="65"/>
      <c r="L13" s="14"/>
      <c r="M13" s="65"/>
      <c r="N13" s="14"/>
      <c r="O13" s="58"/>
      <c r="P13" s="14"/>
      <c r="Q13" s="65"/>
      <c r="R13" s="15"/>
      <c r="S13" s="65"/>
      <c r="T13" s="15"/>
      <c r="U13" s="65"/>
      <c r="V13" s="15"/>
      <c r="W13" s="65"/>
      <c r="X13" s="15"/>
      <c r="Y13" s="65"/>
      <c r="Z13" s="14"/>
      <c r="AA13" s="65"/>
      <c r="AB13" s="14"/>
      <c r="AC13" s="65"/>
      <c r="AD13" s="15"/>
      <c r="AE13" s="65"/>
      <c r="AF13" s="14"/>
      <c r="AG13" s="65"/>
      <c r="AH13" s="14"/>
      <c r="AI13" s="65"/>
      <c r="AJ13" s="14"/>
      <c r="AK13" s="65"/>
      <c r="AL13" s="14"/>
      <c r="AM13" s="65"/>
      <c r="AN13" s="14"/>
      <c r="AO13" s="65"/>
      <c r="AP13" s="595"/>
      <c r="AQ13" s="596"/>
      <c r="AR13" s="33"/>
      <c r="AS13" s="34"/>
      <c r="AT13" s="142">
        <v>9</v>
      </c>
      <c r="AU13" s="151" t="s">
        <v>133</v>
      </c>
      <c r="AV13" s="507"/>
      <c r="AW13" s="14"/>
      <c r="AX13" s="74" t="s">
        <v>34</v>
      </c>
      <c r="AY13" s="69"/>
      <c r="AZ13" s="74" t="s">
        <v>34</v>
      </c>
      <c r="BA13" s="69"/>
      <c r="BB13" s="74" t="s">
        <v>34</v>
      </c>
      <c r="BC13" s="97"/>
      <c r="BD13" s="74" t="s">
        <v>34</v>
      </c>
      <c r="BE13" s="14"/>
      <c r="BF13" s="67" t="s">
        <v>33</v>
      </c>
      <c r="BG13" s="69"/>
      <c r="BH13" s="67" t="s">
        <v>33</v>
      </c>
      <c r="BI13" s="69"/>
      <c r="BJ13" s="72" t="s">
        <v>33</v>
      </c>
      <c r="BK13" s="97"/>
      <c r="BL13" s="67" t="s">
        <v>33</v>
      </c>
      <c r="BM13" s="37"/>
      <c r="BN13" s="70"/>
      <c r="BO13" s="72"/>
      <c r="BP13" s="70"/>
      <c r="BQ13" s="72"/>
      <c r="BR13" s="72"/>
      <c r="BS13" s="58"/>
      <c r="BT13" s="70"/>
      <c r="BU13" s="96"/>
      <c r="BV13" s="70"/>
      <c r="BW13" s="72"/>
      <c r="BX13" s="70"/>
      <c r="BY13" s="72"/>
      <c r="BZ13" s="72"/>
      <c r="CA13" s="58"/>
      <c r="CB13" s="70"/>
      <c r="CC13" s="142">
        <v>9</v>
      </c>
      <c r="CD13" s="151" t="s">
        <v>133</v>
      </c>
      <c r="CE13" s="507"/>
      <c r="CF13" s="311">
        <f t="shared" si="0"/>
        <v>4</v>
      </c>
      <c r="CG13" s="76">
        <f t="shared" si="1"/>
        <v>4</v>
      </c>
      <c r="CH13" s="27"/>
      <c r="CI13" s="28"/>
      <c r="CJ13" s="449"/>
      <c r="CK13" s="450"/>
    </row>
    <row r="14" spans="1:89" ht="15" customHeight="1">
      <c r="A14" s="142">
        <v>10</v>
      </c>
      <c r="B14" s="151" t="s">
        <v>127</v>
      </c>
      <c r="C14" s="606"/>
      <c r="D14" s="14"/>
      <c r="E14" s="65"/>
      <c r="F14" s="14"/>
      <c r="G14" s="65"/>
      <c r="H14" s="112"/>
      <c r="I14" s="65"/>
      <c r="J14" s="14"/>
      <c r="K14" s="65"/>
      <c r="L14" s="112"/>
      <c r="M14" s="65"/>
      <c r="N14" s="14"/>
      <c r="O14" s="58"/>
      <c r="P14" s="14"/>
      <c r="Q14" s="65"/>
      <c r="R14" s="112"/>
      <c r="S14" s="65"/>
      <c r="T14" s="112"/>
      <c r="U14" s="65"/>
      <c r="V14" s="112"/>
      <c r="W14" s="65"/>
      <c r="X14" s="15"/>
      <c r="Y14" s="65"/>
      <c r="Z14" s="14"/>
      <c r="AA14" s="65"/>
      <c r="AB14" s="14"/>
      <c r="AC14" s="65"/>
      <c r="AD14" s="15"/>
      <c r="AE14" s="65"/>
      <c r="AF14" s="14"/>
      <c r="AG14" s="65"/>
      <c r="AH14" s="14"/>
      <c r="AI14" s="65"/>
      <c r="AJ14" s="14"/>
      <c r="AK14" s="65"/>
      <c r="AL14" s="14"/>
      <c r="AM14" s="65"/>
      <c r="AN14" s="14"/>
      <c r="AO14" s="65"/>
      <c r="AP14" s="595"/>
      <c r="AQ14" s="596"/>
      <c r="AR14" s="33"/>
      <c r="AS14" s="34"/>
      <c r="AT14" s="142">
        <v>10</v>
      </c>
      <c r="AU14" s="151" t="s">
        <v>127</v>
      </c>
      <c r="AV14" s="507"/>
      <c r="AW14" s="14"/>
      <c r="AX14" s="70"/>
      <c r="AY14" s="72"/>
      <c r="AZ14" s="70"/>
      <c r="BA14" s="72"/>
      <c r="BB14" s="72"/>
      <c r="BC14" s="58"/>
      <c r="BD14" s="70"/>
      <c r="BE14" s="14"/>
      <c r="BF14" s="74" t="s">
        <v>34</v>
      </c>
      <c r="BG14" s="69"/>
      <c r="BH14" s="74" t="s">
        <v>34</v>
      </c>
      <c r="BI14" s="69"/>
      <c r="BJ14" s="74" t="s">
        <v>34</v>
      </c>
      <c r="BK14" s="97"/>
      <c r="BL14" s="74" t="s">
        <v>34</v>
      </c>
      <c r="BM14" s="37"/>
      <c r="BN14" s="67" t="s">
        <v>33</v>
      </c>
      <c r="BO14" s="69"/>
      <c r="BP14" s="67" t="s">
        <v>33</v>
      </c>
      <c r="BQ14" s="69"/>
      <c r="BR14" s="72" t="s">
        <v>33</v>
      </c>
      <c r="BS14" s="97"/>
      <c r="BT14" s="67" t="s">
        <v>33</v>
      </c>
      <c r="BU14" s="96"/>
      <c r="BV14" s="70"/>
      <c r="BW14" s="72"/>
      <c r="BX14" s="70"/>
      <c r="BY14" s="72"/>
      <c r="BZ14" s="72"/>
      <c r="CA14" s="58"/>
      <c r="CB14" s="70"/>
      <c r="CC14" s="142">
        <v>10</v>
      </c>
      <c r="CD14" s="151" t="s">
        <v>127</v>
      </c>
      <c r="CE14" s="507"/>
      <c r="CF14" s="311">
        <f t="shared" si="0"/>
        <v>4</v>
      </c>
      <c r="CG14" s="76">
        <f t="shared" si="1"/>
        <v>4</v>
      </c>
      <c r="CH14" s="27"/>
      <c r="CI14" s="28"/>
      <c r="CJ14" s="449"/>
      <c r="CK14" s="450"/>
    </row>
    <row r="15" spans="1:89" ht="15" customHeight="1">
      <c r="A15" s="142">
        <v>11</v>
      </c>
      <c r="B15" s="151" t="s">
        <v>128</v>
      </c>
      <c r="C15" s="606"/>
      <c r="D15" s="14"/>
      <c r="E15" s="65"/>
      <c r="F15" s="14"/>
      <c r="G15" s="65"/>
      <c r="H15" s="14"/>
      <c r="I15" s="65"/>
      <c r="J15" s="14"/>
      <c r="K15" s="65"/>
      <c r="L15" s="14"/>
      <c r="M15" s="65"/>
      <c r="N15" s="14"/>
      <c r="O15" s="58"/>
      <c r="P15" s="14"/>
      <c r="Q15" s="65"/>
      <c r="R15" s="15"/>
      <c r="S15" s="65"/>
      <c r="T15" s="15"/>
      <c r="U15" s="65"/>
      <c r="V15" s="15"/>
      <c r="W15" s="65"/>
      <c r="X15" s="15"/>
      <c r="Y15" s="65"/>
      <c r="Z15" s="14"/>
      <c r="AA15" s="65"/>
      <c r="AB15" s="14"/>
      <c r="AC15" s="65"/>
      <c r="AD15" s="15"/>
      <c r="AE15" s="65"/>
      <c r="AF15" s="14"/>
      <c r="AG15" s="65"/>
      <c r="AH15" s="14"/>
      <c r="AI15" s="65"/>
      <c r="AJ15" s="14"/>
      <c r="AK15" s="65"/>
      <c r="AL15" s="14"/>
      <c r="AM15" s="65"/>
      <c r="AN15" s="14"/>
      <c r="AO15" s="65"/>
      <c r="AP15" s="595"/>
      <c r="AQ15" s="596"/>
      <c r="AR15" s="33"/>
      <c r="AS15" s="34"/>
      <c r="AT15" s="142">
        <v>11</v>
      </c>
      <c r="AU15" s="151" t="s">
        <v>128</v>
      </c>
      <c r="AV15" s="507"/>
      <c r="AW15" s="14"/>
      <c r="AX15" s="70"/>
      <c r="AY15" s="72"/>
      <c r="AZ15" s="70"/>
      <c r="BA15" s="72"/>
      <c r="BB15" s="72"/>
      <c r="BC15" s="58"/>
      <c r="BD15" s="70"/>
      <c r="BE15" s="14"/>
      <c r="BF15" s="70"/>
      <c r="BG15" s="72"/>
      <c r="BH15" s="70"/>
      <c r="BI15" s="72"/>
      <c r="BJ15" s="72"/>
      <c r="BK15" s="58"/>
      <c r="BL15" s="70"/>
      <c r="BM15" s="37"/>
      <c r="BN15" s="74" t="s">
        <v>34</v>
      </c>
      <c r="BO15" s="69"/>
      <c r="BP15" s="74" t="s">
        <v>34</v>
      </c>
      <c r="BQ15" s="69"/>
      <c r="BR15" s="74" t="s">
        <v>34</v>
      </c>
      <c r="BS15" s="97"/>
      <c r="BT15" s="74" t="s">
        <v>34</v>
      </c>
      <c r="BU15" s="96"/>
      <c r="BV15" s="67"/>
      <c r="BW15" s="69"/>
      <c r="BX15" s="67" t="s">
        <v>33</v>
      </c>
      <c r="BY15" s="69"/>
      <c r="BZ15" s="72" t="s">
        <v>33</v>
      </c>
      <c r="CA15" s="97"/>
      <c r="CB15" s="67" t="s">
        <v>33</v>
      </c>
      <c r="CC15" s="142">
        <v>11</v>
      </c>
      <c r="CD15" s="151" t="s">
        <v>128</v>
      </c>
      <c r="CE15" s="507"/>
      <c r="CF15" s="311">
        <f t="shared" si="0"/>
        <v>3</v>
      </c>
      <c r="CG15" s="76">
        <f t="shared" si="1"/>
        <v>4</v>
      </c>
      <c r="CH15" s="27"/>
      <c r="CI15" s="28"/>
      <c r="CJ15" s="449"/>
      <c r="CK15" s="450"/>
    </row>
    <row r="16" spans="1:89" ht="15" customHeight="1">
      <c r="A16" s="142">
        <v>12</v>
      </c>
      <c r="B16" s="151" t="s">
        <v>129</v>
      </c>
      <c r="C16" s="606"/>
      <c r="D16" s="14"/>
      <c r="E16" s="65"/>
      <c r="F16" s="14"/>
      <c r="G16" s="65"/>
      <c r="H16" s="14"/>
      <c r="I16" s="65"/>
      <c r="J16" s="14"/>
      <c r="K16" s="65"/>
      <c r="L16" s="14"/>
      <c r="M16" s="65"/>
      <c r="N16" s="14"/>
      <c r="O16" s="65"/>
      <c r="P16" s="14"/>
      <c r="Q16" s="65"/>
      <c r="R16" s="15"/>
      <c r="S16" s="65"/>
      <c r="T16" s="15"/>
      <c r="U16" s="65"/>
      <c r="V16" s="15"/>
      <c r="W16" s="65"/>
      <c r="X16" s="15"/>
      <c r="Y16" s="65"/>
      <c r="Z16" s="14"/>
      <c r="AA16" s="65"/>
      <c r="AB16" s="14"/>
      <c r="AC16" s="65"/>
      <c r="AD16" s="15"/>
      <c r="AE16" s="65"/>
      <c r="AF16" s="14"/>
      <c r="AG16" s="65"/>
      <c r="AH16" s="14"/>
      <c r="AI16" s="65"/>
      <c r="AJ16" s="14"/>
      <c r="AK16" s="65"/>
      <c r="AL16" s="14"/>
      <c r="AM16" s="65"/>
      <c r="AN16" s="14"/>
      <c r="AO16" s="65"/>
      <c r="AP16" s="595"/>
      <c r="AQ16" s="596"/>
      <c r="AR16" s="33"/>
      <c r="AS16" s="34"/>
      <c r="AT16" s="142">
        <v>12</v>
      </c>
      <c r="AU16" s="151" t="s">
        <v>129</v>
      </c>
      <c r="AV16" s="507"/>
      <c r="AW16" s="14"/>
      <c r="AX16" s="67" t="s">
        <v>33</v>
      </c>
      <c r="AY16" s="69"/>
      <c r="AZ16" s="67" t="s">
        <v>33</v>
      </c>
      <c r="BA16" s="69"/>
      <c r="BB16" s="72" t="s">
        <v>33</v>
      </c>
      <c r="BC16" s="97"/>
      <c r="BD16" s="67" t="s">
        <v>33</v>
      </c>
      <c r="BE16" s="14"/>
      <c r="BF16" s="70"/>
      <c r="BG16" s="72"/>
      <c r="BH16" s="70"/>
      <c r="BI16" s="72"/>
      <c r="BJ16" s="72"/>
      <c r="BK16" s="58"/>
      <c r="BL16" s="70"/>
      <c r="BM16" s="37"/>
      <c r="BN16" s="70"/>
      <c r="BO16" s="72"/>
      <c r="BP16" s="70"/>
      <c r="BQ16" s="72"/>
      <c r="BR16" s="72"/>
      <c r="BS16" s="15"/>
      <c r="BT16" s="70"/>
      <c r="BU16" s="96"/>
      <c r="BV16" s="74"/>
      <c r="BW16" s="69"/>
      <c r="BX16" s="74" t="s">
        <v>34</v>
      </c>
      <c r="BY16" s="69"/>
      <c r="BZ16" s="74" t="s">
        <v>34</v>
      </c>
      <c r="CA16" s="97"/>
      <c r="CB16" s="74" t="s">
        <v>34</v>
      </c>
      <c r="CC16" s="142">
        <v>12</v>
      </c>
      <c r="CD16" s="151" t="s">
        <v>129</v>
      </c>
      <c r="CE16" s="507"/>
      <c r="CF16" s="311">
        <f t="shared" si="0"/>
        <v>4</v>
      </c>
      <c r="CG16" s="76">
        <f t="shared" si="1"/>
        <v>3</v>
      </c>
      <c r="CH16" s="27"/>
      <c r="CI16" s="28"/>
      <c r="CJ16" s="449"/>
      <c r="CK16" s="450"/>
    </row>
    <row r="17" spans="1:89" ht="15" customHeight="1">
      <c r="A17" s="22">
        <v>13</v>
      </c>
      <c r="B17" s="13" t="s">
        <v>130</v>
      </c>
      <c r="C17" s="606"/>
      <c r="D17" s="16"/>
      <c r="E17" s="17"/>
      <c r="F17" s="16"/>
      <c r="G17" s="17"/>
      <c r="H17" s="16"/>
      <c r="I17" s="17"/>
      <c r="J17" s="16"/>
      <c r="K17" s="17"/>
      <c r="L17" s="16"/>
      <c r="M17" s="17"/>
      <c r="N17" s="16"/>
      <c r="O17" s="17"/>
      <c r="P17" s="16"/>
      <c r="Q17" s="17"/>
      <c r="R17" s="18"/>
      <c r="S17" s="17"/>
      <c r="T17" s="18"/>
      <c r="U17" s="17"/>
      <c r="V17" s="18"/>
      <c r="W17" s="17"/>
      <c r="X17" s="18"/>
      <c r="Y17" s="17"/>
      <c r="Z17" s="16"/>
      <c r="AA17" s="17"/>
      <c r="AB17" s="16"/>
      <c r="AC17" s="17"/>
      <c r="AD17" s="18"/>
      <c r="AE17" s="17"/>
      <c r="AF17" s="16"/>
      <c r="AG17" s="17"/>
      <c r="AH17" s="16"/>
      <c r="AI17" s="17"/>
      <c r="AJ17" s="16"/>
      <c r="AK17" s="17"/>
      <c r="AL17" s="16"/>
      <c r="AM17" s="17"/>
      <c r="AN17" s="16"/>
      <c r="AO17" s="17"/>
      <c r="AP17" s="593"/>
      <c r="AQ17" s="594"/>
      <c r="AR17" s="104"/>
      <c r="AS17" s="105"/>
      <c r="AT17" s="22">
        <v>13</v>
      </c>
      <c r="AU17" s="13" t="s">
        <v>130</v>
      </c>
      <c r="AV17" s="507"/>
      <c r="AW17" s="16"/>
      <c r="AX17" s="75" t="s">
        <v>34</v>
      </c>
      <c r="AY17" s="68"/>
      <c r="AZ17" s="75" t="s">
        <v>34</v>
      </c>
      <c r="BA17" s="68"/>
      <c r="BB17" s="75" t="s">
        <v>34</v>
      </c>
      <c r="BC17" s="83"/>
      <c r="BD17" s="75" t="s">
        <v>34</v>
      </c>
      <c r="BE17" s="16"/>
      <c r="BF17" s="66" t="s">
        <v>33</v>
      </c>
      <c r="BG17" s="68"/>
      <c r="BH17" s="66" t="s">
        <v>33</v>
      </c>
      <c r="BI17" s="68"/>
      <c r="BJ17" s="73" t="s">
        <v>33</v>
      </c>
      <c r="BK17" s="83"/>
      <c r="BL17" s="66" t="s">
        <v>33</v>
      </c>
      <c r="BM17" s="38"/>
      <c r="BN17" s="71"/>
      <c r="BO17" s="73"/>
      <c r="BP17" s="71"/>
      <c r="BQ17" s="73"/>
      <c r="BR17" s="73"/>
      <c r="BS17" s="18"/>
      <c r="BT17" s="71"/>
      <c r="BU17" s="108"/>
      <c r="BV17" s="66"/>
      <c r="BW17" s="68"/>
      <c r="BX17" s="66"/>
      <c r="BY17" s="68"/>
      <c r="BZ17" s="68"/>
      <c r="CA17" s="83"/>
      <c r="CB17" s="66"/>
      <c r="CC17" s="22">
        <v>13</v>
      </c>
      <c r="CD17" s="13" t="s">
        <v>130</v>
      </c>
      <c r="CE17" s="507"/>
      <c r="CF17" s="311">
        <f t="shared" si="0"/>
        <v>4</v>
      </c>
      <c r="CG17" s="76">
        <f t="shared" si="1"/>
        <v>4</v>
      </c>
      <c r="CH17" s="27"/>
      <c r="CI17" s="28"/>
      <c r="CJ17" s="449"/>
      <c r="CK17" s="450"/>
    </row>
    <row r="18" spans="1:89" ht="15" customHeight="1">
      <c r="A18" s="22">
        <v>14</v>
      </c>
      <c r="B18" s="13" t="s">
        <v>131</v>
      </c>
      <c r="C18" s="607"/>
      <c r="D18" s="16"/>
      <c r="E18" s="17"/>
      <c r="F18" s="16"/>
      <c r="G18" s="17"/>
      <c r="H18" s="16"/>
      <c r="I18" s="17"/>
      <c r="J18" s="16"/>
      <c r="K18" s="17"/>
      <c r="L18" s="16"/>
      <c r="M18" s="17"/>
      <c r="N18" s="16"/>
      <c r="O18" s="59"/>
      <c r="P18" s="16"/>
      <c r="Q18" s="17"/>
      <c r="R18" s="18"/>
      <c r="S18" s="17"/>
      <c r="T18" s="18"/>
      <c r="U18" s="17"/>
      <c r="V18" s="18"/>
      <c r="W18" s="17"/>
      <c r="X18" s="18"/>
      <c r="Y18" s="17"/>
      <c r="Z18" s="16"/>
      <c r="AA18" s="17"/>
      <c r="AB18" s="16"/>
      <c r="AC18" s="17"/>
      <c r="AD18" s="18"/>
      <c r="AE18" s="17"/>
      <c r="AF18" s="16"/>
      <c r="AG18" s="17"/>
      <c r="AH18" s="16"/>
      <c r="AI18" s="17"/>
      <c r="AJ18" s="16"/>
      <c r="AK18" s="17"/>
      <c r="AL18" s="16"/>
      <c r="AM18" s="17"/>
      <c r="AN18" s="16"/>
      <c r="AO18" s="17"/>
      <c r="AP18" s="593"/>
      <c r="AQ18" s="594"/>
      <c r="AR18" s="104"/>
      <c r="AS18" s="105"/>
      <c r="AT18" s="22">
        <v>14</v>
      </c>
      <c r="AU18" s="13" t="s">
        <v>131</v>
      </c>
      <c r="AV18" s="508"/>
      <c r="AW18" s="16"/>
      <c r="AX18" s="71"/>
      <c r="AY18" s="73"/>
      <c r="AZ18" s="71"/>
      <c r="BA18" s="73"/>
      <c r="BB18" s="73"/>
      <c r="BC18" s="59"/>
      <c r="BD18" s="71"/>
      <c r="BE18" s="16"/>
      <c r="BF18" s="75" t="s">
        <v>34</v>
      </c>
      <c r="BG18" s="68"/>
      <c r="BH18" s="75" t="s">
        <v>34</v>
      </c>
      <c r="BI18" s="68"/>
      <c r="BJ18" s="75" t="s">
        <v>34</v>
      </c>
      <c r="BK18" s="83"/>
      <c r="BL18" s="75" t="s">
        <v>34</v>
      </c>
      <c r="BM18" s="38"/>
      <c r="BN18" s="66" t="s">
        <v>33</v>
      </c>
      <c r="BO18" s="68"/>
      <c r="BP18" s="66" t="s">
        <v>33</v>
      </c>
      <c r="BQ18" s="68"/>
      <c r="BR18" s="73" t="s">
        <v>33</v>
      </c>
      <c r="BS18" s="83"/>
      <c r="BT18" s="70" t="s">
        <v>61</v>
      </c>
      <c r="BU18" s="108"/>
      <c r="BV18" s="66"/>
      <c r="BW18" s="68"/>
      <c r="BX18" s="66"/>
      <c r="BY18" s="68"/>
      <c r="BZ18" s="68"/>
      <c r="CA18" s="83"/>
      <c r="CB18" s="66"/>
      <c r="CC18" s="22">
        <v>14</v>
      </c>
      <c r="CD18" s="13" t="s">
        <v>131</v>
      </c>
      <c r="CE18" s="508"/>
      <c r="CF18" s="311">
        <f t="shared" si="0"/>
        <v>3</v>
      </c>
      <c r="CG18" s="76">
        <f t="shared" si="1"/>
        <v>4</v>
      </c>
      <c r="CH18" s="27"/>
      <c r="CI18" s="28"/>
      <c r="CJ18" s="449"/>
      <c r="CK18" s="450"/>
    </row>
    <row r="19" spans="1:89" ht="15" customHeight="1">
      <c r="A19" s="142">
        <v>15</v>
      </c>
      <c r="B19" s="151" t="s">
        <v>132</v>
      </c>
      <c r="C19" s="605">
        <v>46</v>
      </c>
      <c r="D19" s="14"/>
      <c r="E19" s="65"/>
      <c r="F19" s="14"/>
      <c r="G19" s="65"/>
      <c r="H19" s="14"/>
      <c r="I19" s="65"/>
      <c r="J19" s="14"/>
      <c r="K19" s="65"/>
      <c r="L19" s="14"/>
      <c r="M19" s="65"/>
      <c r="N19" s="14"/>
      <c r="O19" s="58"/>
      <c r="P19" s="14"/>
      <c r="Q19" s="65"/>
      <c r="R19" s="15"/>
      <c r="S19" s="65"/>
      <c r="T19" s="15"/>
      <c r="U19" s="65"/>
      <c r="V19" s="15"/>
      <c r="W19" s="65"/>
      <c r="X19" s="15"/>
      <c r="Y19" s="65"/>
      <c r="Z19" s="14"/>
      <c r="AA19" s="65"/>
      <c r="AB19" s="14"/>
      <c r="AC19" s="65"/>
      <c r="AD19" s="15"/>
      <c r="AE19" s="65"/>
      <c r="AF19" s="14"/>
      <c r="AG19" s="65"/>
      <c r="AH19" s="14"/>
      <c r="AI19" s="65"/>
      <c r="AJ19" s="14"/>
      <c r="AK19" s="65"/>
      <c r="AL19" s="14"/>
      <c r="AM19" s="65"/>
      <c r="AN19" s="14"/>
      <c r="AO19" s="65"/>
      <c r="AP19" s="591"/>
      <c r="AQ19" s="592"/>
      <c r="AR19" s="33"/>
      <c r="AS19" s="34"/>
      <c r="AT19" s="142">
        <v>15</v>
      </c>
      <c r="AU19" s="151" t="s">
        <v>132</v>
      </c>
      <c r="AV19" s="506">
        <v>47</v>
      </c>
      <c r="AW19" s="14"/>
      <c r="AX19" s="70"/>
      <c r="AY19" s="72"/>
      <c r="AZ19" s="70"/>
      <c r="BA19" s="72"/>
      <c r="BB19" s="72"/>
      <c r="BC19" s="58"/>
      <c r="BD19" s="70"/>
      <c r="BE19" s="14"/>
      <c r="BF19" s="70"/>
      <c r="BG19" s="72"/>
      <c r="BH19" s="70"/>
      <c r="BI19" s="72"/>
      <c r="BJ19" s="72"/>
      <c r="BK19" s="58"/>
      <c r="BL19" s="70"/>
      <c r="BM19" s="37"/>
      <c r="BN19" s="74" t="s">
        <v>34</v>
      </c>
      <c r="BO19" s="69"/>
      <c r="BP19" s="74" t="s">
        <v>34</v>
      </c>
      <c r="BQ19" s="69"/>
      <c r="BR19" s="74" t="s">
        <v>34</v>
      </c>
      <c r="BS19" s="97"/>
      <c r="BT19" s="74" t="s">
        <v>34</v>
      </c>
      <c r="BU19" s="96"/>
      <c r="BV19" s="67"/>
      <c r="BW19" s="69"/>
      <c r="BX19" s="67" t="s">
        <v>33</v>
      </c>
      <c r="BY19" s="69"/>
      <c r="BZ19" s="72" t="s">
        <v>33</v>
      </c>
      <c r="CA19" s="97"/>
      <c r="CB19" s="67" t="s">
        <v>33</v>
      </c>
      <c r="CC19" s="142">
        <v>15</v>
      </c>
      <c r="CD19" s="151" t="s">
        <v>132</v>
      </c>
      <c r="CE19" s="506">
        <v>46</v>
      </c>
      <c r="CF19" s="311">
        <f t="shared" si="0"/>
        <v>3</v>
      </c>
      <c r="CG19" s="76">
        <f t="shared" si="1"/>
        <v>4</v>
      </c>
      <c r="CH19" s="27"/>
      <c r="CI19" s="28"/>
      <c r="CJ19" s="449"/>
      <c r="CK19" s="450"/>
    </row>
    <row r="20" spans="1:89" ht="15" customHeight="1">
      <c r="A20" s="142">
        <v>16</v>
      </c>
      <c r="B20" s="151" t="s">
        <v>133</v>
      </c>
      <c r="C20" s="606"/>
      <c r="D20" s="14"/>
      <c r="E20" s="65"/>
      <c r="F20" s="14"/>
      <c r="G20" s="65"/>
      <c r="H20" s="14"/>
      <c r="I20" s="65"/>
      <c r="J20" s="14"/>
      <c r="K20" s="65"/>
      <c r="L20" s="14"/>
      <c r="M20" s="65"/>
      <c r="N20" s="14"/>
      <c r="O20" s="58"/>
      <c r="P20" s="14"/>
      <c r="Q20" s="65"/>
      <c r="R20" s="15"/>
      <c r="S20" s="65"/>
      <c r="T20" s="15"/>
      <c r="U20" s="65"/>
      <c r="V20" s="15"/>
      <c r="W20" s="65"/>
      <c r="X20" s="15"/>
      <c r="Y20" s="65"/>
      <c r="Z20" s="14"/>
      <c r="AA20" s="65"/>
      <c r="AB20" s="14"/>
      <c r="AC20" s="65"/>
      <c r="AD20" s="15"/>
      <c r="AE20" s="65"/>
      <c r="AF20" s="14"/>
      <c r="AG20" s="65"/>
      <c r="AH20" s="14"/>
      <c r="AI20" s="65"/>
      <c r="AJ20" s="14"/>
      <c r="AK20" s="65"/>
      <c r="AL20" s="14"/>
      <c r="AM20" s="65"/>
      <c r="AN20" s="14"/>
      <c r="AO20" s="65"/>
      <c r="AP20" s="591"/>
      <c r="AQ20" s="592"/>
      <c r="AR20" s="33"/>
      <c r="AS20" s="34"/>
      <c r="AT20" s="142">
        <v>16</v>
      </c>
      <c r="AU20" s="151" t="s">
        <v>133</v>
      </c>
      <c r="AV20" s="507"/>
      <c r="AW20" s="14"/>
      <c r="AX20" s="67" t="s">
        <v>33</v>
      </c>
      <c r="AY20" s="69"/>
      <c r="AZ20" s="67" t="s">
        <v>33</v>
      </c>
      <c r="BA20" s="69"/>
      <c r="BB20" s="72" t="s">
        <v>33</v>
      </c>
      <c r="BC20" s="97"/>
      <c r="BD20" s="67" t="s">
        <v>33</v>
      </c>
      <c r="BE20" s="14"/>
      <c r="BF20" s="70"/>
      <c r="BG20" s="72"/>
      <c r="BH20" s="70"/>
      <c r="BI20" s="72"/>
      <c r="BJ20" s="72"/>
      <c r="BK20" s="58"/>
      <c r="BL20" s="70"/>
      <c r="BM20" s="37"/>
      <c r="BN20" s="70"/>
      <c r="BO20" s="72"/>
      <c r="BP20" s="70"/>
      <c r="BQ20" s="72"/>
      <c r="BR20" s="72"/>
      <c r="BS20" s="58"/>
      <c r="BT20" s="70"/>
      <c r="BU20" s="96"/>
      <c r="BV20" s="74"/>
      <c r="BW20" s="69"/>
      <c r="BX20" s="74" t="s">
        <v>34</v>
      </c>
      <c r="BY20" s="69"/>
      <c r="BZ20" s="74" t="s">
        <v>34</v>
      </c>
      <c r="CA20" s="97"/>
      <c r="CB20" s="74" t="s">
        <v>34</v>
      </c>
      <c r="CC20" s="142">
        <v>16</v>
      </c>
      <c r="CD20" s="151" t="s">
        <v>133</v>
      </c>
      <c r="CE20" s="507"/>
      <c r="CF20" s="311">
        <f t="shared" si="0"/>
        <v>4</v>
      </c>
      <c r="CG20" s="76">
        <f t="shared" si="1"/>
        <v>3</v>
      </c>
      <c r="CH20" s="27"/>
      <c r="CI20" s="28"/>
      <c r="CJ20" s="449"/>
      <c r="CK20" s="450"/>
    </row>
    <row r="21" spans="1:89" ht="15" customHeight="1">
      <c r="A21" s="142">
        <v>17</v>
      </c>
      <c r="B21" s="151" t="s">
        <v>127</v>
      </c>
      <c r="C21" s="606"/>
      <c r="D21" s="14"/>
      <c r="E21" s="65"/>
      <c r="F21" s="14"/>
      <c r="G21" s="65"/>
      <c r="H21" s="14"/>
      <c r="I21" s="65"/>
      <c r="J21" s="14"/>
      <c r="K21" s="65"/>
      <c r="L21" s="14"/>
      <c r="M21" s="65"/>
      <c r="N21" s="14"/>
      <c r="O21" s="58"/>
      <c r="P21" s="14"/>
      <c r="Q21" s="65"/>
      <c r="R21" s="15"/>
      <c r="S21" s="65"/>
      <c r="T21" s="14"/>
      <c r="U21" s="65"/>
      <c r="V21" s="15"/>
      <c r="W21" s="65"/>
      <c r="X21" s="14"/>
      <c r="Y21" s="65"/>
      <c r="Z21" s="14"/>
      <c r="AA21" s="65"/>
      <c r="AB21" s="14"/>
      <c r="AC21" s="65"/>
      <c r="AD21" s="15"/>
      <c r="AE21" s="65"/>
      <c r="AF21" s="14"/>
      <c r="AG21" s="65"/>
      <c r="AH21" s="14"/>
      <c r="AI21" s="65"/>
      <c r="AJ21" s="14"/>
      <c r="AK21" s="65"/>
      <c r="AL21" s="14"/>
      <c r="AM21" s="65"/>
      <c r="AN21" s="14"/>
      <c r="AO21" s="65"/>
      <c r="AP21" s="595"/>
      <c r="AQ21" s="596"/>
      <c r="AR21" s="33"/>
      <c r="AS21" s="34"/>
      <c r="AT21" s="142">
        <v>17</v>
      </c>
      <c r="AU21" s="151" t="s">
        <v>127</v>
      </c>
      <c r="AV21" s="507"/>
      <c r="AW21" s="14"/>
      <c r="AX21" s="74" t="s">
        <v>34</v>
      </c>
      <c r="AY21" s="69"/>
      <c r="AZ21" s="74" t="s">
        <v>34</v>
      </c>
      <c r="BA21" s="69"/>
      <c r="BB21" s="74" t="s">
        <v>34</v>
      </c>
      <c r="BC21" s="97"/>
      <c r="BD21" s="74" t="s">
        <v>34</v>
      </c>
      <c r="BE21" s="14"/>
      <c r="BF21" s="67" t="s">
        <v>33</v>
      </c>
      <c r="BG21" s="69"/>
      <c r="BH21" s="67" t="s">
        <v>33</v>
      </c>
      <c r="BI21" s="69"/>
      <c r="BJ21" s="72" t="s">
        <v>33</v>
      </c>
      <c r="BK21" s="97"/>
      <c r="BL21" s="67" t="s">
        <v>33</v>
      </c>
      <c r="BM21" s="37"/>
      <c r="BN21" s="70"/>
      <c r="BO21" s="72"/>
      <c r="BP21" s="70"/>
      <c r="BQ21" s="72"/>
      <c r="BR21" s="72"/>
      <c r="BS21" s="58"/>
      <c r="BT21" s="70"/>
      <c r="BU21" s="96"/>
      <c r="BV21" s="70"/>
      <c r="BW21" s="72"/>
      <c r="BX21" s="70"/>
      <c r="BY21" s="72"/>
      <c r="BZ21" s="72"/>
      <c r="CA21" s="58"/>
      <c r="CB21" s="70"/>
      <c r="CC21" s="142">
        <v>17</v>
      </c>
      <c r="CD21" s="151" t="s">
        <v>127</v>
      </c>
      <c r="CE21" s="507"/>
      <c r="CF21" s="311">
        <f t="shared" si="0"/>
        <v>4</v>
      </c>
      <c r="CG21" s="76">
        <f t="shared" si="1"/>
        <v>4</v>
      </c>
      <c r="CH21" s="27"/>
      <c r="CI21" s="28"/>
      <c r="CJ21" s="449"/>
      <c r="CK21" s="450"/>
    </row>
    <row r="22" spans="1:89" ht="15" customHeight="1">
      <c r="A22" s="142">
        <v>18</v>
      </c>
      <c r="B22" s="151" t="s">
        <v>128</v>
      </c>
      <c r="C22" s="606"/>
      <c r="D22" s="14"/>
      <c r="E22" s="65"/>
      <c r="F22" s="14"/>
      <c r="G22" s="65"/>
      <c r="H22" s="14"/>
      <c r="I22" s="65"/>
      <c r="J22" s="14"/>
      <c r="K22" s="65"/>
      <c r="L22" s="14"/>
      <c r="M22" s="65"/>
      <c r="N22" s="14"/>
      <c r="O22" s="58"/>
      <c r="P22" s="14"/>
      <c r="Q22" s="65"/>
      <c r="R22" s="15"/>
      <c r="S22" s="65"/>
      <c r="T22" s="15"/>
      <c r="U22" s="65"/>
      <c r="V22" s="15"/>
      <c r="W22" s="65"/>
      <c r="X22" s="15"/>
      <c r="Y22" s="65"/>
      <c r="Z22" s="14"/>
      <c r="AA22" s="65"/>
      <c r="AB22" s="14"/>
      <c r="AC22" s="65"/>
      <c r="AD22" s="15"/>
      <c r="AE22" s="65"/>
      <c r="AF22" s="14"/>
      <c r="AG22" s="65"/>
      <c r="AH22" s="14"/>
      <c r="AI22" s="65"/>
      <c r="AJ22" s="14"/>
      <c r="AK22" s="65"/>
      <c r="AL22" s="14"/>
      <c r="AM22" s="65"/>
      <c r="AN22" s="14"/>
      <c r="AO22" s="65"/>
      <c r="AP22" s="595"/>
      <c r="AQ22" s="596"/>
      <c r="AR22" s="33"/>
      <c r="AS22" s="34"/>
      <c r="AT22" s="142">
        <v>18</v>
      </c>
      <c r="AU22" s="151" t="s">
        <v>128</v>
      </c>
      <c r="AV22" s="507"/>
      <c r="AW22" s="14"/>
      <c r="AX22" s="70"/>
      <c r="AY22" s="72"/>
      <c r="AZ22" s="70"/>
      <c r="BA22" s="72"/>
      <c r="BB22" s="72"/>
      <c r="BC22" s="58"/>
      <c r="BD22" s="70"/>
      <c r="BE22" s="14"/>
      <c r="BF22" s="74" t="s">
        <v>34</v>
      </c>
      <c r="BG22" s="69"/>
      <c r="BH22" s="74" t="s">
        <v>34</v>
      </c>
      <c r="BI22" s="69"/>
      <c r="BJ22" s="74" t="s">
        <v>34</v>
      </c>
      <c r="BK22" s="97"/>
      <c r="BL22" s="74" t="s">
        <v>34</v>
      </c>
      <c r="BM22" s="37"/>
      <c r="BN22" s="67" t="s">
        <v>33</v>
      </c>
      <c r="BO22" s="69"/>
      <c r="BP22" s="67" t="s">
        <v>33</v>
      </c>
      <c r="BQ22" s="69"/>
      <c r="BR22" s="72" t="s">
        <v>33</v>
      </c>
      <c r="BS22" s="97"/>
      <c r="BT22" s="67" t="s">
        <v>33</v>
      </c>
      <c r="BU22" s="96"/>
      <c r="BV22" s="70"/>
      <c r="BW22" s="72"/>
      <c r="BX22" s="70"/>
      <c r="BY22" s="72"/>
      <c r="BZ22" s="72"/>
      <c r="CA22" s="58"/>
      <c r="CB22" s="70"/>
      <c r="CC22" s="142">
        <v>18</v>
      </c>
      <c r="CD22" s="151" t="s">
        <v>128</v>
      </c>
      <c r="CE22" s="507"/>
      <c r="CF22" s="311">
        <f t="shared" si="0"/>
        <v>4</v>
      </c>
      <c r="CG22" s="76">
        <f t="shared" si="1"/>
        <v>4</v>
      </c>
      <c r="CH22" s="27"/>
      <c r="CI22" s="28"/>
      <c r="CJ22" s="449"/>
      <c r="CK22" s="450"/>
    </row>
    <row r="23" spans="1:89" ht="15" customHeight="1">
      <c r="A23" s="142">
        <v>19</v>
      </c>
      <c r="B23" s="151" t="s">
        <v>129</v>
      </c>
      <c r="C23" s="606"/>
      <c r="D23" s="14"/>
      <c r="E23" s="65"/>
      <c r="F23" s="14"/>
      <c r="G23" s="65"/>
      <c r="H23" s="14"/>
      <c r="I23" s="65"/>
      <c r="J23" s="14"/>
      <c r="K23" s="65"/>
      <c r="L23" s="14"/>
      <c r="M23" s="65"/>
      <c r="N23" s="14"/>
      <c r="O23" s="58"/>
      <c r="P23" s="14"/>
      <c r="Q23" s="65"/>
      <c r="R23" s="15"/>
      <c r="S23" s="65"/>
      <c r="T23" s="15"/>
      <c r="U23" s="65"/>
      <c r="V23" s="15"/>
      <c r="W23" s="65"/>
      <c r="X23" s="15"/>
      <c r="Y23" s="65"/>
      <c r="Z23" s="14"/>
      <c r="AA23" s="65"/>
      <c r="AB23" s="14"/>
      <c r="AC23" s="65"/>
      <c r="AD23" s="15"/>
      <c r="AE23" s="65"/>
      <c r="AF23" s="14"/>
      <c r="AG23" s="65"/>
      <c r="AH23" s="14"/>
      <c r="AI23" s="65"/>
      <c r="AJ23" s="14"/>
      <c r="AK23" s="65"/>
      <c r="AL23" s="14"/>
      <c r="AM23" s="65"/>
      <c r="AN23" s="14"/>
      <c r="AO23" s="65"/>
      <c r="AP23" s="599"/>
      <c r="AQ23" s="600"/>
      <c r="AR23" s="33"/>
      <c r="AS23" s="34"/>
      <c r="AT23" s="142">
        <v>19</v>
      </c>
      <c r="AU23" s="151" t="s">
        <v>129</v>
      </c>
      <c r="AV23" s="507"/>
      <c r="AW23" s="14"/>
      <c r="AX23" s="70"/>
      <c r="AY23" s="72"/>
      <c r="AZ23" s="70"/>
      <c r="BA23" s="72"/>
      <c r="BB23" s="72"/>
      <c r="BC23" s="58"/>
      <c r="BD23" s="70"/>
      <c r="BE23" s="14"/>
      <c r="BF23" s="70"/>
      <c r="BG23" s="72"/>
      <c r="BH23" s="70"/>
      <c r="BI23" s="72"/>
      <c r="BJ23" s="72"/>
      <c r="BK23" s="58"/>
      <c r="BL23" s="70"/>
      <c r="BM23" s="37"/>
      <c r="BN23" s="74" t="s">
        <v>34</v>
      </c>
      <c r="BO23" s="69"/>
      <c r="BP23" s="74" t="s">
        <v>34</v>
      </c>
      <c r="BQ23" s="69"/>
      <c r="BR23" s="74" t="s">
        <v>34</v>
      </c>
      <c r="BS23" s="97"/>
      <c r="BT23" s="74" t="s">
        <v>34</v>
      </c>
      <c r="BU23" s="96"/>
      <c r="BV23" s="67"/>
      <c r="BW23" s="69"/>
      <c r="BX23" s="67" t="s">
        <v>33</v>
      </c>
      <c r="BY23" s="69"/>
      <c r="BZ23" s="72" t="s">
        <v>33</v>
      </c>
      <c r="CA23" s="97"/>
      <c r="CB23" s="67" t="s">
        <v>33</v>
      </c>
      <c r="CC23" s="142">
        <v>19</v>
      </c>
      <c r="CD23" s="151" t="s">
        <v>129</v>
      </c>
      <c r="CE23" s="507"/>
      <c r="CF23" s="311">
        <f t="shared" si="0"/>
        <v>3</v>
      </c>
      <c r="CG23" s="76">
        <f t="shared" si="1"/>
        <v>4</v>
      </c>
      <c r="CH23" s="27"/>
      <c r="CI23" s="28"/>
      <c r="CJ23" s="545"/>
      <c r="CK23" s="546"/>
    </row>
    <row r="24" spans="1:89" ht="15" customHeight="1">
      <c r="A24" s="22">
        <v>20</v>
      </c>
      <c r="B24" s="13" t="s">
        <v>130</v>
      </c>
      <c r="C24" s="606"/>
      <c r="D24" s="16"/>
      <c r="E24" s="17"/>
      <c r="F24" s="16"/>
      <c r="G24" s="17"/>
      <c r="H24" s="16"/>
      <c r="I24" s="17"/>
      <c r="J24" s="16"/>
      <c r="K24" s="17"/>
      <c r="L24" s="16"/>
      <c r="M24" s="17"/>
      <c r="N24" s="16"/>
      <c r="O24" s="59"/>
      <c r="P24" s="16"/>
      <c r="Q24" s="17"/>
      <c r="R24" s="18"/>
      <c r="S24" s="17"/>
      <c r="T24" s="18"/>
      <c r="U24" s="17"/>
      <c r="V24" s="18"/>
      <c r="W24" s="17"/>
      <c r="X24" s="18"/>
      <c r="Y24" s="17"/>
      <c r="Z24" s="16"/>
      <c r="AA24" s="17"/>
      <c r="AB24" s="16"/>
      <c r="AC24" s="17"/>
      <c r="AD24" s="18"/>
      <c r="AE24" s="17"/>
      <c r="AF24" s="16"/>
      <c r="AG24" s="17"/>
      <c r="AH24" s="16"/>
      <c r="AI24" s="17"/>
      <c r="AJ24" s="16"/>
      <c r="AK24" s="17"/>
      <c r="AL24" s="16"/>
      <c r="AM24" s="17"/>
      <c r="AN24" s="16"/>
      <c r="AO24" s="17"/>
      <c r="AP24" s="597"/>
      <c r="AQ24" s="598"/>
      <c r="AR24" s="104"/>
      <c r="AS24" s="105"/>
      <c r="AT24" s="22">
        <v>20</v>
      </c>
      <c r="AU24" s="13" t="s">
        <v>130</v>
      </c>
      <c r="AV24" s="507"/>
      <c r="AW24" s="16"/>
      <c r="AX24" s="66" t="s">
        <v>33</v>
      </c>
      <c r="AY24" s="68"/>
      <c r="AZ24" s="66" t="s">
        <v>33</v>
      </c>
      <c r="BA24" s="68"/>
      <c r="BB24" s="73" t="s">
        <v>33</v>
      </c>
      <c r="BC24" s="83"/>
      <c r="BD24" s="66" t="s">
        <v>33</v>
      </c>
      <c r="BE24" s="16"/>
      <c r="BF24" s="71"/>
      <c r="BG24" s="73"/>
      <c r="BH24" s="71"/>
      <c r="BI24" s="73"/>
      <c r="BJ24" s="73"/>
      <c r="BK24" s="59"/>
      <c r="BL24" s="71"/>
      <c r="BM24" s="38"/>
      <c r="BN24" s="71"/>
      <c r="BO24" s="73"/>
      <c r="BP24" s="71"/>
      <c r="BQ24" s="73"/>
      <c r="BR24" s="73"/>
      <c r="BS24" s="59"/>
      <c r="BT24" s="71"/>
      <c r="BU24" s="108"/>
      <c r="BV24" s="75"/>
      <c r="BW24" s="68"/>
      <c r="BX24" s="75" t="s">
        <v>34</v>
      </c>
      <c r="BY24" s="68"/>
      <c r="BZ24" s="75" t="s">
        <v>34</v>
      </c>
      <c r="CA24" s="83"/>
      <c r="CB24" s="75" t="s">
        <v>34</v>
      </c>
      <c r="CC24" s="22">
        <v>20</v>
      </c>
      <c r="CD24" s="13" t="s">
        <v>130</v>
      </c>
      <c r="CE24" s="507"/>
      <c r="CF24" s="311">
        <f t="shared" si="0"/>
        <v>4</v>
      </c>
      <c r="CG24" s="76">
        <f t="shared" si="1"/>
        <v>3</v>
      </c>
      <c r="CH24" s="27"/>
      <c r="CI24" s="28"/>
      <c r="CJ24" s="449"/>
      <c r="CK24" s="450"/>
    </row>
    <row r="25" spans="1:89" ht="15" customHeight="1">
      <c r="A25" s="22">
        <v>21</v>
      </c>
      <c r="B25" s="13" t="s">
        <v>131</v>
      </c>
      <c r="C25" s="607"/>
      <c r="D25" s="16"/>
      <c r="E25" s="17"/>
      <c r="F25" s="16"/>
      <c r="G25" s="17"/>
      <c r="H25" s="16"/>
      <c r="I25" s="17"/>
      <c r="J25" s="16"/>
      <c r="K25" s="17"/>
      <c r="L25" s="16"/>
      <c r="M25" s="17"/>
      <c r="N25" s="16"/>
      <c r="O25" s="59"/>
      <c r="P25" s="16"/>
      <c r="Q25" s="17"/>
      <c r="R25" s="18"/>
      <c r="S25" s="17"/>
      <c r="T25" s="18"/>
      <c r="U25" s="17"/>
      <c r="V25" s="18"/>
      <c r="W25" s="17"/>
      <c r="X25" s="18"/>
      <c r="Y25" s="17"/>
      <c r="Z25" s="16"/>
      <c r="AA25" s="17"/>
      <c r="AB25" s="16"/>
      <c r="AC25" s="17"/>
      <c r="AD25" s="18"/>
      <c r="AE25" s="17"/>
      <c r="AF25" s="16"/>
      <c r="AG25" s="17"/>
      <c r="AH25" s="16"/>
      <c r="AI25" s="17"/>
      <c r="AJ25" s="16"/>
      <c r="AK25" s="17"/>
      <c r="AL25" s="16"/>
      <c r="AM25" s="17"/>
      <c r="AN25" s="16"/>
      <c r="AO25" s="17"/>
      <c r="AP25" s="597"/>
      <c r="AQ25" s="598"/>
      <c r="AR25" s="104"/>
      <c r="AS25" s="105"/>
      <c r="AT25" s="22">
        <v>21</v>
      </c>
      <c r="AU25" s="13" t="s">
        <v>131</v>
      </c>
      <c r="AV25" s="508"/>
      <c r="AW25" s="16"/>
      <c r="AX25" s="75" t="s">
        <v>34</v>
      </c>
      <c r="AY25" s="68"/>
      <c r="AZ25" s="75" t="s">
        <v>34</v>
      </c>
      <c r="BA25" s="68"/>
      <c r="BB25" s="75" t="s">
        <v>34</v>
      </c>
      <c r="BC25" s="83"/>
      <c r="BD25" s="75" t="s">
        <v>34</v>
      </c>
      <c r="BE25" s="16"/>
      <c r="BF25" s="66" t="s">
        <v>33</v>
      </c>
      <c r="BG25" s="68"/>
      <c r="BH25" s="66" t="s">
        <v>33</v>
      </c>
      <c r="BI25" s="68"/>
      <c r="BJ25" s="73" t="s">
        <v>33</v>
      </c>
      <c r="BK25" s="83"/>
      <c r="BL25" s="66" t="s">
        <v>33</v>
      </c>
      <c r="BM25" s="38"/>
      <c r="BN25" s="71"/>
      <c r="BO25" s="73"/>
      <c r="BP25" s="71"/>
      <c r="BQ25" s="73"/>
      <c r="BR25" s="73"/>
      <c r="BS25" s="59"/>
      <c r="BT25" s="71"/>
      <c r="BU25" s="108"/>
      <c r="BV25" s="71"/>
      <c r="BW25" s="73"/>
      <c r="BX25" s="71"/>
      <c r="BY25" s="73"/>
      <c r="BZ25" s="73"/>
      <c r="CA25" s="59"/>
      <c r="CB25" s="71"/>
      <c r="CC25" s="22">
        <v>21</v>
      </c>
      <c r="CD25" s="13" t="s">
        <v>131</v>
      </c>
      <c r="CE25" s="508"/>
      <c r="CF25" s="311">
        <f t="shared" si="0"/>
        <v>4</v>
      </c>
      <c r="CG25" s="76">
        <f t="shared" si="1"/>
        <v>4</v>
      </c>
      <c r="CH25" s="27"/>
      <c r="CI25" s="28"/>
      <c r="CJ25" s="449"/>
      <c r="CK25" s="450"/>
    </row>
    <row r="26" spans="1:89" ht="15" customHeight="1">
      <c r="A26" s="142">
        <v>22</v>
      </c>
      <c r="B26" s="151" t="s">
        <v>132</v>
      </c>
      <c r="C26" s="605">
        <v>47</v>
      </c>
      <c r="D26" s="14"/>
      <c r="E26" s="65"/>
      <c r="F26" s="14"/>
      <c r="G26" s="65"/>
      <c r="H26" s="112"/>
      <c r="I26" s="65"/>
      <c r="J26" s="14"/>
      <c r="K26" s="65"/>
      <c r="L26" s="112"/>
      <c r="M26" s="65"/>
      <c r="N26" s="14"/>
      <c r="O26" s="58"/>
      <c r="P26" s="14"/>
      <c r="Q26" s="65"/>
      <c r="R26" s="112"/>
      <c r="S26" s="65"/>
      <c r="T26" s="15"/>
      <c r="U26" s="65"/>
      <c r="V26" s="112"/>
      <c r="W26" s="65"/>
      <c r="X26" s="15"/>
      <c r="Y26" s="65"/>
      <c r="Z26" s="14"/>
      <c r="AA26" s="65"/>
      <c r="AB26" s="14"/>
      <c r="AC26" s="65"/>
      <c r="AD26" s="15"/>
      <c r="AE26" s="65"/>
      <c r="AF26" s="14"/>
      <c r="AG26" s="65"/>
      <c r="AH26" s="14"/>
      <c r="AI26" s="65"/>
      <c r="AJ26" s="14"/>
      <c r="AK26" s="65"/>
      <c r="AL26" s="14"/>
      <c r="AM26" s="65"/>
      <c r="AN26" s="14"/>
      <c r="AO26" s="65"/>
      <c r="AP26" s="595"/>
      <c r="AQ26" s="596"/>
      <c r="AR26" s="33"/>
      <c r="AS26" s="34"/>
      <c r="AT26" s="142">
        <v>22</v>
      </c>
      <c r="AU26" s="151" t="s">
        <v>132</v>
      </c>
      <c r="AV26" s="506">
        <v>48</v>
      </c>
      <c r="AW26" s="14"/>
      <c r="AX26" s="70"/>
      <c r="AY26" s="72"/>
      <c r="AZ26" s="70"/>
      <c r="BA26" s="72"/>
      <c r="BB26" s="72"/>
      <c r="BC26" s="58"/>
      <c r="BD26" s="70"/>
      <c r="BE26" s="14"/>
      <c r="BF26" s="74" t="s">
        <v>34</v>
      </c>
      <c r="BG26" s="69"/>
      <c r="BH26" s="74" t="s">
        <v>34</v>
      </c>
      <c r="BI26" s="69"/>
      <c r="BJ26" s="74" t="s">
        <v>34</v>
      </c>
      <c r="BK26" s="97"/>
      <c r="BL26" s="74" t="s">
        <v>34</v>
      </c>
      <c r="BM26" s="37"/>
      <c r="BN26" s="67" t="s">
        <v>33</v>
      </c>
      <c r="BO26" s="69"/>
      <c r="BP26" s="67" t="s">
        <v>33</v>
      </c>
      <c r="BQ26" s="69"/>
      <c r="BR26" s="72" t="s">
        <v>33</v>
      </c>
      <c r="BS26" s="97"/>
      <c r="BT26" s="67" t="s">
        <v>33</v>
      </c>
      <c r="BU26" s="96"/>
      <c r="BV26" s="70"/>
      <c r="BW26" s="72"/>
      <c r="BX26" s="70"/>
      <c r="BY26" s="72"/>
      <c r="BZ26" s="72"/>
      <c r="CA26" s="58"/>
      <c r="CB26" s="70"/>
      <c r="CC26" s="142">
        <v>22</v>
      </c>
      <c r="CD26" s="151" t="s">
        <v>132</v>
      </c>
      <c r="CE26" s="506">
        <v>47</v>
      </c>
      <c r="CF26" s="311">
        <f t="shared" si="0"/>
        <v>4</v>
      </c>
      <c r="CG26" s="76">
        <f t="shared" si="1"/>
        <v>4</v>
      </c>
      <c r="CH26" s="27"/>
      <c r="CI26" s="28"/>
      <c r="CJ26" s="449"/>
      <c r="CK26" s="450"/>
    </row>
    <row r="27" spans="1:89" ht="15" customHeight="1">
      <c r="A27" s="142">
        <v>23</v>
      </c>
      <c r="B27" s="151" t="s">
        <v>133</v>
      </c>
      <c r="C27" s="606"/>
      <c r="D27" s="14"/>
      <c r="E27" s="65"/>
      <c r="F27" s="14"/>
      <c r="G27" s="65"/>
      <c r="H27" s="14"/>
      <c r="I27" s="65"/>
      <c r="J27" s="14"/>
      <c r="K27" s="65"/>
      <c r="L27" s="14"/>
      <c r="M27" s="65"/>
      <c r="N27" s="14"/>
      <c r="O27" s="58"/>
      <c r="P27" s="14"/>
      <c r="Q27" s="65"/>
      <c r="R27" s="15"/>
      <c r="S27" s="65"/>
      <c r="T27" s="15"/>
      <c r="U27" s="65"/>
      <c r="V27" s="15"/>
      <c r="W27" s="65"/>
      <c r="X27" s="15"/>
      <c r="Y27" s="65"/>
      <c r="Z27" s="14"/>
      <c r="AA27" s="65"/>
      <c r="AB27" s="14"/>
      <c r="AC27" s="65"/>
      <c r="AD27" s="15"/>
      <c r="AE27" s="65"/>
      <c r="AF27" s="14"/>
      <c r="AG27" s="65"/>
      <c r="AH27" s="14"/>
      <c r="AI27" s="65"/>
      <c r="AJ27" s="14"/>
      <c r="AK27" s="65"/>
      <c r="AL27" s="14"/>
      <c r="AM27" s="65"/>
      <c r="AN27" s="14"/>
      <c r="AO27" s="65"/>
      <c r="AP27" s="595"/>
      <c r="AQ27" s="596"/>
      <c r="AR27" s="33"/>
      <c r="AS27" s="34"/>
      <c r="AT27" s="142">
        <v>23</v>
      </c>
      <c r="AU27" s="151" t="s">
        <v>133</v>
      </c>
      <c r="AV27" s="507"/>
      <c r="AW27" s="14"/>
      <c r="AX27" s="70"/>
      <c r="AY27" s="72"/>
      <c r="AZ27" s="70"/>
      <c r="BA27" s="72"/>
      <c r="BB27" s="72"/>
      <c r="BC27" s="58"/>
      <c r="BD27" s="70"/>
      <c r="BE27" s="14"/>
      <c r="BF27" s="70"/>
      <c r="BG27" s="72"/>
      <c r="BH27" s="70"/>
      <c r="BI27" s="72"/>
      <c r="BJ27" s="72"/>
      <c r="BK27" s="58"/>
      <c r="BL27" s="70"/>
      <c r="BM27" s="37"/>
      <c r="BN27" s="74" t="s">
        <v>34</v>
      </c>
      <c r="BO27" s="69"/>
      <c r="BP27" s="74" t="s">
        <v>34</v>
      </c>
      <c r="BQ27" s="69"/>
      <c r="BR27" s="74" t="s">
        <v>34</v>
      </c>
      <c r="BS27" s="97"/>
      <c r="BT27" s="74" t="s">
        <v>34</v>
      </c>
      <c r="BU27" s="96"/>
      <c r="BV27" s="67"/>
      <c r="BW27" s="69"/>
      <c r="BX27" s="67" t="s">
        <v>33</v>
      </c>
      <c r="BY27" s="69"/>
      <c r="BZ27" s="72" t="s">
        <v>33</v>
      </c>
      <c r="CA27" s="97"/>
      <c r="CB27" s="67" t="s">
        <v>33</v>
      </c>
      <c r="CC27" s="142">
        <v>23</v>
      </c>
      <c r="CD27" s="151" t="s">
        <v>133</v>
      </c>
      <c r="CE27" s="507"/>
      <c r="CF27" s="311">
        <f t="shared" si="0"/>
        <v>3</v>
      </c>
      <c r="CG27" s="76">
        <f t="shared" si="1"/>
        <v>4</v>
      </c>
      <c r="CH27" s="27"/>
      <c r="CI27" s="28"/>
      <c r="CJ27" s="449"/>
      <c r="CK27" s="450"/>
    </row>
    <row r="28" spans="1:89" ht="15" customHeight="1">
      <c r="A28" s="142">
        <v>24</v>
      </c>
      <c r="B28" s="151" t="s">
        <v>127</v>
      </c>
      <c r="C28" s="606"/>
      <c r="D28" s="14"/>
      <c r="E28" s="65"/>
      <c r="F28" s="14"/>
      <c r="G28" s="65"/>
      <c r="H28" s="14"/>
      <c r="I28" s="65"/>
      <c r="J28" s="14"/>
      <c r="K28" s="65"/>
      <c r="L28" s="14"/>
      <c r="M28" s="65"/>
      <c r="N28" s="14"/>
      <c r="O28" s="58"/>
      <c r="P28" s="14"/>
      <c r="Q28" s="65"/>
      <c r="R28" s="15"/>
      <c r="S28" s="65"/>
      <c r="T28" s="15"/>
      <c r="U28" s="65"/>
      <c r="V28" s="15"/>
      <c r="W28" s="65"/>
      <c r="X28" s="15"/>
      <c r="Y28" s="65"/>
      <c r="Z28" s="14"/>
      <c r="AA28" s="65"/>
      <c r="AB28" s="14"/>
      <c r="AC28" s="65"/>
      <c r="AD28" s="15"/>
      <c r="AE28" s="65"/>
      <c r="AF28" s="14"/>
      <c r="AG28" s="65"/>
      <c r="AH28" s="14"/>
      <c r="AI28" s="65"/>
      <c r="AJ28" s="14"/>
      <c r="AK28" s="65"/>
      <c r="AL28" s="14"/>
      <c r="AM28" s="65"/>
      <c r="AN28" s="14"/>
      <c r="AO28" s="65"/>
      <c r="AP28" s="595"/>
      <c r="AQ28" s="596"/>
      <c r="AR28" s="33"/>
      <c r="AS28" s="34"/>
      <c r="AT28" s="142">
        <v>24</v>
      </c>
      <c r="AU28" s="151" t="s">
        <v>127</v>
      </c>
      <c r="AV28" s="507"/>
      <c r="AW28" s="14"/>
      <c r="AX28" s="67" t="s">
        <v>33</v>
      </c>
      <c r="AY28" s="69"/>
      <c r="AZ28" s="67" t="s">
        <v>33</v>
      </c>
      <c r="BA28" s="69"/>
      <c r="BB28" s="72" t="s">
        <v>33</v>
      </c>
      <c r="BC28" s="97"/>
      <c r="BD28" s="67" t="s">
        <v>33</v>
      </c>
      <c r="BE28" s="14"/>
      <c r="BF28" s="70"/>
      <c r="BG28" s="72"/>
      <c r="BH28" s="70"/>
      <c r="BI28" s="72"/>
      <c r="BJ28" s="72"/>
      <c r="BK28" s="58"/>
      <c r="BL28" s="70"/>
      <c r="BM28" s="37"/>
      <c r="BN28" s="70"/>
      <c r="BO28" s="72"/>
      <c r="BP28" s="70"/>
      <c r="BQ28" s="72"/>
      <c r="BR28" s="72"/>
      <c r="BS28" s="15"/>
      <c r="BT28" s="70"/>
      <c r="BU28" s="96"/>
      <c r="BV28" s="74"/>
      <c r="BW28" s="69"/>
      <c r="BX28" s="74" t="s">
        <v>34</v>
      </c>
      <c r="BY28" s="69"/>
      <c r="BZ28" s="74" t="s">
        <v>34</v>
      </c>
      <c r="CA28" s="97"/>
      <c r="CB28" s="74" t="s">
        <v>34</v>
      </c>
      <c r="CC28" s="142">
        <v>24</v>
      </c>
      <c r="CD28" s="151" t="s">
        <v>127</v>
      </c>
      <c r="CE28" s="507"/>
      <c r="CF28" s="311">
        <f t="shared" si="0"/>
        <v>4</v>
      </c>
      <c r="CG28" s="76">
        <f t="shared" si="1"/>
        <v>3</v>
      </c>
      <c r="CH28" s="27"/>
      <c r="CI28" s="28"/>
      <c r="CJ28" s="449"/>
      <c r="CK28" s="450"/>
    </row>
    <row r="29" spans="1:89" ht="15" customHeight="1">
      <c r="A29" s="142">
        <v>25</v>
      </c>
      <c r="B29" s="151" t="s">
        <v>128</v>
      </c>
      <c r="C29" s="606"/>
      <c r="D29" s="14"/>
      <c r="E29" s="65"/>
      <c r="F29" s="14"/>
      <c r="G29" s="65"/>
      <c r="H29" s="14"/>
      <c r="I29" s="65"/>
      <c r="J29" s="14"/>
      <c r="K29" s="65"/>
      <c r="L29" s="14"/>
      <c r="M29" s="65"/>
      <c r="N29" s="14"/>
      <c r="O29" s="58"/>
      <c r="P29" s="14"/>
      <c r="Q29" s="65"/>
      <c r="R29" s="15"/>
      <c r="S29" s="65"/>
      <c r="T29" s="15"/>
      <c r="U29" s="65"/>
      <c r="V29" s="15"/>
      <c r="W29" s="65"/>
      <c r="X29" s="15"/>
      <c r="Y29" s="65"/>
      <c r="Z29" s="14"/>
      <c r="AA29" s="65"/>
      <c r="AB29" s="14"/>
      <c r="AC29" s="65"/>
      <c r="AD29" s="15"/>
      <c r="AE29" s="65"/>
      <c r="AF29" s="14"/>
      <c r="AG29" s="65"/>
      <c r="AH29" s="14"/>
      <c r="AI29" s="65"/>
      <c r="AJ29" s="14"/>
      <c r="AK29" s="65"/>
      <c r="AL29" s="14"/>
      <c r="AM29" s="65"/>
      <c r="AN29" s="14"/>
      <c r="AO29" s="65"/>
      <c r="AP29" s="595"/>
      <c r="AQ29" s="596"/>
      <c r="AR29" s="33"/>
      <c r="AS29" s="34"/>
      <c r="AT29" s="142">
        <v>25</v>
      </c>
      <c r="AU29" s="151" t="s">
        <v>128</v>
      </c>
      <c r="AV29" s="507"/>
      <c r="AW29" s="14"/>
      <c r="AX29" s="74" t="s">
        <v>34</v>
      </c>
      <c r="AY29" s="69"/>
      <c r="AZ29" s="74" t="s">
        <v>34</v>
      </c>
      <c r="BA29" s="69"/>
      <c r="BB29" s="74" t="s">
        <v>34</v>
      </c>
      <c r="BC29" s="97"/>
      <c r="BD29" s="74" t="s">
        <v>34</v>
      </c>
      <c r="BE29" s="14"/>
      <c r="BF29" s="67" t="s">
        <v>33</v>
      </c>
      <c r="BG29" s="69"/>
      <c r="BH29" s="67" t="s">
        <v>33</v>
      </c>
      <c r="BI29" s="69"/>
      <c r="BJ29" s="72" t="s">
        <v>33</v>
      </c>
      <c r="BK29" s="97"/>
      <c r="BL29" s="67" t="s">
        <v>33</v>
      </c>
      <c r="BM29" s="37"/>
      <c r="BN29" s="70"/>
      <c r="BO29" s="72"/>
      <c r="BP29" s="70"/>
      <c r="BQ29" s="72"/>
      <c r="BR29" s="72"/>
      <c r="BS29" s="15"/>
      <c r="BT29" s="70"/>
      <c r="BU29" s="96"/>
      <c r="BV29" s="67"/>
      <c r="BW29" s="69"/>
      <c r="BX29" s="67"/>
      <c r="BY29" s="69"/>
      <c r="BZ29" s="69"/>
      <c r="CA29" s="97"/>
      <c r="CB29" s="67"/>
      <c r="CC29" s="142">
        <v>25</v>
      </c>
      <c r="CD29" s="151" t="s">
        <v>128</v>
      </c>
      <c r="CE29" s="507"/>
      <c r="CF29" s="311">
        <f t="shared" si="0"/>
        <v>4</v>
      </c>
      <c r="CG29" s="76">
        <f t="shared" si="1"/>
        <v>4</v>
      </c>
      <c r="CH29" s="27"/>
      <c r="CI29" s="28"/>
      <c r="CJ29" s="449"/>
      <c r="CK29" s="450"/>
    </row>
    <row r="30" spans="1:89" ht="15" customHeight="1">
      <c r="A30" s="142">
        <v>26</v>
      </c>
      <c r="B30" s="151" t="s">
        <v>129</v>
      </c>
      <c r="C30" s="606"/>
      <c r="D30" s="252"/>
      <c r="E30" s="65"/>
      <c r="F30" s="113"/>
      <c r="G30" s="65"/>
      <c r="H30" s="113"/>
      <c r="I30" s="65"/>
      <c r="J30" s="113"/>
      <c r="K30" s="65"/>
      <c r="L30" s="113"/>
      <c r="M30" s="65"/>
      <c r="N30" s="14"/>
      <c r="O30" s="58"/>
      <c r="P30" s="14"/>
      <c r="Q30" s="65"/>
      <c r="R30" s="113"/>
      <c r="S30" s="65"/>
      <c r="T30" s="113"/>
      <c r="U30" s="65"/>
      <c r="V30" s="15"/>
      <c r="W30" s="65"/>
      <c r="X30" s="113"/>
      <c r="Y30" s="65"/>
      <c r="Z30" s="113"/>
      <c r="AA30" s="65"/>
      <c r="AB30" s="113"/>
      <c r="AC30" s="65"/>
      <c r="AD30" s="113"/>
      <c r="AE30" s="65"/>
      <c r="AF30" s="113"/>
      <c r="AG30" s="65"/>
      <c r="AH30" s="113"/>
      <c r="AI30" s="65"/>
      <c r="AJ30" s="14"/>
      <c r="AK30" s="65"/>
      <c r="AL30" s="113"/>
      <c r="AM30" s="65"/>
      <c r="AN30" s="113"/>
      <c r="AO30" s="65"/>
      <c r="AP30" s="595"/>
      <c r="AQ30" s="596"/>
      <c r="AR30" s="33"/>
      <c r="AS30" s="34"/>
      <c r="AT30" s="142">
        <v>26</v>
      </c>
      <c r="AU30" s="151" t="s">
        <v>129</v>
      </c>
      <c r="AV30" s="507"/>
      <c r="AW30" s="14"/>
      <c r="AX30" s="70"/>
      <c r="AY30" s="72"/>
      <c r="AZ30" s="70"/>
      <c r="BA30" s="72"/>
      <c r="BB30" s="72"/>
      <c r="BC30" s="58"/>
      <c r="BD30" s="70"/>
      <c r="BE30" s="14"/>
      <c r="BF30" s="74" t="s">
        <v>34</v>
      </c>
      <c r="BG30" s="69"/>
      <c r="BH30" s="74" t="s">
        <v>34</v>
      </c>
      <c r="BI30" s="69"/>
      <c r="BJ30" s="74" t="s">
        <v>34</v>
      </c>
      <c r="BK30" s="97"/>
      <c r="BL30" s="74" t="s">
        <v>34</v>
      </c>
      <c r="BM30" s="37"/>
      <c r="BN30" s="67" t="s">
        <v>33</v>
      </c>
      <c r="BO30" s="69"/>
      <c r="BP30" s="67" t="s">
        <v>33</v>
      </c>
      <c r="BQ30" s="69"/>
      <c r="BR30" s="72" t="s">
        <v>33</v>
      </c>
      <c r="BS30" s="97"/>
      <c r="BT30" s="67" t="s">
        <v>33</v>
      </c>
      <c r="BU30" s="96"/>
      <c r="BV30" s="67"/>
      <c r="BW30" s="69"/>
      <c r="BX30" s="67"/>
      <c r="BY30" s="69"/>
      <c r="BZ30" s="69"/>
      <c r="CA30" s="97"/>
      <c r="CB30" s="67"/>
      <c r="CC30" s="142">
        <v>26</v>
      </c>
      <c r="CD30" s="151" t="s">
        <v>129</v>
      </c>
      <c r="CE30" s="507"/>
      <c r="CF30" s="311">
        <f t="shared" si="0"/>
        <v>4</v>
      </c>
      <c r="CG30" s="76">
        <f t="shared" si="1"/>
        <v>4</v>
      </c>
      <c r="CH30" s="27"/>
      <c r="CI30" s="28"/>
      <c r="CJ30" s="449"/>
      <c r="CK30" s="450"/>
    </row>
    <row r="31" spans="1:89" ht="15" customHeight="1">
      <c r="A31" s="22">
        <v>27</v>
      </c>
      <c r="B31" s="13" t="s">
        <v>130</v>
      </c>
      <c r="C31" s="606"/>
      <c r="D31" s="16"/>
      <c r="E31" s="17"/>
      <c r="F31" s="16"/>
      <c r="G31" s="17"/>
      <c r="H31" s="16"/>
      <c r="I31" s="17"/>
      <c r="J31" s="16"/>
      <c r="K31" s="17"/>
      <c r="L31" s="16"/>
      <c r="M31" s="17"/>
      <c r="N31" s="16"/>
      <c r="O31" s="59"/>
      <c r="P31" s="16"/>
      <c r="Q31" s="17"/>
      <c r="R31" s="18"/>
      <c r="S31" s="17"/>
      <c r="T31" s="18"/>
      <c r="U31" s="17"/>
      <c r="V31" s="18"/>
      <c r="W31" s="17"/>
      <c r="X31" s="18"/>
      <c r="Y31" s="17"/>
      <c r="Z31" s="16"/>
      <c r="AA31" s="17"/>
      <c r="AB31" s="16"/>
      <c r="AC31" s="17"/>
      <c r="AD31" s="18"/>
      <c r="AE31" s="17"/>
      <c r="AF31" s="16"/>
      <c r="AG31" s="17"/>
      <c r="AH31" s="16"/>
      <c r="AI31" s="17"/>
      <c r="AJ31" s="16"/>
      <c r="AK31" s="17"/>
      <c r="AL31" s="16"/>
      <c r="AM31" s="17"/>
      <c r="AN31" s="16"/>
      <c r="AO31" s="17"/>
      <c r="AP31" s="603"/>
      <c r="AQ31" s="604"/>
      <c r="AR31" s="104"/>
      <c r="AS31" s="105"/>
      <c r="AT31" s="22">
        <v>27</v>
      </c>
      <c r="AU31" s="13" t="s">
        <v>130</v>
      </c>
      <c r="AV31" s="507"/>
      <c r="AW31" s="16"/>
      <c r="AX31" s="71"/>
      <c r="AY31" s="73"/>
      <c r="AZ31" s="71"/>
      <c r="BA31" s="73"/>
      <c r="BB31" s="73"/>
      <c r="BC31" s="59"/>
      <c r="BD31" s="71"/>
      <c r="BE31" s="16"/>
      <c r="BF31" s="71"/>
      <c r="BG31" s="73"/>
      <c r="BH31" s="71"/>
      <c r="BI31" s="73"/>
      <c r="BJ31" s="73"/>
      <c r="BK31" s="59"/>
      <c r="BL31" s="71"/>
      <c r="BM31" s="38"/>
      <c r="BN31" s="75" t="s">
        <v>34</v>
      </c>
      <c r="BO31" s="68"/>
      <c r="BP31" s="75" t="s">
        <v>34</v>
      </c>
      <c r="BQ31" s="68"/>
      <c r="BR31" s="75" t="s">
        <v>34</v>
      </c>
      <c r="BS31" s="83"/>
      <c r="BT31" s="70" t="s">
        <v>61</v>
      </c>
      <c r="BU31" s="108"/>
      <c r="BV31" s="66"/>
      <c r="BW31" s="68"/>
      <c r="BX31" s="66" t="s">
        <v>33</v>
      </c>
      <c r="BY31" s="68"/>
      <c r="BZ31" s="73" t="s">
        <v>33</v>
      </c>
      <c r="CA31" s="83"/>
      <c r="CB31" s="66" t="s">
        <v>33</v>
      </c>
      <c r="CC31" s="22">
        <v>27</v>
      </c>
      <c r="CD31" s="13" t="s">
        <v>130</v>
      </c>
      <c r="CE31" s="507"/>
      <c r="CF31" s="311">
        <f t="shared" si="0"/>
        <v>3</v>
      </c>
      <c r="CG31" s="76">
        <f t="shared" si="1"/>
        <v>3</v>
      </c>
      <c r="CH31" s="27"/>
      <c r="CI31" s="28"/>
      <c r="CJ31" s="449"/>
      <c r="CK31" s="450"/>
    </row>
    <row r="32" spans="1:89" ht="15" customHeight="1">
      <c r="A32" s="22">
        <v>28</v>
      </c>
      <c r="B32" s="13" t="s">
        <v>131</v>
      </c>
      <c r="C32" s="607"/>
      <c r="D32" s="16"/>
      <c r="E32" s="17"/>
      <c r="F32" s="16"/>
      <c r="G32" s="17"/>
      <c r="H32" s="16"/>
      <c r="I32" s="17"/>
      <c r="J32" s="16"/>
      <c r="K32" s="17"/>
      <c r="L32" s="16"/>
      <c r="M32" s="17"/>
      <c r="N32" s="16"/>
      <c r="O32" s="59"/>
      <c r="P32" s="16"/>
      <c r="Q32" s="17"/>
      <c r="R32" s="18"/>
      <c r="S32" s="17"/>
      <c r="T32" s="18"/>
      <c r="U32" s="17"/>
      <c r="V32" s="18"/>
      <c r="W32" s="17"/>
      <c r="X32" s="18"/>
      <c r="Y32" s="17"/>
      <c r="Z32" s="16"/>
      <c r="AA32" s="17"/>
      <c r="AB32" s="16"/>
      <c r="AC32" s="17"/>
      <c r="AD32" s="18"/>
      <c r="AE32" s="17"/>
      <c r="AF32" s="16"/>
      <c r="AG32" s="17"/>
      <c r="AH32" s="16"/>
      <c r="AI32" s="17"/>
      <c r="AJ32" s="16"/>
      <c r="AK32" s="17"/>
      <c r="AL32" s="16"/>
      <c r="AM32" s="17"/>
      <c r="AN32" s="16"/>
      <c r="AO32" s="17"/>
      <c r="AP32" s="593"/>
      <c r="AQ32" s="594"/>
      <c r="AR32" s="104"/>
      <c r="AS32" s="105"/>
      <c r="AT32" s="22">
        <v>28</v>
      </c>
      <c r="AU32" s="13" t="s">
        <v>131</v>
      </c>
      <c r="AV32" s="508"/>
      <c r="AW32" s="16"/>
      <c r="AX32" s="66" t="s">
        <v>33</v>
      </c>
      <c r="AY32" s="68"/>
      <c r="AZ32" s="66" t="s">
        <v>33</v>
      </c>
      <c r="BA32" s="68"/>
      <c r="BB32" s="73" t="s">
        <v>33</v>
      </c>
      <c r="BC32" s="83"/>
      <c r="BD32" s="66" t="s">
        <v>33</v>
      </c>
      <c r="BE32" s="16"/>
      <c r="BF32" s="71"/>
      <c r="BG32" s="73"/>
      <c r="BH32" s="71"/>
      <c r="BI32" s="73"/>
      <c r="BJ32" s="73"/>
      <c r="BK32" s="59"/>
      <c r="BL32" s="71"/>
      <c r="BM32" s="38"/>
      <c r="BN32" s="71"/>
      <c r="BO32" s="73"/>
      <c r="BP32" s="71"/>
      <c r="BQ32" s="73"/>
      <c r="BR32" s="73"/>
      <c r="BS32" s="18"/>
      <c r="BT32" s="71"/>
      <c r="BU32" s="108"/>
      <c r="BV32" s="75"/>
      <c r="BW32" s="68"/>
      <c r="BX32" s="75" t="s">
        <v>34</v>
      </c>
      <c r="BY32" s="68"/>
      <c r="BZ32" s="75" t="s">
        <v>34</v>
      </c>
      <c r="CA32" s="83"/>
      <c r="CB32" s="75" t="s">
        <v>34</v>
      </c>
      <c r="CC32" s="22">
        <v>28</v>
      </c>
      <c r="CD32" s="13" t="s">
        <v>131</v>
      </c>
      <c r="CE32" s="508"/>
      <c r="CF32" s="311">
        <f t="shared" si="0"/>
        <v>4</v>
      </c>
      <c r="CG32" s="76">
        <f t="shared" si="1"/>
        <v>3</v>
      </c>
      <c r="CH32" s="27"/>
      <c r="CI32" s="28"/>
      <c r="CJ32" s="449"/>
      <c r="CK32" s="450"/>
    </row>
    <row r="33" spans="1:89" ht="15" customHeight="1">
      <c r="A33" s="142">
        <v>29</v>
      </c>
      <c r="B33" s="151" t="s">
        <v>132</v>
      </c>
      <c r="C33" s="605">
        <v>48</v>
      </c>
      <c r="D33" s="14"/>
      <c r="E33" s="65"/>
      <c r="F33" s="14"/>
      <c r="G33" s="65"/>
      <c r="H33" s="14"/>
      <c r="I33" s="65"/>
      <c r="J33" s="14"/>
      <c r="K33" s="65"/>
      <c r="L33" s="14"/>
      <c r="M33" s="65"/>
      <c r="N33" s="14"/>
      <c r="O33" s="58"/>
      <c r="P33" s="14"/>
      <c r="Q33" s="65"/>
      <c r="R33" s="15"/>
      <c r="S33" s="65"/>
      <c r="T33" s="15"/>
      <c r="U33" s="65"/>
      <c r="V33" s="15"/>
      <c r="W33" s="65"/>
      <c r="X33" s="15"/>
      <c r="Y33" s="65"/>
      <c r="Z33" s="14"/>
      <c r="AA33" s="65"/>
      <c r="AB33" s="14"/>
      <c r="AC33" s="65"/>
      <c r="AD33" s="15"/>
      <c r="AE33" s="65"/>
      <c r="AF33" s="14"/>
      <c r="AG33" s="65"/>
      <c r="AH33" s="14"/>
      <c r="AI33" s="65"/>
      <c r="AJ33" s="14"/>
      <c r="AK33" s="65"/>
      <c r="AL33" s="14"/>
      <c r="AM33" s="65"/>
      <c r="AN33" s="14"/>
      <c r="AO33" s="65"/>
      <c r="AP33" s="591"/>
      <c r="AQ33" s="592"/>
      <c r="AR33" s="33"/>
      <c r="AS33" s="34"/>
      <c r="AT33" s="142">
        <v>29</v>
      </c>
      <c r="AU33" s="151" t="s">
        <v>132</v>
      </c>
      <c r="AV33" s="506">
        <v>49</v>
      </c>
      <c r="AW33" s="14"/>
      <c r="AX33" s="74" t="s">
        <v>34</v>
      </c>
      <c r="AY33" s="69"/>
      <c r="AZ33" s="74" t="s">
        <v>34</v>
      </c>
      <c r="BA33" s="69"/>
      <c r="BB33" s="74" t="s">
        <v>34</v>
      </c>
      <c r="BC33" s="97"/>
      <c r="BD33" s="74" t="s">
        <v>34</v>
      </c>
      <c r="BE33" s="14"/>
      <c r="BF33" s="67" t="s">
        <v>33</v>
      </c>
      <c r="BG33" s="69"/>
      <c r="BH33" s="67" t="s">
        <v>33</v>
      </c>
      <c r="BI33" s="69"/>
      <c r="BJ33" s="72" t="s">
        <v>33</v>
      </c>
      <c r="BK33" s="97"/>
      <c r="BL33" s="67" t="s">
        <v>33</v>
      </c>
      <c r="BM33" s="37"/>
      <c r="BN33" s="70"/>
      <c r="BO33" s="72"/>
      <c r="BP33" s="70"/>
      <c r="BQ33" s="72"/>
      <c r="BR33" s="72"/>
      <c r="BS33" s="15"/>
      <c r="BT33" s="70"/>
      <c r="BU33" s="96"/>
      <c r="BV33" s="67"/>
      <c r="BW33" s="69"/>
      <c r="BX33" s="67"/>
      <c r="BY33" s="69"/>
      <c r="BZ33" s="69"/>
      <c r="CA33" s="97"/>
      <c r="CB33" s="67"/>
      <c r="CC33" s="142">
        <v>29</v>
      </c>
      <c r="CD33" s="151" t="s">
        <v>132</v>
      </c>
      <c r="CE33" s="506">
        <v>48</v>
      </c>
      <c r="CF33" s="311">
        <f t="shared" si="0"/>
        <v>4</v>
      </c>
      <c r="CG33" s="76">
        <f t="shared" si="1"/>
        <v>4</v>
      </c>
      <c r="CH33" s="27"/>
      <c r="CI33" s="28"/>
      <c r="CJ33" s="449"/>
      <c r="CK33" s="450"/>
    </row>
    <row r="34" spans="1:89" ht="15" customHeight="1" thickBot="1">
      <c r="A34" s="142">
        <v>30</v>
      </c>
      <c r="B34" s="151" t="s">
        <v>133</v>
      </c>
      <c r="C34" s="607"/>
      <c r="D34" s="253"/>
      <c r="E34" s="254"/>
      <c r="F34" s="14"/>
      <c r="G34" s="65"/>
      <c r="H34" s="14"/>
      <c r="I34" s="65"/>
      <c r="J34" s="14"/>
      <c r="K34" s="65"/>
      <c r="L34" s="14"/>
      <c r="M34" s="65"/>
      <c r="N34" s="14"/>
      <c r="O34" s="58"/>
      <c r="P34" s="14"/>
      <c r="Q34" s="65"/>
      <c r="R34" s="15"/>
      <c r="S34" s="65"/>
      <c r="T34" s="15"/>
      <c r="U34" s="65"/>
      <c r="V34" s="15"/>
      <c r="W34" s="65"/>
      <c r="X34" s="15"/>
      <c r="Y34" s="65"/>
      <c r="Z34" s="14"/>
      <c r="AA34" s="65"/>
      <c r="AB34" s="14"/>
      <c r="AC34" s="65"/>
      <c r="AD34" s="15"/>
      <c r="AE34" s="65"/>
      <c r="AF34" s="14"/>
      <c r="AG34" s="65"/>
      <c r="AH34" s="14"/>
      <c r="AI34" s="65"/>
      <c r="AJ34" s="14"/>
      <c r="AK34" s="65"/>
      <c r="AL34" s="14"/>
      <c r="AM34" s="65"/>
      <c r="AN34" s="14"/>
      <c r="AO34" s="65"/>
      <c r="AP34" s="601"/>
      <c r="AQ34" s="602"/>
      <c r="AR34" s="35"/>
      <c r="AS34" s="36"/>
      <c r="AT34" s="142">
        <v>30</v>
      </c>
      <c r="AU34" s="151" t="s">
        <v>133</v>
      </c>
      <c r="AV34" s="508"/>
      <c r="AW34" s="14"/>
      <c r="AX34" s="70"/>
      <c r="AY34" s="72"/>
      <c r="AZ34" s="70"/>
      <c r="BA34" s="72"/>
      <c r="BB34" s="72"/>
      <c r="BC34" s="58"/>
      <c r="BD34" s="70"/>
      <c r="BE34" s="14"/>
      <c r="BF34" s="74" t="s">
        <v>34</v>
      </c>
      <c r="BG34" s="69"/>
      <c r="BH34" s="74" t="s">
        <v>34</v>
      </c>
      <c r="BI34" s="69"/>
      <c r="BJ34" s="74" t="s">
        <v>34</v>
      </c>
      <c r="BK34" s="97"/>
      <c r="BL34" s="74" t="s">
        <v>34</v>
      </c>
      <c r="BM34" s="37"/>
      <c r="BN34" s="67" t="s">
        <v>33</v>
      </c>
      <c r="BO34" s="69"/>
      <c r="BP34" s="67" t="s">
        <v>33</v>
      </c>
      <c r="BQ34" s="69"/>
      <c r="BR34" s="72" t="s">
        <v>33</v>
      </c>
      <c r="BS34" s="97"/>
      <c r="BT34" s="67" t="s">
        <v>33</v>
      </c>
      <c r="BU34" s="96"/>
      <c r="BV34" s="67"/>
      <c r="BW34" s="69"/>
      <c r="BX34" s="67"/>
      <c r="BY34" s="69"/>
      <c r="BZ34" s="69"/>
      <c r="CA34" s="97"/>
      <c r="CB34" s="67"/>
      <c r="CC34" s="142">
        <v>30</v>
      </c>
      <c r="CD34" s="151" t="s">
        <v>133</v>
      </c>
      <c r="CE34" s="508"/>
      <c r="CF34" s="312">
        <f t="shared" si="0"/>
        <v>4</v>
      </c>
      <c r="CG34" s="77">
        <f t="shared" si="1"/>
        <v>4</v>
      </c>
      <c r="CH34" s="26"/>
      <c r="CI34" s="21"/>
      <c r="CJ34" s="549"/>
      <c r="CK34" s="550"/>
    </row>
    <row r="35" spans="1:89" ht="15" customHeight="1" thickBot="1">
      <c r="D35" s="8">
        <f t="shared" ref="D35:AN35" si="2">(COUNTIF(D5:D34,"הרצליה")+COUNTIF(D5:D34,"חיפה")+COUNTIF(D5:D34,"רמון")+COUNTIF(D5:D34,"ראש פינה")+COUNTIF(D5:D34,"ה.ב"))</f>
        <v>0</v>
      </c>
      <c r="E35" s="9">
        <f t="shared" ref="E35:AO35" si="3">(COUNTIF(E5:E34,"כ")+COUNTIF(E5:E34,"כמ"))*6+(COUNTIF(E5:E34,"כש")+COUNTIF(E5:E34,"כמש"))*10</f>
        <v>0</v>
      </c>
      <c r="F35" s="8">
        <f t="shared" si="2"/>
        <v>0</v>
      </c>
      <c r="G35" s="9">
        <f t="shared" si="3"/>
        <v>0</v>
      </c>
      <c r="H35" s="8">
        <f t="shared" si="2"/>
        <v>0</v>
      </c>
      <c r="I35" s="9">
        <f t="shared" si="3"/>
        <v>0</v>
      </c>
      <c r="J35" s="8">
        <f t="shared" si="2"/>
        <v>0</v>
      </c>
      <c r="K35" s="9">
        <f t="shared" si="3"/>
        <v>0</v>
      </c>
      <c r="L35" s="8">
        <f t="shared" si="2"/>
        <v>0</v>
      </c>
      <c r="M35" s="9">
        <f t="shared" si="3"/>
        <v>0</v>
      </c>
      <c r="N35" s="8">
        <f t="shared" si="2"/>
        <v>0</v>
      </c>
      <c r="O35" s="9">
        <f t="shared" si="3"/>
        <v>0</v>
      </c>
      <c r="P35" s="8">
        <f t="shared" si="2"/>
        <v>0</v>
      </c>
      <c r="Q35" s="9">
        <f t="shared" si="3"/>
        <v>0</v>
      </c>
      <c r="R35" s="8">
        <f t="shared" si="2"/>
        <v>0</v>
      </c>
      <c r="S35" s="9">
        <f t="shared" si="3"/>
        <v>0</v>
      </c>
      <c r="T35" s="8">
        <f t="shared" si="2"/>
        <v>0</v>
      </c>
      <c r="U35" s="9">
        <f t="shared" si="3"/>
        <v>0</v>
      </c>
      <c r="V35" s="8">
        <f t="shared" si="2"/>
        <v>0</v>
      </c>
      <c r="W35" s="9">
        <f t="shared" si="3"/>
        <v>0</v>
      </c>
      <c r="X35" s="8">
        <f t="shared" si="2"/>
        <v>1</v>
      </c>
      <c r="Y35" s="9">
        <f t="shared" si="3"/>
        <v>0</v>
      </c>
      <c r="Z35" s="8">
        <f t="shared" si="2"/>
        <v>0</v>
      </c>
      <c r="AA35" s="9">
        <f t="shared" si="3"/>
        <v>0</v>
      </c>
      <c r="AB35" s="8">
        <f t="shared" si="2"/>
        <v>0</v>
      </c>
      <c r="AC35" s="9">
        <f t="shared" si="3"/>
        <v>0</v>
      </c>
      <c r="AD35" s="8">
        <f t="shared" si="2"/>
        <v>0</v>
      </c>
      <c r="AE35" s="9">
        <f t="shared" si="3"/>
        <v>0</v>
      </c>
      <c r="AF35" s="8">
        <f t="shared" si="2"/>
        <v>0</v>
      </c>
      <c r="AG35" s="9">
        <f t="shared" si="3"/>
        <v>0</v>
      </c>
      <c r="AH35" s="8">
        <f t="shared" si="2"/>
        <v>0</v>
      </c>
      <c r="AI35" s="9">
        <f t="shared" si="3"/>
        <v>0</v>
      </c>
      <c r="AJ35" s="8">
        <f t="shared" si="2"/>
        <v>0</v>
      </c>
      <c r="AK35" s="9">
        <f t="shared" si="3"/>
        <v>0</v>
      </c>
      <c r="AL35" s="8">
        <f t="shared" si="2"/>
        <v>0</v>
      </c>
      <c r="AM35" s="9">
        <f t="shared" si="3"/>
        <v>0</v>
      </c>
      <c r="AN35" s="8">
        <f t="shared" si="2"/>
        <v>0</v>
      </c>
      <c r="AO35" s="9">
        <f t="shared" si="3"/>
        <v>0</v>
      </c>
      <c r="AT35" s="482" t="s">
        <v>38</v>
      </c>
      <c r="AU35" s="483"/>
      <c r="AV35" s="484"/>
      <c r="AW35" s="485">
        <f>COUNTIF(AX4:AX34,"י")+COUNTIF(AX4:AX34,"Y")+COUNTIF(AX4:AX34,"2")</f>
        <v>7</v>
      </c>
      <c r="AX35" s="465"/>
      <c r="AY35" s="464">
        <f>COUNTIF(AZ4:AZ34,"י")+COUNTIF(AZ4:AZ34,"Y")+COUNTIF(AZ4:AZ34,"2")</f>
        <v>7</v>
      </c>
      <c r="AZ35" s="465"/>
      <c r="BA35" s="464">
        <f>COUNTIF(BB4:BB34,"י")+COUNTIF(BB4:BB34,"Y")+COUNTIF(BB4:BB34,"2")</f>
        <v>7</v>
      </c>
      <c r="BB35" s="465"/>
      <c r="BC35" s="464">
        <f>COUNTIF(BD4:BD34,"י")+COUNTIF(BD4:BD34,"Y")+COUNTIF(BD4:BD34,"2")</f>
        <v>7</v>
      </c>
      <c r="BD35" s="465"/>
      <c r="BE35" s="464">
        <f>COUNTIF(BF4:BF34,"י")+COUNTIF(BF4:BF34,"Y")+COUNTIF(BF4:BF34,"2")</f>
        <v>8</v>
      </c>
      <c r="BF35" s="465"/>
      <c r="BG35" s="464">
        <f>COUNTIF(BH4:BH34,"י")+COUNTIF(BH4:BH34,"Y")+COUNTIF(BH4:BH34,"2")</f>
        <v>8</v>
      </c>
      <c r="BH35" s="465"/>
      <c r="BI35" s="464">
        <f>COUNTIF(BJ4:BJ34,"י")+COUNTIF(BJ4:BJ34,"Y")+COUNTIF(BJ4:BJ34,"2")</f>
        <v>8</v>
      </c>
      <c r="BJ35" s="465"/>
      <c r="BK35" s="464">
        <f>COUNTIF(BL4:BL34,"י")+COUNTIF(BL4:BL34,"Y")+COUNTIF(BL4:BL34,"2")</f>
        <v>8</v>
      </c>
      <c r="BL35" s="465"/>
      <c r="BM35" s="464">
        <f>COUNTIF(BN4:BN34,"י")+COUNTIF(BN4:BN34,"Y")+COUNTIF(BN4:BN34,"2")</f>
        <v>8</v>
      </c>
      <c r="BN35" s="465"/>
      <c r="BO35" s="464">
        <f>COUNTIF(BP4:BP34,"י")+COUNTIF(BP4:BP34,"Y")+COUNTIF(BP4:BP34,"2")</f>
        <v>8</v>
      </c>
      <c r="BP35" s="465"/>
      <c r="BQ35" s="464">
        <f>COUNTIF(BR4:BR34,"י")+COUNTIF(BR4:BR34,"Y")+COUNTIF(BR4:BR34,"2")</f>
        <v>8</v>
      </c>
      <c r="BR35" s="465"/>
      <c r="BS35" s="464">
        <f>COUNTIF(BT4:BT34,"י")+COUNTIF(BT4:BT34,"Y")+COUNTIF(BT4:BT34,"2")</f>
        <v>7</v>
      </c>
      <c r="BT35" s="465"/>
      <c r="BU35" s="464">
        <f>COUNTIF(BV4:BV34,"י")+COUNTIF(BV4:BV34,"Y")+COUNTIF(BV4:BV34,"2")</f>
        <v>0</v>
      </c>
      <c r="BV35" s="465"/>
      <c r="BW35" s="464">
        <f>COUNTIF(BX4:BX34,"י")+COUNTIF(BX4:BX34,"Y")+COUNTIF(BX4:BX34,"2")</f>
        <v>7</v>
      </c>
      <c r="BX35" s="465"/>
      <c r="BY35" s="464">
        <f>COUNTIF(BZ4:BZ34,"י")+COUNTIF(BZ4:BZ34,"Y")+COUNTIF(BZ4:BZ34,"2")</f>
        <v>7</v>
      </c>
      <c r="BZ35" s="465"/>
      <c r="CA35" s="466">
        <f>COUNTIF(CB4:CB34,"י")+COUNTIF(CB4:CB34,"Y")+COUNTIF(CB4:CB34,"2")</f>
        <v>7</v>
      </c>
      <c r="CB35" s="467"/>
      <c r="CC35" s="468" t="s">
        <v>140</v>
      </c>
      <c r="CD35" s="469"/>
      <c r="CE35" s="470"/>
    </row>
    <row r="36" spans="1:89" ht="15" customHeight="1" thickBot="1">
      <c r="C36" t="s">
        <v>322</v>
      </c>
      <c r="D36" s="234">
        <f>D35+אוקטובר!D37</f>
        <v>8</v>
      </c>
      <c r="E36" s="234">
        <f>E35+אוקטובר!E37</f>
        <v>94</v>
      </c>
      <c r="F36" s="234">
        <f>F35+אוקטובר!F37</f>
        <v>9</v>
      </c>
      <c r="G36" s="234">
        <f>G35+אוקטובר!G37</f>
        <v>108</v>
      </c>
      <c r="H36" s="234">
        <f>H35+אוקטובר!H37</f>
        <v>7</v>
      </c>
      <c r="I36" s="234">
        <f>I35+אוקטובר!I37</f>
        <v>98</v>
      </c>
      <c r="J36" s="234">
        <f>J35+אוקטובר!J37</f>
        <v>6</v>
      </c>
      <c r="K36" s="234">
        <f>K35+אוקטובר!K37</f>
        <v>54</v>
      </c>
      <c r="L36" s="234">
        <f>L35+אוקטובר!L37</f>
        <v>5</v>
      </c>
      <c r="M36" s="234">
        <f>M35+אוקטובר!M37</f>
        <v>110</v>
      </c>
      <c r="N36" s="234">
        <f>N35+אוקטובר!N37</f>
        <v>12</v>
      </c>
      <c r="O36" s="234">
        <f>O35+אוקטובר!O37</f>
        <v>178</v>
      </c>
      <c r="P36" s="234">
        <f>P35+אוקטובר!P37</f>
        <v>9</v>
      </c>
      <c r="Q36" s="234">
        <f>Q35+אוקטובר!Q37</f>
        <v>104</v>
      </c>
      <c r="R36" s="234">
        <f>R35+אוקטובר!R37</f>
        <v>4</v>
      </c>
      <c r="S36" s="234">
        <f>S35+אוקטובר!S37</f>
        <v>90</v>
      </c>
      <c r="T36" s="234">
        <f>T35+אוקטובר!T37</f>
        <v>9</v>
      </c>
      <c r="U36" s="234">
        <f>U35+אוקטובר!U37</f>
        <v>94</v>
      </c>
      <c r="V36" s="234">
        <f>V35+אוקטובר!V37</f>
        <v>2</v>
      </c>
      <c r="W36" s="234">
        <f>W35+אוקטובר!W37</f>
        <v>90</v>
      </c>
      <c r="X36" s="234">
        <f>X35+אוקטובר!X37</f>
        <v>20</v>
      </c>
      <c r="Y36" s="234">
        <f>Y35+אוקטובר!Y37</f>
        <v>246</v>
      </c>
      <c r="Z36" s="234">
        <f>Z35+אוקטובר!Z37</f>
        <v>2</v>
      </c>
      <c r="AA36" s="234">
        <f>AA35+אוקטובר!AA37</f>
        <v>0</v>
      </c>
      <c r="AB36" s="234">
        <f>AB35+אוקטובר!AB37</f>
        <v>4</v>
      </c>
      <c r="AC36" s="234">
        <f>AC35+אוקטובר!AC37</f>
        <v>164</v>
      </c>
      <c r="AD36" s="234">
        <f>AD35+אוקטובר!AD37</f>
        <v>1</v>
      </c>
      <c r="AE36" s="234">
        <f>AE35+אוקטובר!AE37</f>
        <v>180</v>
      </c>
      <c r="AF36" s="234">
        <f>AF35+אוקטובר!AF37</f>
        <v>10</v>
      </c>
      <c r="AG36" s="234">
        <f>AG35+אוקטובר!AG37</f>
        <v>200</v>
      </c>
      <c r="AH36" s="234">
        <f>AH35+אוקטובר!AH37</f>
        <v>2</v>
      </c>
      <c r="AI36" s="234">
        <f>AI35+אוקטובר!AI37</f>
        <v>168</v>
      </c>
      <c r="AJ36" s="234">
        <f>AJ35+אוקטובר!AJ37</f>
        <v>6</v>
      </c>
      <c r="AK36" s="234">
        <f>AK35+אוקטובר!AK37</f>
        <v>102</v>
      </c>
      <c r="AL36" s="234">
        <f>AL35+אוקטובר!AL37</f>
        <v>9</v>
      </c>
      <c r="AM36" s="234">
        <f>AM35+אוקטובר!AM37</f>
        <v>90</v>
      </c>
      <c r="AN36" s="234">
        <f>AN35+אוקטובר!AN37</f>
        <v>1</v>
      </c>
      <c r="AO36" s="234">
        <f>AO35+אוקטובר!AO37</f>
        <v>42</v>
      </c>
      <c r="AT36" s="478" t="s">
        <v>39</v>
      </c>
      <c r="AU36" s="479"/>
      <c r="AV36" s="480"/>
      <c r="AW36" s="481">
        <f>COUNTIF(AX4:AX34,"ל")+COUNTIF(AX4:AX34,"L")+COUNTIF(AX4:AX34,"ל2")</f>
        <v>8</v>
      </c>
      <c r="AX36" s="475"/>
      <c r="AY36" s="474">
        <f>COUNTIF(AZ4:AZ34,"ל")+COUNTIF(AZ4:AZ34,"L")+COUNTIF(AZ4:AZ34,"ל2")</f>
        <v>8</v>
      </c>
      <c r="AZ36" s="475"/>
      <c r="BA36" s="474">
        <f>COUNTIF(BB4:BB34,"ל")+COUNTIF(BB4:BB34,"L")+COUNTIF(BB4:BB34,"ל2")</f>
        <v>8</v>
      </c>
      <c r="BB36" s="475"/>
      <c r="BC36" s="474">
        <f>COUNTIF(BD4:BD34,"ל")+COUNTIF(BD4:BD34,"L")+COUNTIF(BD4:BD34,"ל2")</f>
        <v>8</v>
      </c>
      <c r="BD36" s="475"/>
      <c r="BE36" s="474">
        <f>COUNTIF(BF4:BF34,"ל")+COUNTIF(BF4:BF34,"L")+COUNTIF(BF4:BF34,"ל2")</f>
        <v>8</v>
      </c>
      <c r="BF36" s="475"/>
      <c r="BG36" s="474">
        <f>COUNTIF(BH4:BH34,"ל")+COUNTIF(BH4:BH34,"L")+COUNTIF(BH4:BH34,"ל2")</f>
        <v>8</v>
      </c>
      <c r="BH36" s="475"/>
      <c r="BI36" s="474">
        <f>COUNTIF(BJ4:BJ34,"ל")+COUNTIF(BJ4:BJ34,"L")+COUNTIF(BJ4:BJ34,"ל2")</f>
        <v>8</v>
      </c>
      <c r="BJ36" s="475"/>
      <c r="BK36" s="474">
        <f>COUNTIF(BL4:BL34,"ל")+COUNTIF(BL4:BL34,"L")+COUNTIF(BL4:BL34,"ל2")</f>
        <v>8</v>
      </c>
      <c r="BL36" s="475"/>
      <c r="BM36" s="474">
        <f>COUNTIF(BN4:BN34,"ל")+COUNTIF(BN4:BN34,"L")+COUNTIF(BN4:BN34,"ל2")</f>
        <v>7</v>
      </c>
      <c r="BN36" s="475"/>
      <c r="BO36" s="474">
        <f>COUNTIF(BP4:BP34,"ל")+COUNTIF(BP4:BP34,"L")+COUNTIF(BP4:BP34,"ל2")</f>
        <v>7</v>
      </c>
      <c r="BP36" s="475"/>
      <c r="BQ36" s="474">
        <f>COUNTIF(BR4:BR34,"ל")+COUNTIF(BR4:BR34,"L")+COUNTIF(BR4:BR34,"ל2")</f>
        <v>7</v>
      </c>
      <c r="BR36" s="475"/>
      <c r="BS36" s="474">
        <f>COUNTIF(BT4:BT34,"ל")+COUNTIF(BT4:BT34,"L")+COUNTIF(BT4:BT34,"ל2")</f>
        <v>6</v>
      </c>
      <c r="BT36" s="475"/>
      <c r="BU36" s="474">
        <f>COUNTIF(BV4:BV34,"ל")+COUNTIF(BV4:BV34,"L")+COUNTIF(BV4:BV34,"ל2")</f>
        <v>0</v>
      </c>
      <c r="BV36" s="475"/>
      <c r="BW36" s="474">
        <f>COUNTIF(BX4:BX34,"ל")+COUNTIF(BX4:BX34,"L")+COUNTIF(BX4:BX34,"ל2")</f>
        <v>7</v>
      </c>
      <c r="BX36" s="475"/>
      <c r="BY36" s="474">
        <f>COUNTIF(BZ4:BZ34,"ל")+COUNTIF(BZ4:BZ34,"L")+COUNTIF(BZ4:BZ34,"ל2")</f>
        <v>7</v>
      </c>
      <c r="BZ36" s="475"/>
      <c r="CA36" s="476">
        <f>COUNTIF(CB4:CB34,"ל")+COUNTIF(CB4:CB34,"L")+COUNTIF(CB4:CB34,"ל2")</f>
        <v>7</v>
      </c>
      <c r="CB36" s="477"/>
      <c r="CC36" s="471"/>
      <c r="CD36" s="472"/>
      <c r="CE36" s="473"/>
    </row>
    <row r="37" spans="1:89" s="63" customFormat="1" ht="15" customHeight="1" thickBot="1">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W37" s="488">
        <f>(AW35*12)+(AW36*12)+(COUNTIF(AX4:AX34,"ק")*8)+(COUNTIF(AX4:AX34,"ח")*8)+(COUNTIF(AX4:AX34,"מ")*8)+(COUNTIF(AX4:AX34,"מיל")*8)</f>
        <v>180</v>
      </c>
      <c r="AX37" s="487"/>
      <c r="AY37" s="486">
        <f>(AY35*12)+(AY36*12)+(COUNTIF(AZ4:AZ34,"ק")*8)+(COUNTIF(AZ4:AZ34,"ח")*8)+(COUNTIF(AZ4:AZ34,"מ")*8)+(COUNTIF(AZ4:AZ34,"מיל")*8)</f>
        <v>180</v>
      </c>
      <c r="AZ37" s="487"/>
      <c r="BA37" s="486">
        <f>(BA35*12)+(BA36*12)+(COUNTIF(BB4:BB34,"ק")*8)+(COUNTIF(BB4:BB34,"ח")*8)+(COUNTIF(BB4:BB34,"מ")*8)+(COUNTIF(BB4:BB34,"מיל")*8)</f>
        <v>180</v>
      </c>
      <c r="BB37" s="487"/>
      <c r="BC37" s="486">
        <f>(BC35*12)+(BC36*12)+(COUNTIF(BD4:BD34,"ק")*8)+(COUNTIF(BD4:BD34,"ח")*8)+(COUNTIF(BD4:BD34,"מ")*8)+(COUNTIF(BD4:BD34,"מיל")*8)</f>
        <v>180</v>
      </c>
      <c r="BD37" s="487"/>
      <c r="BE37" s="486">
        <f>(BE35*12)+(BE36*12)+(COUNTIF(BF4:BF34,"ק")*8)+(COUNTIF(BF4:BF34,"ח")*8)+(COUNTIF(BF4:BF34,"מ")*8)+(COUNTIF(BF4:BF34,"מיל")*8)</f>
        <v>192</v>
      </c>
      <c r="BF37" s="487"/>
      <c r="BG37" s="486">
        <f>(BG35*12)+(BG36*12)+(COUNTIF(BH4:BH34,"ק")*8)+(COUNTIF(BH4:BH34,"ח")*8)+(COUNTIF(BH4:BH34,"מ")*8)+(COUNTIF(BH4:BH34,"מיל")*8)</f>
        <v>192</v>
      </c>
      <c r="BH37" s="487"/>
      <c r="BI37" s="486">
        <f>(BI35*12)+(BI36*12)+(COUNTIF(BJ4:BJ34,"ק")*8)+(COUNTIF(BJ4:BJ34,"ח")*8)+(COUNTIF(BJ4:BJ34,"מ")*8)+(COUNTIF(BJ4:BJ34,"מיל")*8)</f>
        <v>192</v>
      </c>
      <c r="BJ37" s="487"/>
      <c r="BK37" s="486">
        <f>(BK35*12)+(BK36*12)+(COUNTIF(BL4:BL34,"ק")*8)+(COUNTIF(BL4:BL34,"ח")*8)+(COUNTIF(BL4:BL34,"מ")*8)+(COUNTIF(BL4:BL34,"מיל")*8)</f>
        <v>192</v>
      </c>
      <c r="BL37" s="487"/>
      <c r="BM37" s="486">
        <f>(BM35*12)+(BM36*12)+(COUNTIF(BN4:BN34,"ק")*8)+(COUNTIF(BN4:BN34,"ח")*8)+(COUNTIF(BN4:BN34,"מ")*8)+(COUNTIF(BN4:BN34,"מיל")*8)</f>
        <v>180</v>
      </c>
      <c r="BN37" s="487"/>
      <c r="BO37" s="486">
        <f>(BO35*12)+(BO36*12)+(COUNTIF(BP4:BP34,"ק")*8)+(COUNTIF(BP4:BP34,"ח")*8)+(COUNTIF(BP4:BP34,"מ")*8)+(COUNTIF(BP4:BP34,"מיל")*8)</f>
        <v>180</v>
      </c>
      <c r="BP37" s="487"/>
      <c r="BQ37" s="486">
        <f>(BQ35*12)+(BQ36*12)+(COUNTIF(BR4:BR34,"ק")*8)+(COUNTIF(BR4:BR34,"ח")*8)+(COUNTIF(BR4:BR34,"מ")*8)+(COUNTIF(BR4:BR34,"מיל")*8)</f>
        <v>180</v>
      </c>
      <c r="BR37" s="487"/>
      <c r="BS37" s="486">
        <f>(BS35*12)+(BS36*12)+(COUNTIF(BT4:BT34,"ק")*8)+(COUNTIF(BT4:BT34,"ח")*8)+(COUNTIF(BT4:BT34,"מ")*8)+(COUNTIF(BT4:BT34,"מיל")*8)</f>
        <v>156</v>
      </c>
      <c r="BT37" s="487"/>
      <c r="BU37" s="486">
        <f>(BU35*12)+(BU36*12)+(COUNTIF(BV4:BV34,"ק")*8)+(COUNTIF(BV4:BV34,"ח")*8)+(COUNTIF(BV4:BV34,"מ")*8)+(COUNTIF(BV4:BV34,"מיל")*8)</f>
        <v>0</v>
      </c>
      <c r="BV37" s="487"/>
      <c r="BW37" s="486">
        <f>(BW35*12)+(BW36*12)+(COUNTIF(BX4:BX34,"ק")*8)+(COUNTIF(BX4:BX34,"ח")*8)+(COUNTIF(BX4:BX34,"מ")*8)+(COUNTIF(BX4:BX34,"מיל")*8)</f>
        <v>168</v>
      </c>
      <c r="BX37" s="487"/>
      <c r="BY37" s="486">
        <f>(BY35*12)+(BY36*12)+(COUNTIF(BZ4:BZ34,"ק")*8)+(COUNTIF(BZ4:BZ34,"ח")*8)+(COUNTIF(BZ4:BZ34,"מ")*8)+(COUNTIF(BZ4:BZ34,"מיל")*8)</f>
        <v>168</v>
      </c>
      <c r="BZ37" s="487"/>
      <c r="CA37" s="486">
        <f>(CA35*12)+(CA36*12)+(COUNTIF(CB4:CB34,"ק")*8)+(COUNTIF(CB4:CB34,"ח")*8)+(COUNTIF(CB4:CB34,"מ")*8)+(COUNTIF(CB4:CB34,"מיל")*8)</f>
        <v>168</v>
      </c>
      <c r="CB37" s="496"/>
      <c r="CC37" s="497">
        <v>176</v>
      </c>
      <c r="CD37" s="498"/>
      <c r="CE37" s="499"/>
    </row>
    <row r="38" spans="1:89" ht="15" customHeight="1" thickBot="1">
      <c r="AW38" s="500">
        <f>AW37-CC37</f>
        <v>4</v>
      </c>
      <c r="AX38" s="491"/>
      <c r="AY38" s="490">
        <f>AY37-CC37</f>
        <v>4</v>
      </c>
      <c r="AZ38" s="491"/>
      <c r="BA38" s="490">
        <f>BA37-CC37</f>
        <v>4</v>
      </c>
      <c r="BB38" s="491"/>
      <c r="BC38" s="490">
        <f>BC37-CC37</f>
        <v>4</v>
      </c>
      <c r="BD38" s="491"/>
      <c r="BE38" s="490">
        <f>BE37-CC37</f>
        <v>16</v>
      </c>
      <c r="BF38" s="491"/>
      <c r="BG38" s="490">
        <f>BG37-CC37</f>
        <v>16</v>
      </c>
      <c r="BH38" s="491"/>
      <c r="BI38" s="490">
        <f>BI37-CC37</f>
        <v>16</v>
      </c>
      <c r="BJ38" s="491"/>
      <c r="BK38" s="490">
        <f>BK37-CC37</f>
        <v>16</v>
      </c>
      <c r="BL38" s="491"/>
      <c r="BM38" s="490">
        <f>BM37-CC37</f>
        <v>4</v>
      </c>
      <c r="BN38" s="491"/>
      <c r="BO38" s="490">
        <f>BO37-CC37</f>
        <v>4</v>
      </c>
      <c r="BP38" s="491"/>
      <c r="BQ38" s="490">
        <f>BQ37-CC37</f>
        <v>4</v>
      </c>
      <c r="BR38" s="491"/>
      <c r="BS38" s="490">
        <f>BS37-CC37</f>
        <v>-20</v>
      </c>
      <c r="BT38" s="491"/>
      <c r="BU38" s="490">
        <f>BU37-CC37</f>
        <v>-176</v>
      </c>
      <c r="BV38" s="491"/>
      <c r="BW38" s="490">
        <f>BW37-CC37</f>
        <v>-8</v>
      </c>
      <c r="BX38" s="491"/>
      <c r="BY38" s="490">
        <f>BY37-CC37</f>
        <v>-8</v>
      </c>
      <c r="BZ38" s="491"/>
      <c r="CA38" s="492">
        <f>CA37-CC37</f>
        <v>-8</v>
      </c>
      <c r="CB38" s="493"/>
      <c r="CC38" s="494" t="s">
        <v>222</v>
      </c>
      <c r="CD38" s="494"/>
      <c r="CE38" s="495"/>
    </row>
  </sheetData>
  <customSheetViews>
    <customSheetView guid="{C6961C98-214A-4770-9A2D-B399A95C6C8B}" scale="80">
      <pane ySplit="4" topLeftCell="A5" activePane="bottomLeft" state="frozen"/>
      <selection pane="bottomLeft" activeCell="D5" sqref="D5"/>
      <pageMargins left="0.7" right="0.7" top="0.75" bottom="0.75" header="0.3" footer="0.3"/>
      <pageSetup paperSize="9" orientation="portrait" r:id="rId1"/>
    </customSheetView>
    <customSheetView guid="{A704065A-5B6F-476C-AE5F-F67C013164B0}" scale="80">
      <pane ySplit="4" topLeftCell="A5" activePane="bottomLeft" state="frozen"/>
      <selection pane="bottomLeft" activeCell="P15" sqref="P15"/>
      <pageMargins left="0.7" right="0.7" top="0.75" bottom="0.75" header="0.3" footer="0.3"/>
      <pageSetup paperSize="9" orientation="portrait" r:id="rId2"/>
    </customSheetView>
    <customSheetView guid="{319CE2B6-D20C-48B8-B7D9-15D19162A7CD}" scale="80">
      <pane ySplit="4" topLeftCell="A5" activePane="bottomLeft" state="frozen"/>
      <selection pane="bottomLeft" activeCell="D5" sqref="D5"/>
      <pageMargins left="0.7" right="0.7" top="0.75" bottom="0.75" header="0.3" footer="0.3"/>
      <pageSetup paperSize="9" orientation="portrait" r:id="rId3"/>
    </customSheetView>
    <customSheetView guid="{C5360886-767B-4F33-B24F-A6512AA390CC}" scale="80" topLeftCell="AK1">
      <pane ySplit="4" topLeftCell="A5" activePane="bottomLeft" state="frozen"/>
      <selection pane="bottomLeft" activeCell="BD44" sqref="BD44"/>
      <pageMargins left="0.7" right="0.7" top="0.75" bottom="0.75" header="0.3" footer="0.3"/>
      <pageSetup paperSize="9" orientation="portrait" r:id="rId4"/>
    </customSheetView>
    <customSheetView guid="{9C777CA9-4E1C-4A90-9032-5D0586052FC8}" scale="80">
      <pane ySplit="4" topLeftCell="A5" activePane="bottomLeft" state="frozen"/>
      <selection pane="bottomLeft" activeCell="D5" sqref="D5"/>
      <pageMargins left="0.7" right="0.7" top="0.75" bottom="0.75" header="0.3" footer="0.3"/>
      <pageSetup paperSize="9" orientation="portrait" r:id="rId5"/>
    </customSheetView>
    <customSheetView guid="{FEBD343F-EB1E-4B3A-B093-25A74DB60DAB}" scale="80">
      <selection activeCell="D5" sqref="D5"/>
      <pageMargins left="0.7" right="0.7" top="0.75" bottom="0.75" header="0.3" footer="0.3"/>
      <pageSetup paperSize="9" orientation="portrait" r:id="rId6"/>
    </customSheetView>
    <customSheetView guid="{1D39CB39-D8E6-4DA4-ABBA-40E2E6F11928}" scale="80">
      <pane ySplit="3" topLeftCell="A5" activePane="bottomLeft" state="frozen"/>
      <selection pane="bottomLeft" activeCell="D5" sqref="D5"/>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D5" sqref="D5"/>
      <pageMargins left="0.7" right="0.7" top="0.75" bottom="0.75" header="0.3" footer="0.3"/>
      <pageSetup paperSize="9" orientation="portrait" r:id="rId8"/>
    </customSheetView>
    <customSheetView guid="{03543009-41DE-4C7D-B8BE-69526021AF29}" scale="80">
      <pane ySplit="4" topLeftCell="A5" activePane="bottomLeft" state="frozen"/>
      <selection pane="bottomLeft" activeCell="D5" sqref="D5"/>
      <pageMargins left="0.7" right="0.7" top="0.75" bottom="0.75" header="0.3" footer="0.3"/>
      <pageSetup paperSize="9" orientation="portrait" r:id="rId9"/>
    </customSheetView>
    <customSheetView guid="{03CD1AFD-FDA7-4904-966E-FB90CD2C490F}" scale="80">
      <pane ySplit="2" topLeftCell="A4" activePane="bottomLeft" state="frozen"/>
      <selection pane="bottomLeft" activeCell="AB4" sqref="AB4:AC4"/>
      <pageMargins left="0.7" right="0.7" top="0.75" bottom="0.75" header="0.3" footer="0.3"/>
      <pageSetup paperSize="9" orientation="portrait" r:id="rId10"/>
    </customSheetView>
  </customSheetViews>
  <mergeCells count="233">
    <mergeCell ref="C5:C11"/>
    <mergeCell ref="C12:C18"/>
    <mergeCell ref="C19:C25"/>
    <mergeCell ref="C26:C32"/>
    <mergeCell ref="C33:C34"/>
    <mergeCell ref="AV5:AV11"/>
    <mergeCell ref="AV12:AV18"/>
    <mergeCell ref="AV19:AV25"/>
    <mergeCell ref="AV26:AV32"/>
    <mergeCell ref="AV33:AV34"/>
    <mergeCell ref="AP25:AQ25"/>
    <mergeCell ref="AP14:AQ14"/>
    <mergeCell ref="AP19:AQ19"/>
    <mergeCell ref="AP15:AQ15"/>
    <mergeCell ref="AP16:AQ16"/>
    <mergeCell ref="AP18:AQ18"/>
    <mergeCell ref="CC37:CE37"/>
    <mergeCell ref="BQ37:BR37"/>
    <mergeCell ref="BS37:BT37"/>
    <mergeCell ref="BU37:BV37"/>
    <mergeCell ref="BW37:BX37"/>
    <mergeCell ref="BY37:BZ37"/>
    <mergeCell ref="AT35:AV35"/>
    <mergeCell ref="AW35:AX35"/>
    <mergeCell ref="AY35:AZ35"/>
    <mergeCell ref="BA35:BB35"/>
    <mergeCell ref="BC35:BD35"/>
    <mergeCell ref="BE35:BF35"/>
    <mergeCell ref="CA36:CB36"/>
    <mergeCell ref="BG36:BH36"/>
    <mergeCell ref="BI36:BJ36"/>
    <mergeCell ref="BK36:BL36"/>
    <mergeCell ref="BQ36:BR36"/>
    <mergeCell ref="CA37:CB37"/>
    <mergeCell ref="BM36:BN36"/>
    <mergeCell ref="BO36:BP36"/>
    <mergeCell ref="BY35:BZ35"/>
    <mergeCell ref="CA35:CB35"/>
    <mergeCell ref="CC35:CE36"/>
    <mergeCell ref="BS36:BT36"/>
    <mergeCell ref="AW37:AX37"/>
    <mergeCell ref="AY37:AZ37"/>
    <mergeCell ref="BA37:BB37"/>
    <mergeCell ref="BC37:BD37"/>
    <mergeCell ref="BE37:BF37"/>
    <mergeCell ref="BG37:BH37"/>
    <mergeCell ref="BI37:BJ37"/>
    <mergeCell ref="BK37:BL37"/>
    <mergeCell ref="BM37:BN37"/>
    <mergeCell ref="CC38:CE38"/>
    <mergeCell ref="BM38:BN38"/>
    <mergeCell ref="BO38:BP38"/>
    <mergeCell ref="BQ38:BR38"/>
    <mergeCell ref="BS38:BT38"/>
    <mergeCell ref="BU38:BV38"/>
    <mergeCell ref="BW38:BX38"/>
    <mergeCell ref="AW38:AX38"/>
    <mergeCell ref="AY38:AZ38"/>
    <mergeCell ref="BA38:BB38"/>
    <mergeCell ref="BC38:BD38"/>
    <mergeCell ref="BE38:BF38"/>
    <mergeCell ref="BG38:BH38"/>
    <mergeCell ref="BI38:BJ38"/>
    <mergeCell ref="BK38:BL38"/>
    <mergeCell ref="BY36:BZ36"/>
    <mergeCell ref="BG35:BH35"/>
    <mergeCell ref="BI35:BJ35"/>
    <mergeCell ref="BK35:BL35"/>
    <mergeCell ref="BM35:BN35"/>
    <mergeCell ref="BO35:BP35"/>
    <mergeCell ref="BQ35:BR35"/>
    <mergeCell ref="BY38:BZ38"/>
    <mergeCell ref="CA38:CB38"/>
    <mergeCell ref="BO37:BP37"/>
    <mergeCell ref="AT36:AV36"/>
    <mergeCell ref="AW36:AX36"/>
    <mergeCell ref="AY36:AZ36"/>
    <mergeCell ref="BA36:BB36"/>
    <mergeCell ref="BC36:BD36"/>
    <mergeCell ref="BE36:BF36"/>
    <mergeCell ref="BS35:BT35"/>
    <mergeCell ref="BU35:BV35"/>
    <mergeCell ref="BW35:BX35"/>
    <mergeCell ref="BU36:BV36"/>
    <mergeCell ref="BW36:BX36"/>
    <mergeCell ref="CJ22:CK22"/>
    <mergeCell ref="AP23:AQ23"/>
    <mergeCell ref="CJ23:CK23"/>
    <mergeCell ref="CJ31:CK31"/>
    <mergeCell ref="AP32:AQ32"/>
    <mergeCell ref="CJ32:CK32"/>
    <mergeCell ref="AP33:AQ33"/>
    <mergeCell ref="CJ33:CK33"/>
    <mergeCell ref="AP34:AQ34"/>
    <mergeCell ref="CJ34:CK34"/>
    <mergeCell ref="AP26:AQ26"/>
    <mergeCell ref="CJ26:CK26"/>
    <mergeCell ref="CJ27:CK27"/>
    <mergeCell ref="CJ28:CK28"/>
    <mergeCell ref="CJ29:CK29"/>
    <mergeCell ref="CJ30:CK30"/>
    <mergeCell ref="AP31:AQ31"/>
    <mergeCell ref="CE26:CE32"/>
    <mergeCell ref="CE33:CE34"/>
    <mergeCell ref="AP27:AQ27"/>
    <mergeCell ref="AP28:AQ28"/>
    <mergeCell ref="AP29:AQ29"/>
    <mergeCell ref="AP30:AQ30"/>
    <mergeCell ref="CJ18:CK18"/>
    <mergeCell ref="CE19:CE25"/>
    <mergeCell ref="CJ25:CK25"/>
    <mergeCell ref="AP22:AQ22"/>
    <mergeCell ref="AP24:AQ24"/>
    <mergeCell ref="CJ10:CK10"/>
    <mergeCell ref="AP11:AQ11"/>
    <mergeCell ref="CJ11:CK11"/>
    <mergeCell ref="AP12:AQ12"/>
    <mergeCell ref="CJ12:CK12"/>
    <mergeCell ref="AP13:AQ13"/>
    <mergeCell ref="CJ13:CK13"/>
    <mergeCell ref="CE12:CE18"/>
    <mergeCell ref="CJ14:CK14"/>
    <mergeCell ref="CJ15:CK15"/>
    <mergeCell ref="CJ16:CK16"/>
    <mergeCell ref="AP17:AQ17"/>
    <mergeCell ref="CJ17:CK17"/>
    <mergeCell ref="CJ19:CK19"/>
    <mergeCell ref="AP20:AQ20"/>
    <mergeCell ref="CJ20:CK20"/>
    <mergeCell ref="AP21:AQ21"/>
    <mergeCell ref="CJ24:CK24"/>
    <mergeCell ref="CJ21:CK21"/>
    <mergeCell ref="CJ5:CK5"/>
    <mergeCell ref="AP6:AQ6"/>
    <mergeCell ref="CJ6:CK6"/>
    <mergeCell ref="AP7:AQ7"/>
    <mergeCell ref="CJ7:CK7"/>
    <mergeCell ref="AP8:AQ8"/>
    <mergeCell ref="CJ8:CK8"/>
    <mergeCell ref="AP9:AQ9"/>
    <mergeCell ref="CJ9:CK9"/>
    <mergeCell ref="CE5:CE11"/>
    <mergeCell ref="AN4:AO4"/>
    <mergeCell ref="AW4:AX4"/>
    <mergeCell ref="AY4:AZ4"/>
    <mergeCell ref="BA4:BB4"/>
    <mergeCell ref="BC4:BD4"/>
    <mergeCell ref="BE4:BF4"/>
    <mergeCell ref="Z4:AA4"/>
    <mergeCell ref="AB4:AC4"/>
    <mergeCell ref="AF4:AG4"/>
    <mergeCell ref="AH4:AI4"/>
    <mergeCell ref="AJ4:AK4"/>
    <mergeCell ref="AL4:AM4"/>
    <mergeCell ref="BS4:BT4"/>
    <mergeCell ref="BU4:BV4"/>
    <mergeCell ref="BW4:BX4"/>
    <mergeCell ref="BY4:BZ4"/>
    <mergeCell ref="CA4:CB4"/>
    <mergeCell ref="AP5:AQ5"/>
    <mergeCell ref="AP10:AQ10"/>
    <mergeCell ref="BG4:BH4"/>
    <mergeCell ref="BI4:BJ4"/>
    <mergeCell ref="BK4:BL4"/>
    <mergeCell ref="BM4:BN4"/>
    <mergeCell ref="BO4:BP4"/>
    <mergeCell ref="BQ4:BR4"/>
    <mergeCell ref="N4:O4"/>
    <mergeCell ref="P4:Q4"/>
    <mergeCell ref="R4:S4"/>
    <mergeCell ref="T4:U4"/>
    <mergeCell ref="V4:W4"/>
    <mergeCell ref="X4:Y4"/>
    <mergeCell ref="AB3:AC3"/>
    <mergeCell ref="AF3:AG3"/>
    <mergeCell ref="AH3:AI3"/>
    <mergeCell ref="AJ3:AK3"/>
    <mergeCell ref="AL3:AM3"/>
    <mergeCell ref="AN3:AO3"/>
    <mergeCell ref="P3:Q3"/>
    <mergeCell ref="R3:S3"/>
    <mergeCell ref="T3:U3"/>
    <mergeCell ref="V3:W3"/>
    <mergeCell ref="X3:Y3"/>
    <mergeCell ref="Z3:AA3"/>
    <mergeCell ref="CF2:CG3"/>
    <mergeCell ref="CH2:CI3"/>
    <mergeCell ref="CJ2:CK4"/>
    <mergeCell ref="AD3:AE3"/>
    <mergeCell ref="D3:E3"/>
    <mergeCell ref="F3:G3"/>
    <mergeCell ref="H3:I3"/>
    <mergeCell ref="J3:K3"/>
    <mergeCell ref="L3:M3"/>
    <mergeCell ref="N3:O3"/>
    <mergeCell ref="AP2:AQ4"/>
    <mergeCell ref="AR2:AS3"/>
    <mergeCell ref="AW2:BD2"/>
    <mergeCell ref="BE2:BL2"/>
    <mergeCell ref="BM2:BT2"/>
    <mergeCell ref="BU2:CB2"/>
    <mergeCell ref="AW3:AX3"/>
    <mergeCell ref="AY3:AZ3"/>
    <mergeCell ref="BA3:BB3"/>
    <mergeCell ref="BC3:BD3"/>
    <mergeCell ref="BW3:BX3"/>
    <mergeCell ref="BY3:BZ3"/>
    <mergeCell ref="CA3:CB3"/>
    <mergeCell ref="BE3:BF3"/>
    <mergeCell ref="A1:C4"/>
    <mergeCell ref="D1:AS1"/>
    <mergeCell ref="AT1:AV4"/>
    <mergeCell ref="AW1:CB1"/>
    <mergeCell ref="CC1:CE4"/>
    <mergeCell ref="D2:W2"/>
    <mergeCell ref="X2:Y2"/>
    <mergeCell ref="Z2:AA2"/>
    <mergeCell ref="AF2:AG2"/>
    <mergeCell ref="AH2:AO2"/>
    <mergeCell ref="BG3:BH3"/>
    <mergeCell ref="BI3:BJ3"/>
    <mergeCell ref="BK3:BL3"/>
    <mergeCell ref="BM3:BN3"/>
    <mergeCell ref="BO3:BP3"/>
    <mergeCell ref="AD4:AE4"/>
    <mergeCell ref="D4:E4"/>
    <mergeCell ref="F4:G4"/>
    <mergeCell ref="H4:I4"/>
    <mergeCell ref="J4:K4"/>
    <mergeCell ref="L4:M4"/>
    <mergeCell ref="BQ3:BR3"/>
    <mergeCell ref="BS3:BT3"/>
    <mergeCell ref="BU3:BV3"/>
  </mergeCells>
  <phoneticPr fontId="27" type="noConversion"/>
  <conditionalFormatting sqref="A1:C4 X2:AH2 AP2 AR2 D3:N3 AD3:AE24 D4:Q4 AR4:AS4 C5 AH5:AS11 D5:X13 A5:B34 Y5:AG34 D14:P15 R14:X15 D16:X34 AH17:AO17 AI18:AO18 AH19:AH20 AJ19:AQ20 AH21:AP22 AH23:AO23 AI24:AP25 AH26:AP31 AH32:AQ32 AH33:AS34">
    <cfRule type="cellIs" dxfId="2861" priority="1900" operator="equal">
      <formula>"כמש"</formula>
    </cfRule>
    <cfRule type="cellIs" dxfId="2860" priority="1898" operator="equal">
      <formula>"י"</formula>
    </cfRule>
    <cfRule type="cellIs" dxfId="2859" priority="1903" operator="equal">
      <formula>"מ"</formula>
    </cfRule>
    <cfRule type="cellIs" dxfId="2858" priority="1897" operator="equal">
      <formula>"ל"</formula>
    </cfRule>
    <cfRule type="cellIs" dxfId="2857" priority="1904" operator="equal">
      <formula>"מנוחה"</formula>
    </cfRule>
    <cfRule type="cellIs" dxfId="2856" priority="1907" operator="equal">
      <formula>"כש"</formula>
    </cfRule>
    <cfRule type="cellIs" dxfId="2855" priority="1902" operator="equal">
      <formula>"ק"</formula>
    </cfRule>
    <cfRule type="cellIs" dxfId="2854" priority="1901" operator="equal">
      <formula>"כמ"</formula>
    </cfRule>
    <cfRule type="cellIs" dxfId="2853" priority="1905" operator="equal">
      <formula>"מיל"</formula>
    </cfRule>
    <cfRule type="cellIs" dxfId="2852" priority="1908" operator="equal">
      <formula>"כ"</formula>
    </cfRule>
  </conditionalFormatting>
  <conditionalFormatting sqref="D3:N3 AD3:AE4 D4:S4">
    <cfRule type="cellIs" dxfId="2851" priority="1638" operator="equal">
      <formula>"ח"</formula>
    </cfRule>
  </conditionalFormatting>
  <conditionalFormatting sqref="P3:Q3">
    <cfRule type="cellIs" dxfId="2850" priority="1632" operator="equal">
      <formula>"כמש"</formula>
    </cfRule>
    <cfRule type="cellIs" dxfId="2849" priority="1636" operator="equal">
      <formula>"מנוחה"</formula>
    </cfRule>
    <cfRule type="cellIs" dxfId="2848" priority="1634" operator="equal">
      <formula>"ק"</formula>
    </cfRule>
    <cfRule type="cellIs" dxfId="2847" priority="1637" operator="equal">
      <formula>"מיל"</formula>
    </cfRule>
    <cfRule type="cellIs" dxfId="2846" priority="1639" operator="equal">
      <formula>"כש"</formula>
    </cfRule>
    <cfRule type="cellIs" dxfId="2845" priority="1633" operator="equal">
      <formula>"כמ"</formula>
    </cfRule>
    <cfRule type="cellIs" dxfId="2844" priority="1640" operator="equal">
      <formula>"כ"</formula>
    </cfRule>
    <cfRule type="cellIs" dxfId="2843" priority="1635" operator="equal">
      <formula>"מ"</formula>
    </cfRule>
    <cfRule type="cellIs" dxfId="2842" priority="1630" operator="equal">
      <formula>"ל"</formula>
    </cfRule>
    <cfRule type="cellIs" dxfId="2841" priority="1631" operator="equal">
      <formula>"י"</formula>
    </cfRule>
  </conditionalFormatting>
  <conditionalFormatting sqref="P3:W3">
    <cfRule type="cellIs" dxfId="2840" priority="1605" operator="equal">
      <formula>"ח"</formula>
    </cfRule>
  </conditionalFormatting>
  <conditionalFormatting sqref="R3:AO4">
    <cfRule type="cellIs" dxfId="2839" priority="1519" operator="equal">
      <formula>"כ"</formula>
    </cfRule>
    <cfRule type="cellIs" dxfId="2838" priority="1516" operator="equal">
      <formula>"מיל"</formula>
    </cfRule>
    <cfRule type="cellIs" dxfId="2837" priority="1515" operator="equal">
      <formula>"מנוחה"</formula>
    </cfRule>
    <cfRule type="cellIs" dxfId="2836" priority="1514" operator="equal">
      <formula>"מ"</formula>
    </cfRule>
    <cfRule type="cellIs" dxfId="2835" priority="1513" operator="equal">
      <formula>"ק"</formula>
    </cfRule>
    <cfRule type="cellIs" dxfId="2834" priority="1518" operator="equal">
      <formula>"כש"</formula>
    </cfRule>
    <cfRule type="cellIs" dxfId="2833" priority="1512" operator="equal">
      <formula>"כמ"</formula>
    </cfRule>
    <cfRule type="cellIs" dxfId="2832" priority="1511" operator="equal">
      <formula>"כמש"</formula>
    </cfRule>
    <cfRule type="cellIs" dxfId="2831" priority="1510" operator="equal">
      <formula>"י"</formula>
    </cfRule>
    <cfRule type="cellIs" dxfId="2830" priority="1509" operator="equal">
      <formula>"ל"</formula>
    </cfRule>
  </conditionalFormatting>
  <conditionalFormatting sqref="T4:W4">
    <cfRule type="cellIs" dxfId="2829" priority="1539" operator="equal">
      <formula>"ח"</formula>
    </cfRule>
  </conditionalFormatting>
  <conditionalFormatting sqref="X4:Y4">
    <cfRule type="cellIs" dxfId="2828" priority="1649" operator="equal">
      <formula>"ח"</formula>
    </cfRule>
  </conditionalFormatting>
  <conditionalFormatting sqref="X3:AO3 Z4:AK4 A1:C4 X2:AH2 AP2 AR2 AR4:AS4 C5 BO5 BU5:BW6 AH5:AS11 D5:X13 BM5:BM15 A5:B34 Y5:AG34 AW5:AW34 BE5:BE34 AY6:AY7 BG7:BG8 BU7:BU16 BO8:BO9 BW9:BW10 AY10:AY11 BG11:BG12 AP12:AP13 AR12:AS13 BO12:BO13 AH12:AO17 BW13:BW14 D14:P15 R14:X15 AY14:AY15 BG15:BG16 BM16:BO17 D16:X34 BU17:BW18 AI18:AO18 AY18:AY19 BM18:BM27 AR18:AS32 AH19:AH20 AJ19:AQ20 BG19:BG20 BU19:BU28 BO20:BO21 AH21:AP22 BW21:BW22 AY22:AY23 AH23:AO23 BG23:BG24 AI24:AP25 BO24:BO25 BW25:BW26 AY26:AY27 AH26:AP31 BG27:BG28 AY30:AY31 BG31:BG32 AH32:AQ32 AH33:AS34 AY34">
    <cfRule type="cellIs" dxfId="2827" priority="1906" operator="equal">
      <formula>"ח"</formula>
    </cfRule>
  </conditionalFormatting>
  <conditionalFormatting sqref="AH12:AP16 AR12:AS32">
    <cfRule type="cellIs" dxfId="2826" priority="1895" operator="equal">
      <formula>"כש"</formula>
    </cfRule>
    <cfRule type="cellIs" dxfId="2825" priority="1893" operator="equal">
      <formula>"מיל"</formula>
    </cfRule>
    <cfRule type="cellIs" dxfId="2824" priority="1896" operator="equal">
      <formula>"כ"</formula>
    </cfRule>
    <cfRule type="cellIs" dxfId="2823" priority="1888" operator="equal">
      <formula>"כמש"</formula>
    </cfRule>
    <cfRule type="cellIs" dxfId="2822" priority="1886" operator="equal">
      <formula>"י"</formula>
    </cfRule>
    <cfRule type="cellIs" dxfId="2821" priority="1892" operator="equal">
      <formula>"מנוחה"</formula>
    </cfRule>
    <cfRule type="cellIs" dxfId="2820" priority="1891" operator="equal">
      <formula>"מ"</formula>
    </cfRule>
    <cfRule type="cellIs" dxfId="2819" priority="1890" operator="equal">
      <formula>"ק"</formula>
    </cfRule>
    <cfRule type="cellIs" dxfId="2818" priority="1889" operator="equal">
      <formula>"כמ"</formula>
    </cfRule>
    <cfRule type="cellIs" dxfId="2817" priority="1885" operator="equal">
      <formula>"ל"</formula>
    </cfRule>
  </conditionalFormatting>
  <conditionalFormatting sqref="AL4:AO4">
    <cfRule type="cellIs" dxfId="2816" priority="1517" operator="equal">
      <formula>"ח"</formula>
    </cfRule>
  </conditionalFormatting>
  <conditionalFormatting sqref="AP14:AP16 AR14:AS17">
    <cfRule type="cellIs" dxfId="2815" priority="1894" operator="equal">
      <formula>"ח"</formula>
    </cfRule>
  </conditionalFormatting>
  <conditionalFormatting sqref="AP17:AQ18">
    <cfRule type="cellIs" dxfId="2814" priority="1883" operator="equal">
      <formula>"כש"</formula>
    </cfRule>
    <cfRule type="cellIs" dxfId="2813" priority="1880" operator="equal">
      <formula>"מנוחה"</formula>
    </cfRule>
    <cfRule type="cellIs" dxfId="2812" priority="1876" operator="equal">
      <formula>"כמש"</formula>
    </cfRule>
    <cfRule type="cellIs" dxfId="2811" priority="1875" operator="equal">
      <formula>"י"</formula>
    </cfRule>
    <cfRule type="cellIs" dxfId="2810" priority="1879" operator="equal">
      <formula>"מ"</formula>
    </cfRule>
    <cfRule type="cellIs" dxfId="2809" priority="1874" operator="equal">
      <formula>"ל"</formula>
    </cfRule>
    <cfRule type="cellIs" dxfId="2808" priority="1881" operator="equal">
      <formula>"מיל"</formula>
    </cfRule>
    <cfRule type="cellIs" dxfId="2807" priority="1878" operator="equal">
      <formula>"ק"</formula>
    </cfRule>
    <cfRule type="cellIs" dxfId="2806" priority="1877" operator="equal">
      <formula>"כמ"</formula>
    </cfRule>
    <cfRule type="cellIs" dxfId="2805" priority="1882" operator="equal">
      <formula>"ח"</formula>
    </cfRule>
    <cfRule type="cellIs" dxfId="2804" priority="1884" operator="equal">
      <formula>"כ"</formula>
    </cfRule>
  </conditionalFormatting>
  <conditionalFormatting sqref="AT5:AU34">
    <cfRule type="cellIs" dxfId="2803" priority="1433" operator="equal">
      <formula>"ק"</formula>
    </cfRule>
    <cfRule type="cellIs" dxfId="2802" priority="1429" operator="equal">
      <formula>"ל"</formula>
    </cfRule>
    <cfRule type="cellIs" dxfId="2801" priority="1430" operator="equal">
      <formula>"י"</formula>
    </cfRule>
    <cfRule type="cellIs" dxfId="2800" priority="1431" operator="equal">
      <formula>"כמש"</formula>
    </cfRule>
    <cfRule type="cellIs" dxfId="2799" priority="1432" operator="equal">
      <formula>"כמ"</formula>
    </cfRule>
    <cfRule type="cellIs" dxfId="2798" priority="1438" operator="equal">
      <formula>"כש"</formula>
    </cfRule>
    <cfRule type="cellIs" dxfId="2797" priority="1434" operator="equal">
      <formula>"מ"</formula>
    </cfRule>
    <cfRule type="cellIs" dxfId="2796" priority="1436" operator="equal">
      <formula>"מיל"</formula>
    </cfRule>
    <cfRule type="cellIs" dxfId="2795" priority="1435" operator="equal">
      <formula>"מנוחה"</formula>
    </cfRule>
    <cfRule type="cellIs" dxfId="2794" priority="1439" operator="equal">
      <formula>"כ"</formula>
    </cfRule>
  </conditionalFormatting>
  <conditionalFormatting sqref="AT1:AV4">
    <cfRule type="cellIs" dxfId="2793" priority="1507" operator="equal">
      <formula>"כש"</formula>
    </cfRule>
    <cfRule type="cellIs" dxfId="2792" priority="1508" operator="equal">
      <formula>"כ"</formula>
    </cfRule>
    <cfRule type="cellIs" dxfId="2791" priority="1500" operator="equal">
      <formula>"כמש"</formula>
    </cfRule>
    <cfRule type="cellIs" dxfId="2790" priority="1504" operator="equal">
      <formula>"מנוחה"</formula>
    </cfRule>
    <cfRule type="cellIs" dxfId="2789" priority="1501" operator="equal">
      <formula>"כמ"</formula>
    </cfRule>
    <cfRule type="cellIs" dxfId="2788" priority="1502" operator="equal">
      <formula>"ק"</formula>
    </cfRule>
    <cfRule type="cellIs" dxfId="2787" priority="1499" operator="equal">
      <formula>"י"</formula>
    </cfRule>
    <cfRule type="cellIs" dxfId="2786" priority="1503" operator="equal">
      <formula>"מ"</formula>
    </cfRule>
    <cfRule type="cellIs" dxfId="2785" priority="1498" operator="equal">
      <formula>"ל"</formula>
    </cfRule>
    <cfRule type="cellIs" dxfId="2784" priority="1505" operator="equal">
      <formula>"מיל"</formula>
    </cfRule>
    <cfRule type="cellIs" dxfId="2783" priority="1506" operator="equal">
      <formula>"ח"</formula>
    </cfRule>
  </conditionalFormatting>
  <conditionalFormatting sqref="AV5 AT5:AU34">
    <cfRule type="cellIs" dxfId="2782" priority="1437" operator="equal">
      <formula>"ח"</formula>
    </cfRule>
  </conditionalFormatting>
  <conditionalFormatting sqref="AV5:BD5">
    <cfRule type="cellIs" dxfId="2781" priority="47" operator="equal">
      <formula>"כ"</formula>
    </cfRule>
    <cfRule type="cellIs" dxfId="2780" priority="60" operator="equal">
      <formula>"מ"</formula>
    </cfRule>
    <cfRule type="cellIs" dxfId="2779" priority="59" operator="equal">
      <formula>"ק"</formula>
    </cfRule>
    <cfRule type="cellIs" dxfId="2778" priority="61" operator="equal">
      <formula>"מנוחה"</formula>
    </cfRule>
    <cfRule type="cellIs" dxfId="2777" priority="46" operator="equal">
      <formula>"כש"</formula>
    </cfRule>
    <cfRule type="cellIs" dxfId="2776" priority="62" operator="equal">
      <formula>"מיל"</formula>
    </cfRule>
    <cfRule type="cellIs" dxfId="2775" priority="58" operator="equal">
      <formula>"כמ"</formula>
    </cfRule>
    <cfRule type="cellIs" dxfId="2774" priority="57" operator="equal">
      <formula>"כמש"</formula>
    </cfRule>
    <cfRule type="cellIs" dxfId="2773" priority="56" operator="equal">
      <formula>"י"</formula>
    </cfRule>
    <cfRule type="cellIs" dxfId="2772" priority="55" operator="equal">
      <formula>"ל"</formula>
    </cfRule>
  </conditionalFormatting>
  <conditionalFormatting sqref="AW38 AY38 BA38 BC38 BE38 BG38 BI38 BK38 BM38 BO38 BQ38 BS38 BU38 BW38 BY38 CA38:CB38">
    <cfRule type="cellIs" dxfId="2771" priority="1653" operator="greaterThan">
      <formula>$CE$38</formula>
    </cfRule>
    <cfRule type="cellIs" dxfId="2770" priority="1652" operator="lessThan">
      <formula>$CE$38</formula>
    </cfRule>
  </conditionalFormatting>
  <conditionalFormatting sqref="AW32:BD33">
    <cfRule type="cellIs" dxfId="2769" priority="103" operator="equal">
      <formula>"י"</formula>
    </cfRule>
    <cfRule type="cellIs" dxfId="2768" priority="106" operator="equal">
      <formula>"ק"</formula>
    </cfRule>
    <cfRule type="cellIs" dxfId="2767" priority="109" operator="equal">
      <formula>"מיל"</formula>
    </cfRule>
    <cfRule type="cellIs" dxfId="2766" priority="105" operator="equal">
      <formula>"כמ"</formula>
    </cfRule>
    <cfRule type="cellIs" dxfId="2765" priority="108" operator="equal">
      <formula>"מנוחה"</formula>
    </cfRule>
    <cfRule type="cellIs" dxfId="2764" priority="102" operator="equal">
      <formula>"ל"</formula>
    </cfRule>
    <cfRule type="cellIs" dxfId="2763" priority="96" operator="equal">
      <formula>"כ"</formula>
    </cfRule>
    <cfRule type="cellIs" dxfId="2762" priority="95" operator="equal">
      <formula>"כש"</formula>
    </cfRule>
    <cfRule type="cellIs" dxfId="2761" priority="104" operator="equal">
      <formula>"כמש"</formula>
    </cfRule>
    <cfRule type="cellIs" dxfId="2760" priority="107" operator="equal">
      <formula>"מ"</formula>
    </cfRule>
  </conditionalFormatting>
  <conditionalFormatting sqref="AW6:BF6">
    <cfRule type="cellIs" dxfId="2759" priority="1455" operator="equal">
      <formula>"כ"</formula>
    </cfRule>
    <cfRule type="cellIs" dxfId="2758" priority="1454" operator="equal">
      <formula>"כש"</formula>
    </cfRule>
  </conditionalFormatting>
  <conditionalFormatting sqref="AW18:BF18">
    <cfRule type="cellIs" dxfId="2757" priority="1291" operator="equal">
      <formula>"כש"</formula>
    </cfRule>
    <cfRule type="cellIs" dxfId="2756" priority="1292" operator="equal">
      <formula>"כ"</formula>
    </cfRule>
  </conditionalFormatting>
  <conditionalFormatting sqref="AW30:BF30">
    <cfRule type="cellIs" dxfId="2755" priority="1150" operator="equal">
      <formula>"כש"</formula>
    </cfRule>
    <cfRule type="cellIs" dxfId="2754" priority="1151" operator="equal">
      <formula>"כ"</formula>
    </cfRule>
  </conditionalFormatting>
  <conditionalFormatting sqref="AW34:BF34">
    <cfRule type="cellIs" dxfId="2753" priority="1104" operator="equal">
      <formula>"כ"</formula>
    </cfRule>
    <cfRule type="cellIs" dxfId="2752" priority="1103" operator="equal">
      <formula>"כש"</formula>
    </cfRule>
  </conditionalFormatting>
  <conditionalFormatting sqref="AW7:BL7 AW8:AW17 AW19:BL19 AW20:AW29 AW31:BL31">
    <cfRule type="cellIs" dxfId="2751" priority="1763" operator="equal">
      <formula>"כ"</formula>
    </cfRule>
    <cfRule type="cellIs" dxfId="2750" priority="1762" operator="equal">
      <formula>"כש"</formula>
    </cfRule>
  </conditionalFormatting>
  <conditionalFormatting sqref="AW2:CB2 AW3:AZ3 BE3:BO3 AW4:AY4 BE4 BG4 BI4 BK4:BM4 BO4 BS4:BU4 BW4 BY4 CA4">
    <cfRule type="cellIs" dxfId="2749" priority="1572" operator="equal">
      <formula>"ח"</formula>
    </cfRule>
  </conditionalFormatting>
  <conditionalFormatting sqref="AW2:CB2 AW3:AZ3 BE3:BO3 AW4:AY4 BG4 BI4 BK4:BM4 BO4 BS4:BU4 BW4 BY4 CA4 BE4:BE5">
    <cfRule type="cellIs" dxfId="2748" priority="1574" operator="equal">
      <formula>"כ"</formula>
    </cfRule>
    <cfRule type="cellIs" dxfId="2747" priority="1573" operator="equal">
      <formula>"כש"</formula>
    </cfRule>
  </conditionalFormatting>
  <conditionalFormatting sqref="AW2:CB2 AW3:AZ3 BE3:BO3 AW4:AY4 BG4 BI4 BK4:BM4 BO4 BS4:BU4 BW4 BY4 CA4">
    <cfRule type="cellIs" dxfId="2746" priority="1566" operator="equal">
      <formula>"כמש"</formula>
    </cfRule>
    <cfRule type="cellIs" dxfId="2745" priority="1571" operator="equal">
      <formula>"מיל"</formula>
    </cfRule>
    <cfRule type="cellIs" dxfId="2744" priority="1570" operator="equal">
      <formula>"מנוחה"</formula>
    </cfRule>
    <cfRule type="cellIs" dxfId="2743" priority="1569" operator="equal">
      <formula>"מ"</formula>
    </cfRule>
    <cfRule type="cellIs" dxfId="2742" priority="1568" operator="equal">
      <formula>"ק"</formula>
    </cfRule>
    <cfRule type="cellIs" dxfId="2741" priority="1567" operator="equal">
      <formula>"כמ"</formula>
    </cfRule>
    <cfRule type="cellIs" dxfId="2740" priority="1564" operator="equal">
      <formula>"ל"</formula>
    </cfRule>
    <cfRule type="cellIs" dxfId="2739" priority="1565" operator="equal">
      <formula>"י"</formula>
    </cfRule>
  </conditionalFormatting>
  <conditionalFormatting sqref="AX5">
    <cfRule type="cellIs" dxfId="2738" priority="37" operator="equal">
      <formula>"כש"</formula>
    </cfRule>
    <cfRule type="cellIs" dxfId="2737" priority="36" stopIfTrue="1" operator="equal">
      <formula>"ח"</formula>
    </cfRule>
    <cfRule type="cellIs" dxfId="2736" priority="68" operator="equal">
      <formula>"ח"</formula>
    </cfRule>
    <cfRule type="cellIs" dxfId="2735" priority="38" operator="equal">
      <formula>"כ"</formula>
    </cfRule>
  </conditionalFormatting>
  <conditionalFormatting sqref="AX6:AX11">
    <cfRule type="cellIs" dxfId="2734" priority="495" operator="equal">
      <formula>"ח"</formula>
    </cfRule>
  </conditionalFormatting>
  <conditionalFormatting sqref="AX9">
    <cfRule type="cellIs" dxfId="2733" priority="463" stopIfTrue="1" operator="equal">
      <formula>"ח"</formula>
    </cfRule>
    <cfRule type="cellIs" dxfId="2732" priority="465" operator="equal">
      <formula>"כ"</formula>
    </cfRule>
    <cfRule type="cellIs" dxfId="2731" priority="464" operator="equal">
      <formula>"כש"</formula>
    </cfRule>
  </conditionalFormatting>
  <conditionalFormatting sqref="AX12:AX15">
    <cfRule type="cellIs" dxfId="2730" priority="448" operator="equal">
      <formula>"ח"</formula>
    </cfRule>
  </conditionalFormatting>
  <conditionalFormatting sqref="AX13">
    <cfRule type="cellIs" dxfId="2729" priority="416" stopIfTrue="1" operator="equal">
      <formula>"ח"</formula>
    </cfRule>
    <cfRule type="cellIs" dxfId="2728" priority="417" operator="equal">
      <formula>"כש"</formula>
    </cfRule>
    <cfRule type="cellIs" dxfId="2727" priority="418" operator="equal">
      <formula>"כ"</formula>
    </cfRule>
  </conditionalFormatting>
  <conditionalFormatting sqref="AX16:AX19">
    <cfRule type="cellIs" dxfId="2726" priority="401" operator="equal">
      <formula>"ח"</formula>
    </cfRule>
  </conditionalFormatting>
  <conditionalFormatting sqref="AX17">
    <cfRule type="cellIs" dxfId="2725" priority="369" stopIfTrue="1" operator="equal">
      <formula>"ח"</formula>
    </cfRule>
    <cfRule type="cellIs" dxfId="2724" priority="371" operator="equal">
      <formula>"כ"</formula>
    </cfRule>
    <cfRule type="cellIs" dxfId="2723" priority="370" operator="equal">
      <formula>"כש"</formula>
    </cfRule>
  </conditionalFormatting>
  <conditionalFormatting sqref="AX20:AX23">
    <cfRule type="cellIs" dxfId="2722" priority="350" operator="equal">
      <formula>"ח"</formula>
    </cfRule>
  </conditionalFormatting>
  <conditionalFormatting sqref="AX21">
    <cfRule type="cellIs" dxfId="2721" priority="320" operator="equal">
      <formula>"כ"</formula>
    </cfRule>
    <cfRule type="cellIs" dxfId="2720" priority="319" operator="equal">
      <formula>"כש"</formula>
    </cfRule>
    <cfRule type="cellIs" dxfId="2719" priority="318" stopIfTrue="1" operator="equal">
      <formula>"ח"</formula>
    </cfRule>
  </conditionalFormatting>
  <conditionalFormatting sqref="AX24:AX27">
    <cfRule type="cellIs" dxfId="2718" priority="303" operator="equal">
      <formula>"ח"</formula>
    </cfRule>
  </conditionalFormatting>
  <conditionalFormatting sqref="AX25">
    <cfRule type="cellIs" dxfId="2717" priority="271" stopIfTrue="1" operator="equal">
      <formula>"ח"</formula>
    </cfRule>
    <cfRule type="cellIs" dxfId="2716" priority="272" operator="equal">
      <formula>"כש"</formula>
    </cfRule>
    <cfRule type="cellIs" dxfId="2715" priority="273" operator="equal">
      <formula>"כ"</formula>
    </cfRule>
  </conditionalFormatting>
  <conditionalFormatting sqref="AX28:AX31">
    <cfRule type="cellIs" dxfId="2714" priority="256" operator="equal">
      <formula>"ח"</formula>
    </cfRule>
  </conditionalFormatting>
  <conditionalFormatting sqref="AX29">
    <cfRule type="cellIs" dxfId="2713" priority="224" stopIfTrue="1" operator="equal">
      <formula>"ח"</formula>
    </cfRule>
    <cfRule type="cellIs" dxfId="2712" priority="225" operator="equal">
      <formula>"כש"</formula>
    </cfRule>
    <cfRule type="cellIs" dxfId="2711" priority="226" operator="equal">
      <formula>"כ"</formula>
    </cfRule>
  </conditionalFormatting>
  <conditionalFormatting sqref="AX32:AX34">
    <cfRule type="cellIs" dxfId="2710" priority="115" operator="equal">
      <formula>"ח"</formula>
    </cfRule>
  </conditionalFormatting>
  <conditionalFormatting sqref="AX33">
    <cfRule type="cellIs" dxfId="2709" priority="85" operator="equal">
      <formula>"כ"</formula>
    </cfRule>
    <cfRule type="cellIs" dxfId="2708" priority="84" operator="equal">
      <formula>"כש"</formula>
    </cfRule>
    <cfRule type="cellIs" dxfId="2707" priority="83" stopIfTrue="1" operator="equal">
      <formula>"ח"</formula>
    </cfRule>
  </conditionalFormatting>
  <conditionalFormatting sqref="AX5:AY5 BA5:BA34 BC5:BC34">
    <cfRule type="cellIs" dxfId="2706" priority="69" operator="equal">
      <formula>"ח"</formula>
    </cfRule>
  </conditionalFormatting>
  <conditionalFormatting sqref="AX8:AY9">
    <cfRule type="cellIs" dxfId="2705" priority="496" operator="equal">
      <formula>"ח"</formula>
    </cfRule>
  </conditionalFormatting>
  <conditionalFormatting sqref="AX12:AY13">
    <cfRule type="cellIs" dxfId="2704" priority="449" operator="equal">
      <formula>"ח"</formula>
    </cfRule>
  </conditionalFormatting>
  <conditionalFormatting sqref="AX16:AY17">
    <cfRule type="cellIs" dxfId="2703" priority="402" operator="equal">
      <formula>"ח"</formula>
    </cfRule>
  </conditionalFormatting>
  <conditionalFormatting sqref="AX20:AY21">
    <cfRule type="cellIs" dxfId="2702" priority="351" operator="equal">
      <formula>"ח"</formula>
    </cfRule>
  </conditionalFormatting>
  <conditionalFormatting sqref="AX24:AY25">
    <cfRule type="cellIs" dxfId="2701" priority="304" operator="equal">
      <formula>"ח"</formula>
    </cfRule>
  </conditionalFormatting>
  <conditionalFormatting sqref="AX28:AY29">
    <cfRule type="cellIs" dxfId="2700" priority="257" operator="equal">
      <formula>"ח"</formula>
    </cfRule>
  </conditionalFormatting>
  <conditionalFormatting sqref="AX32:AY33">
    <cfRule type="cellIs" dxfId="2699" priority="116" operator="equal">
      <formula>"ח"</formula>
    </cfRule>
  </conditionalFormatting>
  <conditionalFormatting sqref="AX8:BD11">
    <cfRule type="cellIs" dxfId="2698" priority="484" operator="equal">
      <formula>"כמש"</formula>
    </cfRule>
    <cfRule type="cellIs" dxfId="2697" priority="483" operator="equal">
      <formula>"י"</formula>
    </cfRule>
    <cfRule type="cellIs" dxfId="2696" priority="475" operator="equal">
      <formula>"כש"</formula>
    </cfRule>
    <cfRule type="cellIs" dxfId="2695" priority="482" operator="equal">
      <formula>"ל"</formula>
    </cfRule>
    <cfRule type="cellIs" dxfId="2694" priority="489" operator="equal">
      <formula>"מיל"</formula>
    </cfRule>
    <cfRule type="cellIs" dxfId="2693" priority="488" operator="equal">
      <formula>"מנוחה"</formula>
    </cfRule>
    <cfRule type="cellIs" dxfId="2692" priority="487" operator="equal">
      <formula>"מ"</formula>
    </cfRule>
    <cfRule type="cellIs" dxfId="2691" priority="486" operator="equal">
      <formula>"ק"</formula>
    </cfRule>
    <cfRule type="cellIs" dxfId="2690" priority="485" operator="equal">
      <formula>"כמ"</formula>
    </cfRule>
    <cfRule type="cellIs" dxfId="2689" priority="476" operator="equal">
      <formula>"כ"</formula>
    </cfRule>
  </conditionalFormatting>
  <conditionalFormatting sqref="AX12:BD15">
    <cfRule type="cellIs" dxfId="2688" priority="441" operator="equal">
      <formula>"מנוחה"</formula>
    </cfRule>
    <cfRule type="cellIs" dxfId="2687" priority="442" operator="equal">
      <formula>"מיל"</formula>
    </cfRule>
    <cfRule type="cellIs" dxfId="2686" priority="435" operator="equal">
      <formula>"ל"</formula>
    </cfRule>
    <cfRule type="cellIs" dxfId="2685" priority="436" operator="equal">
      <formula>"י"</formula>
    </cfRule>
    <cfRule type="cellIs" dxfId="2684" priority="428" operator="equal">
      <formula>"כש"</formula>
    </cfRule>
    <cfRule type="cellIs" dxfId="2683" priority="429" operator="equal">
      <formula>"כ"</formula>
    </cfRule>
    <cfRule type="cellIs" dxfId="2682" priority="437" operator="equal">
      <formula>"כמש"</formula>
    </cfRule>
    <cfRule type="cellIs" dxfId="2681" priority="438" operator="equal">
      <formula>"כמ"</formula>
    </cfRule>
    <cfRule type="cellIs" dxfId="2680" priority="439" operator="equal">
      <formula>"ק"</formula>
    </cfRule>
    <cfRule type="cellIs" dxfId="2679" priority="440" operator="equal">
      <formula>"מ"</formula>
    </cfRule>
  </conditionalFormatting>
  <conditionalFormatting sqref="AX16:BD17">
    <cfRule type="cellIs" dxfId="2678" priority="382" operator="equal">
      <formula>"כ"</formula>
    </cfRule>
    <cfRule type="cellIs" dxfId="2677" priority="392" operator="equal">
      <formula>"ק"</formula>
    </cfRule>
    <cfRule type="cellIs" dxfId="2676" priority="390" operator="equal">
      <formula>"כמש"</formula>
    </cfRule>
    <cfRule type="cellIs" dxfId="2675" priority="389" operator="equal">
      <formula>"י"</formula>
    </cfRule>
    <cfRule type="cellIs" dxfId="2674" priority="388" operator="equal">
      <formula>"ל"</formula>
    </cfRule>
    <cfRule type="cellIs" dxfId="2673" priority="381" operator="equal">
      <formula>"כש"</formula>
    </cfRule>
    <cfRule type="cellIs" dxfId="2672" priority="391" operator="equal">
      <formula>"כמ"</formula>
    </cfRule>
    <cfRule type="cellIs" dxfId="2671" priority="395" operator="equal">
      <formula>"מיל"</formula>
    </cfRule>
    <cfRule type="cellIs" dxfId="2670" priority="394" operator="equal">
      <formula>"מנוחה"</formula>
    </cfRule>
    <cfRule type="cellIs" dxfId="2669" priority="393" operator="equal">
      <formula>"מ"</formula>
    </cfRule>
  </conditionalFormatting>
  <conditionalFormatting sqref="AX20:BD23">
    <cfRule type="cellIs" dxfId="2668" priority="344" operator="equal">
      <formula>"מיל"</formula>
    </cfRule>
    <cfRule type="cellIs" dxfId="2667" priority="331" operator="equal">
      <formula>"כ"</formula>
    </cfRule>
    <cfRule type="cellIs" dxfId="2666" priority="343" operator="equal">
      <formula>"מנוחה"</formula>
    </cfRule>
    <cfRule type="cellIs" dxfId="2665" priority="342" operator="equal">
      <formula>"מ"</formula>
    </cfRule>
    <cfRule type="cellIs" dxfId="2664" priority="341" operator="equal">
      <formula>"ק"</formula>
    </cfRule>
    <cfRule type="cellIs" dxfId="2663" priority="339" operator="equal">
      <formula>"כמש"</formula>
    </cfRule>
    <cfRule type="cellIs" dxfId="2662" priority="340" operator="equal">
      <formula>"כמ"</formula>
    </cfRule>
    <cfRule type="cellIs" dxfId="2661" priority="330" operator="equal">
      <formula>"כש"</formula>
    </cfRule>
    <cfRule type="cellIs" dxfId="2660" priority="338" operator="equal">
      <formula>"י"</formula>
    </cfRule>
    <cfRule type="cellIs" dxfId="2659" priority="337" operator="equal">
      <formula>"ל"</formula>
    </cfRule>
  </conditionalFormatting>
  <conditionalFormatting sqref="AX24:BD27">
    <cfRule type="cellIs" dxfId="2658" priority="292" operator="equal">
      <formula>"כמש"</formula>
    </cfRule>
    <cfRule type="cellIs" dxfId="2657" priority="291" operator="equal">
      <formula>"י"</formula>
    </cfRule>
    <cfRule type="cellIs" dxfId="2656" priority="297" operator="equal">
      <formula>"מיל"</formula>
    </cfRule>
    <cfRule type="cellIs" dxfId="2655" priority="296" operator="equal">
      <formula>"מנוחה"</formula>
    </cfRule>
    <cfRule type="cellIs" dxfId="2654" priority="295" operator="equal">
      <formula>"מ"</formula>
    </cfRule>
    <cfRule type="cellIs" dxfId="2653" priority="283" operator="equal">
      <formula>"כש"</formula>
    </cfRule>
    <cfRule type="cellIs" dxfId="2652" priority="284" operator="equal">
      <formula>"כ"</formula>
    </cfRule>
    <cfRule type="cellIs" dxfId="2651" priority="293" operator="equal">
      <formula>"כמ"</formula>
    </cfRule>
    <cfRule type="cellIs" dxfId="2650" priority="290" operator="equal">
      <formula>"ל"</formula>
    </cfRule>
    <cfRule type="cellIs" dxfId="2649" priority="294" operator="equal">
      <formula>"ק"</formula>
    </cfRule>
  </conditionalFormatting>
  <conditionalFormatting sqref="AX28:BD29">
    <cfRule type="cellIs" dxfId="2648" priority="246" operator="equal">
      <formula>"כמ"</formula>
    </cfRule>
    <cfRule type="cellIs" dxfId="2647" priority="247" operator="equal">
      <formula>"ק"</formula>
    </cfRule>
    <cfRule type="cellIs" dxfId="2646" priority="249" operator="equal">
      <formula>"מנוחה"</formula>
    </cfRule>
    <cfRule type="cellIs" dxfId="2645" priority="250" operator="equal">
      <formula>"מיל"</formula>
    </cfRule>
    <cfRule type="cellIs" dxfId="2644" priority="245" operator="equal">
      <formula>"כמש"</formula>
    </cfRule>
    <cfRule type="cellIs" dxfId="2643" priority="248" operator="equal">
      <formula>"מ"</formula>
    </cfRule>
    <cfRule type="cellIs" dxfId="2642" priority="244" operator="equal">
      <formula>"י"</formula>
    </cfRule>
    <cfRule type="cellIs" dxfId="2641" priority="237" operator="equal">
      <formula>"כ"</formula>
    </cfRule>
    <cfRule type="cellIs" dxfId="2640" priority="236" operator="equal">
      <formula>"כש"</formula>
    </cfRule>
    <cfRule type="cellIs" dxfId="2639" priority="243" operator="equal">
      <formula>"ל"</formula>
    </cfRule>
  </conditionalFormatting>
  <conditionalFormatting sqref="AZ5">
    <cfRule type="cellIs" dxfId="2638" priority="67" operator="equal">
      <formula>"ח"</formula>
    </cfRule>
    <cfRule type="cellIs" dxfId="2637" priority="52" operator="equal">
      <formula>"ח"</formula>
    </cfRule>
    <cfRule type="cellIs" dxfId="2636" priority="45" stopIfTrue="1" operator="equal">
      <formula>"ח"</formula>
    </cfRule>
  </conditionalFormatting>
  <conditionalFormatting sqref="AZ6:AZ11">
    <cfRule type="cellIs" dxfId="2635" priority="494" operator="equal">
      <formula>"ח"</formula>
    </cfRule>
  </conditionalFormatting>
  <conditionalFormatting sqref="AZ8">
    <cfRule type="cellIs" dxfId="2634" priority="462" operator="equal">
      <formula>"ח"</formula>
    </cfRule>
    <cfRule type="cellIs" dxfId="2633" priority="461" operator="equal">
      <formula>"כ"</formula>
    </cfRule>
    <cfRule type="cellIs" dxfId="2632" priority="460" operator="equal">
      <formula>"כש"</formula>
    </cfRule>
  </conditionalFormatting>
  <conditionalFormatting sqref="AZ8:AZ9">
    <cfRule type="cellIs" dxfId="2631" priority="479" operator="equal">
      <formula>"ח"</formula>
    </cfRule>
  </conditionalFormatting>
  <conditionalFormatting sqref="AZ9">
    <cfRule type="cellIs" dxfId="2630" priority="474" operator="equal">
      <formula>"כ"</formula>
    </cfRule>
    <cfRule type="cellIs" dxfId="2629" priority="473" operator="equal">
      <formula>"כש"</formula>
    </cfRule>
    <cfRule type="cellIs" dxfId="2628" priority="472" stopIfTrue="1" operator="equal">
      <formula>"ח"</formula>
    </cfRule>
  </conditionalFormatting>
  <conditionalFormatting sqref="AZ12">
    <cfRule type="cellIs" dxfId="2627" priority="415" operator="equal">
      <formula>"ח"</formula>
    </cfRule>
    <cfRule type="cellIs" dxfId="2626" priority="413" operator="equal">
      <formula>"כש"</formula>
    </cfRule>
    <cfRule type="cellIs" dxfId="2625" priority="414" operator="equal">
      <formula>"כ"</formula>
    </cfRule>
  </conditionalFormatting>
  <conditionalFormatting sqref="AZ12:AZ13">
    <cfRule type="cellIs" dxfId="2624" priority="432" operator="equal">
      <formula>"ח"</formula>
    </cfRule>
  </conditionalFormatting>
  <conditionalFormatting sqref="AZ12:AZ15">
    <cfRule type="cellIs" dxfId="2623" priority="447" operator="equal">
      <formula>"ח"</formula>
    </cfRule>
  </conditionalFormatting>
  <conditionalFormatting sqref="AZ13">
    <cfRule type="cellIs" dxfId="2622" priority="425" stopIfTrue="1" operator="equal">
      <formula>"ח"</formula>
    </cfRule>
    <cfRule type="cellIs" dxfId="2621" priority="427" operator="equal">
      <formula>"כ"</formula>
    </cfRule>
    <cfRule type="cellIs" dxfId="2620" priority="426" operator="equal">
      <formula>"כש"</formula>
    </cfRule>
  </conditionalFormatting>
  <conditionalFormatting sqref="AZ16">
    <cfRule type="cellIs" dxfId="2619" priority="367" operator="equal">
      <formula>"כ"</formula>
    </cfRule>
    <cfRule type="cellIs" dxfId="2618" priority="366" operator="equal">
      <formula>"כש"</formula>
    </cfRule>
    <cfRule type="cellIs" dxfId="2617" priority="368" operator="equal">
      <formula>"ח"</formula>
    </cfRule>
  </conditionalFormatting>
  <conditionalFormatting sqref="AZ16:AZ17">
    <cfRule type="cellIs" dxfId="2616" priority="385" operator="equal">
      <formula>"ח"</formula>
    </cfRule>
  </conditionalFormatting>
  <conditionalFormatting sqref="AZ16:AZ19">
    <cfRule type="cellIs" dxfId="2615" priority="400" operator="equal">
      <formula>"ח"</formula>
    </cfRule>
  </conditionalFormatting>
  <conditionalFormatting sqref="AZ17">
    <cfRule type="cellIs" dxfId="2614" priority="380" operator="equal">
      <formula>"כ"</formula>
    </cfRule>
    <cfRule type="cellIs" dxfId="2613" priority="379" operator="equal">
      <formula>"כש"</formula>
    </cfRule>
    <cfRule type="cellIs" dxfId="2612" priority="378" stopIfTrue="1" operator="equal">
      <formula>"ח"</formula>
    </cfRule>
  </conditionalFormatting>
  <conditionalFormatting sqref="AZ20">
    <cfRule type="cellIs" dxfId="2611" priority="317" operator="equal">
      <formula>"ח"</formula>
    </cfRule>
    <cfRule type="cellIs" dxfId="2610" priority="316" operator="equal">
      <formula>"כ"</formula>
    </cfRule>
    <cfRule type="cellIs" dxfId="2609" priority="315" operator="equal">
      <formula>"כש"</formula>
    </cfRule>
  </conditionalFormatting>
  <conditionalFormatting sqref="AZ20:AZ21">
    <cfRule type="cellIs" dxfId="2608" priority="334" operator="equal">
      <formula>"ח"</formula>
    </cfRule>
  </conditionalFormatting>
  <conditionalFormatting sqref="AZ20:AZ23">
    <cfRule type="cellIs" dxfId="2607" priority="349" operator="equal">
      <formula>"ח"</formula>
    </cfRule>
  </conditionalFormatting>
  <conditionalFormatting sqref="AZ21">
    <cfRule type="cellIs" dxfId="2606" priority="327" stopIfTrue="1" operator="equal">
      <formula>"ח"</formula>
    </cfRule>
    <cfRule type="cellIs" dxfId="2605" priority="329" operator="equal">
      <formula>"כ"</formula>
    </cfRule>
    <cfRule type="cellIs" dxfId="2604" priority="328" operator="equal">
      <formula>"כש"</formula>
    </cfRule>
  </conditionalFormatting>
  <conditionalFormatting sqref="AZ24">
    <cfRule type="cellIs" dxfId="2603" priority="270" operator="equal">
      <formula>"ח"</formula>
    </cfRule>
    <cfRule type="cellIs" dxfId="2602" priority="268" operator="equal">
      <formula>"כש"</formula>
    </cfRule>
    <cfRule type="cellIs" dxfId="2601" priority="269" operator="equal">
      <formula>"כ"</formula>
    </cfRule>
  </conditionalFormatting>
  <conditionalFormatting sqref="AZ24:AZ25">
    <cfRule type="cellIs" dxfId="2600" priority="287" operator="equal">
      <formula>"ח"</formula>
    </cfRule>
  </conditionalFormatting>
  <conditionalFormatting sqref="AZ24:AZ27">
    <cfRule type="cellIs" dxfId="2599" priority="302" operator="equal">
      <formula>"ח"</formula>
    </cfRule>
  </conditionalFormatting>
  <conditionalFormatting sqref="AZ25">
    <cfRule type="cellIs" dxfId="2598" priority="280" stopIfTrue="1" operator="equal">
      <formula>"ח"</formula>
    </cfRule>
    <cfRule type="cellIs" dxfId="2597" priority="281" operator="equal">
      <formula>"כש"</formula>
    </cfRule>
    <cfRule type="cellIs" dxfId="2596" priority="282" operator="equal">
      <formula>"כ"</formula>
    </cfRule>
  </conditionalFormatting>
  <conditionalFormatting sqref="AZ28">
    <cfRule type="cellIs" dxfId="2595" priority="221" operator="equal">
      <formula>"כש"</formula>
    </cfRule>
    <cfRule type="cellIs" dxfId="2594" priority="222" operator="equal">
      <formula>"כ"</formula>
    </cfRule>
    <cfRule type="cellIs" dxfId="2593" priority="223" operator="equal">
      <formula>"ח"</formula>
    </cfRule>
  </conditionalFormatting>
  <conditionalFormatting sqref="AZ28:AZ29">
    <cfRule type="cellIs" dxfId="2592" priority="240" operator="equal">
      <formula>"ח"</formula>
    </cfRule>
  </conditionalFormatting>
  <conditionalFormatting sqref="AZ28:AZ31">
    <cfRule type="cellIs" dxfId="2591" priority="255" operator="equal">
      <formula>"ח"</formula>
    </cfRule>
  </conditionalFormatting>
  <conditionalFormatting sqref="AZ29">
    <cfRule type="cellIs" dxfId="2590" priority="235" operator="equal">
      <formula>"כ"</formula>
    </cfRule>
    <cfRule type="cellIs" dxfId="2589" priority="234" operator="equal">
      <formula>"כש"</formula>
    </cfRule>
    <cfRule type="cellIs" dxfId="2588" priority="233" stopIfTrue="1" operator="equal">
      <formula>"ח"</formula>
    </cfRule>
  </conditionalFormatting>
  <conditionalFormatting sqref="AZ32">
    <cfRule type="cellIs" dxfId="2587" priority="80" operator="equal">
      <formula>"כש"</formula>
    </cfRule>
    <cfRule type="cellIs" dxfId="2586" priority="81" operator="equal">
      <formula>"כ"</formula>
    </cfRule>
    <cfRule type="cellIs" dxfId="2585" priority="82" operator="equal">
      <formula>"ח"</formula>
    </cfRule>
  </conditionalFormatting>
  <conditionalFormatting sqref="AZ32:AZ33">
    <cfRule type="cellIs" dxfId="2584" priority="99" operator="equal">
      <formula>"ח"</formula>
    </cfRule>
  </conditionalFormatting>
  <conditionalFormatting sqref="AZ32:AZ34">
    <cfRule type="cellIs" dxfId="2583" priority="114" operator="equal">
      <formula>"ח"</formula>
    </cfRule>
  </conditionalFormatting>
  <conditionalFormatting sqref="AZ33">
    <cfRule type="cellIs" dxfId="2582" priority="94" operator="equal">
      <formula>"כ"</formula>
    </cfRule>
    <cfRule type="cellIs" dxfId="2581" priority="92" stopIfTrue="1" operator="equal">
      <formula>"ח"</formula>
    </cfRule>
    <cfRule type="cellIs" dxfId="2580" priority="93" operator="equal">
      <formula>"כש"</formula>
    </cfRule>
  </conditionalFormatting>
  <conditionalFormatting sqref="BB5">
    <cfRule type="cellIs" dxfId="2579" priority="42" stopIfTrue="1" operator="equal">
      <formula>"ח"</formula>
    </cfRule>
    <cfRule type="cellIs" dxfId="2578" priority="44" operator="equal">
      <formula>"כ"</formula>
    </cfRule>
    <cfRule type="cellIs" dxfId="2577" priority="51" operator="equal">
      <formula>"ח"</formula>
    </cfRule>
    <cfRule type="cellIs" dxfId="2576" priority="66" operator="equal">
      <formula>"ח"</formula>
    </cfRule>
    <cfRule type="cellIs" dxfId="2575" priority="43" operator="equal">
      <formula>"כש"</formula>
    </cfRule>
  </conditionalFormatting>
  <conditionalFormatting sqref="BB6:BB11">
    <cfRule type="cellIs" dxfId="2574" priority="493" operator="equal">
      <formula>"ח"</formula>
    </cfRule>
  </conditionalFormatting>
  <conditionalFormatting sqref="BB8">
    <cfRule type="cellIs" dxfId="2573" priority="452" operator="equal">
      <formula>"ח"</formula>
    </cfRule>
    <cfRule type="cellIs" dxfId="2572" priority="451" operator="equal">
      <formula>"כ"</formula>
    </cfRule>
    <cfRule type="cellIs" dxfId="2571" priority="450" operator="equal">
      <formula>"כש"</formula>
    </cfRule>
    <cfRule type="cellIs" dxfId="2570" priority="453" operator="equal">
      <formula>"ח"</formula>
    </cfRule>
    <cfRule type="cellIs" dxfId="2569" priority="459" operator="equal">
      <formula>"ח"</formula>
    </cfRule>
  </conditionalFormatting>
  <conditionalFormatting sqref="BB8:BB9">
    <cfRule type="cellIs" dxfId="2568" priority="478" operator="equal">
      <formula>"ח"</formula>
    </cfRule>
  </conditionalFormatting>
  <conditionalFormatting sqref="BB9">
    <cfRule type="cellIs" dxfId="2567" priority="469" stopIfTrue="1" operator="equal">
      <formula>"ח"</formula>
    </cfRule>
    <cfRule type="cellIs" dxfId="2566" priority="470" operator="equal">
      <formula>"כש"</formula>
    </cfRule>
    <cfRule type="cellIs" dxfId="2565" priority="471" operator="equal">
      <formula>"כ"</formula>
    </cfRule>
  </conditionalFormatting>
  <conditionalFormatting sqref="BB12">
    <cfRule type="cellIs" dxfId="2564" priority="405" operator="equal">
      <formula>"ח"</formula>
    </cfRule>
    <cfRule type="cellIs" dxfId="2563" priority="406" operator="equal">
      <formula>"ח"</formula>
    </cfRule>
    <cfRule type="cellIs" dxfId="2562" priority="412" operator="equal">
      <formula>"ח"</formula>
    </cfRule>
    <cfRule type="cellIs" dxfId="2561" priority="404" operator="equal">
      <formula>"כ"</formula>
    </cfRule>
    <cfRule type="cellIs" dxfId="2560" priority="403" operator="equal">
      <formula>"כש"</formula>
    </cfRule>
  </conditionalFormatting>
  <conditionalFormatting sqref="BB12:BB13">
    <cfRule type="cellIs" dxfId="2559" priority="431" operator="equal">
      <formula>"ח"</formula>
    </cfRule>
  </conditionalFormatting>
  <conditionalFormatting sqref="BB12:BB15">
    <cfRule type="cellIs" dxfId="2558" priority="446" operator="equal">
      <formula>"ח"</formula>
    </cfRule>
  </conditionalFormatting>
  <conditionalFormatting sqref="BB13">
    <cfRule type="cellIs" dxfId="2557" priority="424" operator="equal">
      <formula>"כ"</formula>
    </cfRule>
    <cfRule type="cellIs" dxfId="2556" priority="422" stopIfTrue="1" operator="equal">
      <formula>"ח"</formula>
    </cfRule>
    <cfRule type="cellIs" dxfId="2555" priority="423" operator="equal">
      <formula>"כש"</formula>
    </cfRule>
  </conditionalFormatting>
  <conditionalFormatting sqref="BB16">
    <cfRule type="cellIs" dxfId="2554" priority="356" operator="equal">
      <formula>"כש"</formula>
    </cfRule>
    <cfRule type="cellIs" dxfId="2553" priority="365" operator="equal">
      <formula>"ח"</formula>
    </cfRule>
    <cfRule type="cellIs" dxfId="2552" priority="357" operator="equal">
      <formula>"כ"</formula>
    </cfRule>
    <cfRule type="cellIs" dxfId="2551" priority="359" operator="equal">
      <formula>"ח"</formula>
    </cfRule>
    <cfRule type="cellIs" dxfId="2550" priority="358" operator="equal">
      <formula>"ח"</formula>
    </cfRule>
  </conditionalFormatting>
  <conditionalFormatting sqref="BB16:BB17">
    <cfRule type="cellIs" dxfId="2549" priority="384" operator="equal">
      <formula>"ח"</formula>
    </cfRule>
  </conditionalFormatting>
  <conditionalFormatting sqref="BB16:BB19">
    <cfRule type="cellIs" dxfId="2548" priority="399" operator="equal">
      <formula>"ח"</formula>
    </cfRule>
  </conditionalFormatting>
  <conditionalFormatting sqref="BB17">
    <cfRule type="cellIs" dxfId="2547" priority="377" operator="equal">
      <formula>"כ"</formula>
    </cfRule>
    <cfRule type="cellIs" dxfId="2546" priority="375" stopIfTrue="1" operator="equal">
      <formula>"ח"</formula>
    </cfRule>
    <cfRule type="cellIs" dxfId="2545" priority="376" operator="equal">
      <formula>"כש"</formula>
    </cfRule>
  </conditionalFormatting>
  <conditionalFormatting sqref="BB20">
    <cfRule type="cellIs" dxfId="2544" priority="314" operator="equal">
      <formula>"ח"</formula>
    </cfRule>
    <cfRule type="cellIs" dxfId="2543" priority="305" operator="equal">
      <formula>"כש"</formula>
    </cfRule>
    <cfRule type="cellIs" dxfId="2542" priority="306" operator="equal">
      <formula>"כ"</formula>
    </cfRule>
    <cfRule type="cellIs" dxfId="2541" priority="308" operator="equal">
      <formula>"ח"</formula>
    </cfRule>
    <cfRule type="cellIs" dxfId="2540" priority="307" operator="equal">
      <formula>"ח"</formula>
    </cfRule>
  </conditionalFormatting>
  <conditionalFormatting sqref="BB20:BB21">
    <cfRule type="cellIs" dxfId="2539" priority="333" operator="equal">
      <formula>"ח"</formula>
    </cfRule>
  </conditionalFormatting>
  <conditionalFormatting sqref="BB20:BB23">
    <cfRule type="cellIs" dxfId="2538" priority="348" operator="equal">
      <formula>"ח"</formula>
    </cfRule>
  </conditionalFormatting>
  <conditionalFormatting sqref="BB21">
    <cfRule type="cellIs" dxfId="2537" priority="326" operator="equal">
      <formula>"כ"</formula>
    </cfRule>
    <cfRule type="cellIs" dxfId="2536" priority="325" operator="equal">
      <formula>"כש"</formula>
    </cfRule>
    <cfRule type="cellIs" dxfId="2535" priority="324" stopIfTrue="1" operator="equal">
      <formula>"ח"</formula>
    </cfRule>
  </conditionalFormatting>
  <conditionalFormatting sqref="BB24">
    <cfRule type="cellIs" dxfId="2534" priority="258" operator="equal">
      <formula>"כש"</formula>
    </cfRule>
    <cfRule type="cellIs" dxfId="2533" priority="259" operator="equal">
      <formula>"כ"</formula>
    </cfRule>
    <cfRule type="cellIs" dxfId="2532" priority="260" operator="equal">
      <formula>"ח"</formula>
    </cfRule>
    <cfRule type="cellIs" dxfId="2531" priority="261" operator="equal">
      <formula>"ח"</formula>
    </cfRule>
    <cfRule type="cellIs" dxfId="2530" priority="267" operator="equal">
      <formula>"ח"</formula>
    </cfRule>
  </conditionalFormatting>
  <conditionalFormatting sqref="BB24:BB25">
    <cfRule type="cellIs" dxfId="2529" priority="286" operator="equal">
      <formula>"ח"</formula>
    </cfRule>
  </conditionalFormatting>
  <conditionalFormatting sqref="BB24:BB27">
    <cfRule type="cellIs" dxfId="2528" priority="301" operator="equal">
      <formula>"ח"</formula>
    </cfRule>
  </conditionalFormatting>
  <conditionalFormatting sqref="BB25">
    <cfRule type="cellIs" dxfId="2527" priority="277" stopIfTrue="1" operator="equal">
      <formula>"ח"</formula>
    </cfRule>
    <cfRule type="cellIs" dxfId="2526" priority="279" operator="equal">
      <formula>"כ"</formula>
    </cfRule>
    <cfRule type="cellIs" dxfId="2525" priority="278" operator="equal">
      <formula>"כש"</formula>
    </cfRule>
  </conditionalFormatting>
  <conditionalFormatting sqref="BB28">
    <cfRule type="cellIs" dxfId="2524" priority="220" operator="equal">
      <formula>"ח"</formula>
    </cfRule>
    <cfRule type="cellIs" dxfId="2523" priority="213" operator="equal">
      <formula>"ח"</formula>
    </cfRule>
    <cfRule type="cellIs" dxfId="2522" priority="211" operator="equal">
      <formula>"כש"</formula>
    </cfRule>
    <cfRule type="cellIs" dxfId="2521" priority="212" operator="equal">
      <formula>"כ"</formula>
    </cfRule>
    <cfRule type="cellIs" dxfId="2520" priority="214" operator="equal">
      <formula>"ח"</formula>
    </cfRule>
  </conditionalFormatting>
  <conditionalFormatting sqref="BB28:BB29">
    <cfRule type="cellIs" dxfId="2519" priority="239" operator="equal">
      <formula>"ח"</formula>
    </cfRule>
  </conditionalFormatting>
  <conditionalFormatting sqref="BB28:BB31">
    <cfRule type="cellIs" dxfId="2518" priority="254" operator="equal">
      <formula>"ח"</formula>
    </cfRule>
  </conditionalFormatting>
  <conditionalFormatting sqref="BB29">
    <cfRule type="cellIs" dxfId="2517" priority="230" stopIfTrue="1" operator="equal">
      <formula>"ח"</formula>
    </cfRule>
    <cfRule type="cellIs" dxfId="2516" priority="231" operator="equal">
      <formula>"כש"</formula>
    </cfRule>
    <cfRule type="cellIs" dxfId="2515" priority="232" operator="equal">
      <formula>"כ"</formula>
    </cfRule>
  </conditionalFormatting>
  <conditionalFormatting sqref="BB32">
    <cfRule type="cellIs" dxfId="2514" priority="73" operator="equal">
      <formula>"ח"</formula>
    </cfRule>
    <cfRule type="cellIs" dxfId="2513" priority="72" operator="equal">
      <formula>"ח"</formula>
    </cfRule>
    <cfRule type="cellIs" dxfId="2512" priority="70" operator="equal">
      <formula>"כש"</formula>
    </cfRule>
    <cfRule type="cellIs" dxfId="2511" priority="79" operator="equal">
      <formula>"ח"</formula>
    </cfRule>
    <cfRule type="cellIs" dxfId="2510" priority="71" operator="equal">
      <formula>"כ"</formula>
    </cfRule>
  </conditionalFormatting>
  <conditionalFormatting sqref="BB32:BB33">
    <cfRule type="cellIs" dxfId="2509" priority="98" operator="equal">
      <formula>"ח"</formula>
    </cfRule>
  </conditionalFormatting>
  <conditionalFormatting sqref="BB32:BB34">
    <cfRule type="cellIs" dxfId="2508" priority="113" operator="equal">
      <formula>"ח"</formula>
    </cfRule>
  </conditionalFormatting>
  <conditionalFormatting sqref="BB33">
    <cfRule type="cellIs" dxfId="2507" priority="90" operator="equal">
      <formula>"כש"</formula>
    </cfRule>
    <cfRule type="cellIs" dxfId="2506" priority="91" operator="equal">
      <formula>"כ"</formula>
    </cfRule>
    <cfRule type="cellIs" dxfId="2505" priority="89" stopIfTrue="1" operator="equal">
      <formula>"ח"</formula>
    </cfRule>
  </conditionalFormatting>
  <conditionalFormatting sqref="BC3:BC4">
    <cfRule type="cellIs" dxfId="2504" priority="1551" operator="equal">
      <formula>"כש"</formula>
    </cfRule>
    <cfRule type="cellIs" dxfId="2503" priority="1550" operator="equal">
      <formula>"ח"</formula>
    </cfRule>
    <cfRule type="cellIs" dxfId="2502" priority="1549" operator="equal">
      <formula>"מיל"</formula>
    </cfRule>
    <cfRule type="cellIs" dxfId="2501" priority="1548" operator="equal">
      <formula>"מנוחה"</formula>
    </cfRule>
    <cfRule type="cellIs" dxfId="2500" priority="1547" operator="equal">
      <formula>"מ"</formula>
    </cfRule>
    <cfRule type="cellIs" dxfId="2499" priority="1546" operator="equal">
      <formula>"ק"</formula>
    </cfRule>
    <cfRule type="cellIs" dxfId="2498" priority="1545" operator="equal">
      <formula>"כמ"</formula>
    </cfRule>
    <cfRule type="cellIs" dxfId="2497" priority="1544" operator="equal">
      <formula>"כמש"</formula>
    </cfRule>
    <cfRule type="cellIs" dxfId="2496" priority="1543" operator="equal">
      <formula>"י"</formula>
    </cfRule>
    <cfRule type="cellIs" dxfId="2495" priority="1552" operator="equal">
      <formula>"כ"</formula>
    </cfRule>
    <cfRule type="cellIs" dxfId="2494" priority="1542" operator="equal">
      <formula>"ל"</formula>
    </cfRule>
  </conditionalFormatting>
  <conditionalFormatting sqref="BD5">
    <cfRule type="cellIs" dxfId="2493" priority="39" stopIfTrue="1" operator="equal">
      <formula>"ח"</formula>
    </cfRule>
    <cfRule type="cellIs" dxfId="2492" priority="40" operator="equal">
      <formula>"כש"</formula>
    </cfRule>
    <cfRule type="cellIs" dxfId="2491" priority="41" operator="equal">
      <formula>"כ"</formula>
    </cfRule>
    <cfRule type="cellIs" dxfId="2490" priority="50" operator="equal">
      <formula>"ח"</formula>
    </cfRule>
    <cfRule type="cellIs" dxfId="2489" priority="65" operator="equal">
      <formula>"ח"</formula>
    </cfRule>
  </conditionalFormatting>
  <conditionalFormatting sqref="BD6:BD11">
    <cfRule type="cellIs" dxfId="2488" priority="492" operator="equal">
      <formula>"ח"</formula>
    </cfRule>
  </conditionalFormatting>
  <conditionalFormatting sqref="BD8">
    <cfRule type="cellIs" dxfId="2487" priority="456" operator="equal">
      <formula>"ח"</formula>
    </cfRule>
    <cfRule type="cellIs" dxfId="2486" priority="455" operator="equal">
      <formula>"כ"</formula>
    </cfRule>
    <cfRule type="cellIs" dxfId="2485" priority="454" operator="equal">
      <formula>"כש"</formula>
    </cfRule>
  </conditionalFormatting>
  <conditionalFormatting sqref="BD8:BD9">
    <cfRule type="cellIs" dxfId="2484" priority="477" operator="equal">
      <formula>"ח"</formula>
    </cfRule>
  </conditionalFormatting>
  <conditionalFormatting sqref="BD9">
    <cfRule type="cellIs" dxfId="2483" priority="466" stopIfTrue="1" operator="equal">
      <formula>"ח"</formula>
    </cfRule>
    <cfRule type="cellIs" dxfId="2482" priority="467" operator="equal">
      <formula>"כש"</formula>
    </cfRule>
    <cfRule type="cellIs" dxfId="2481" priority="468" operator="equal">
      <formula>"כ"</formula>
    </cfRule>
  </conditionalFormatting>
  <conditionalFormatting sqref="BD12">
    <cfRule type="cellIs" dxfId="2480" priority="407" operator="equal">
      <formula>"כש"</formula>
    </cfRule>
    <cfRule type="cellIs" dxfId="2479" priority="409" operator="equal">
      <formula>"ח"</formula>
    </cfRule>
    <cfRule type="cellIs" dxfId="2478" priority="408" operator="equal">
      <formula>"כ"</formula>
    </cfRule>
  </conditionalFormatting>
  <conditionalFormatting sqref="BD12:BD13">
    <cfRule type="cellIs" dxfId="2477" priority="430" operator="equal">
      <formula>"ח"</formula>
    </cfRule>
  </conditionalFormatting>
  <conditionalFormatting sqref="BD12:BD15">
    <cfRule type="cellIs" dxfId="2476" priority="445" operator="equal">
      <formula>"ח"</formula>
    </cfRule>
  </conditionalFormatting>
  <conditionalFormatting sqref="BD13">
    <cfRule type="cellIs" dxfId="2475" priority="419" stopIfTrue="1" operator="equal">
      <formula>"ח"</formula>
    </cfRule>
    <cfRule type="cellIs" dxfId="2474" priority="420" operator="equal">
      <formula>"כש"</formula>
    </cfRule>
    <cfRule type="cellIs" dxfId="2473" priority="421" operator="equal">
      <formula>"כ"</formula>
    </cfRule>
  </conditionalFormatting>
  <conditionalFormatting sqref="BD16">
    <cfRule type="cellIs" dxfId="2472" priority="360" operator="equal">
      <formula>"כש"</formula>
    </cfRule>
    <cfRule type="cellIs" dxfId="2471" priority="361" operator="equal">
      <formula>"כ"</formula>
    </cfRule>
    <cfRule type="cellIs" dxfId="2470" priority="362" operator="equal">
      <formula>"ח"</formula>
    </cfRule>
  </conditionalFormatting>
  <conditionalFormatting sqref="BD16:BD17">
    <cfRule type="cellIs" dxfId="2469" priority="383" operator="equal">
      <formula>"ח"</formula>
    </cfRule>
  </conditionalFormatting>
  <conditionalFormatting sqref="BD16:BD19">
    <cfRule type="cellIs" dxfId="2468" priority="398" operator="equal">
      <formula>"ח"</formula>
    </cfRule>
  </conditionalFormatting>
  <conditionalFormatting sqref="BD17">
    <cfRule type="cellIs" dxfId="2467" priority="372" stopIfTrue="1" operator="equal">
      <formula>"ח"</formula>
    </cfRule>
  </conditionalFormatting>
  <conditionalFormatting sqref="BD20">
    <cfRule type="cellIs" dxfId="2466" priority="309" operator="equal">
      <formula>"כש"</formula>
    </cfRule>
    <cfRule type="cellIs" dxfId="2465" priority="310" operator="equal">
      <formula>"כ"</formula>
    </cfRule>
    <cfRule type="cellIs" dxfId="2464" priority="311" operator="equal">
      <formula>"ח"</formula>
    </cfRule>
  </conditionalFormatting>
  <conditionalFormatting sqref="BD20:BD21">
    <cfRule type="cellIs" dxfId="2463" priority="332" operator="equal">
      <formula>"ח"</formula>
    </cfRule>
  </conditionalFormatting>
  <conditionalFormatting sqref="BD20:BD23">
    <cfRule type="cellIs" dxfId="2462" priority="347" operator="equal">
      <formula>"ח"</formula>
    </cfRule>
  </conditionalFormatting>
  <conditionalFormatting sqref="BD21">
    <cfRule type="cellIs" dxfId="2461" priority="321" stopIfTrue="1" operator="equal">
      <formula>"ח"</formula>
    </cfRule>
    <cfRule type="cellIs" dxfId="2460" priority="323" operator="equal">
      <formula>"כ"</formula>
    </cfRule>
    <cfRule type="cellIs" dxfId="2459" priority="322" operator="equal">
      <formula>"כש"</formula>
    </cfRule>
  </conditionalFormatting>
  <conditionalFormatting sqref="BD24">
    <cfRule type="cellIs" dxfId="2458" priority="264" operator="equal">
      <formula>"ח"</formula>
    </cfRule>
    <cfRule type="cellIs" dxfId="2457" priority="263" operator="equal">
      <formula>"כ"</formula>
    </cfRule>
    <cfRule type="cellIs" dxfId="2456" priority="262" operator="equal">
      <formula>"כש"</formula>
    </cfRule>
  </conditionalFormatting>
  <conditionalFormatting sqref="BD24:BD25">
    <cfRule type="cellIs" dxfId="2455" priority="285" operator="equal">
      <formula>"ח"</formula>
    </cfRule>
  </conditionalFormatting>
  <conditionalFormatting sqref="BD24:BD27">
    <cfRule type="cellIs" dxfId="2454" priority="300" operator="equal">
      <formula>"ח"</formula>
    </cfRule>
  </conditionalFormatting>
  <conditionalFormatting sqref="BD25">
    <cfRule type="cellIs" dxfId="2453" priority="274" stopIfTrue="1" operator="equal">
      <formula>"ח"</formula>
    </cfRule>
    <cfRule type="cellIs" dxfId="2452" priority="276" operator="equal">
      <formula>"כ"</formula>
    </cfRule>
    <cfRule type="cellIs" dxfId="2451" priority="275" operator="equal">
      <formula>"כש"</formula>
    </cfRule>
  </conditionalFormatting>
  <conditionalFormatting sqref="BD28">
    <cfRule type="cellIs" dxfId="2450" priority="217" operator="equal">
      <formula>"ח"</formula>
    </cfRule>
    <cfRule type="cellIs" dxfId="2449" priority="216" operator="equal">
      <formula>"כ"</formula>
    </cfRule>
    <cfRule type="cellIs" dxfId="2448" priority="215" operator="equal">
      <formula>"כש"</formula>
    </cfRule>
  </conditionalFormatting>
  <conditionalFormatting sqref="BD28:BD29">
    <cfRule type="cellIs" dxfId="2447" priority="238" operator="equal">
      <formula>"ח"</formula>
    </cfRule>
  </conditionalFormatting>
  <conditionalFormatting sqref="BD28:BD31">
    <cfRule type="cellIs" dxfId="2446" priority="253" operator="equal">
      <formula>"ח"</formula>
    </cfRule>
  </conditionalFormatting>
  <conditionalFormatting sqref="BD29">
    <cfRule type="cellIs" dxfId="2445" priority="227" stopIfTrue="1" operator="equal">
      <formula>"ח"</formula>
    </cfRule>
  </conditionalFormatting>
  <conditionalFormatting sqref="BD32">
    <cfRule type="cellIs" dxfId="2444" priority="76" operator="equal">
      <formula>"ח"</formula>
    </cfRule>
  </conditionalFormatting>
  <conditionalFormatting sqref="BD32:BD33">
    <cfRule type="cellIs" dxfId="2443" priority="97" operator="equal">
      <formula>"ח"</formula>
    </cfRule>
  </conditionalFormatting>
  <conditionalFormatting sqref="BD32:BD34">
    <cfRule type="cellIs" dxfId="2442" priority="112" operator="equal">
      <formula>"ח"</formula>
    </cfRule>
  </conditionalFormatting>
  <conditionalFormatting sqref="BD33">
    <cfRule type="cellIs" dxfId="2441" priority="86" stopIfTrue="1" operator="equal">
      <formula>"ח"</formula>
    </cfRule>
  </conditionalFormatting>
  <conditionalFormatting sqref="BD17:BE17">
    <cfRule type="cellIs" dxfId="2440" priority="373" operator="equal">
      <formula>"כש"</formula>
    </cfRule>
    <cfRule type="cellIs" dxfId="2439" priority="374" operator="equal">
      <formula>"כ"</formula>
    </cfRule>
  </conditionalFormatting>
  <conditionalFormatting sqref="BD29:BE29">
    <cfRule type="cellIs" dxfId="2438" priority="229" operator="equal">
      <formula>"כ"</formula>
    </cfRule>
    <cfRule type="cellIs" dxfId="2437" priority="228" operator="equal">
      <formula>"כש"</formula>
    </cfRule>
  </conditionalFormatting>
  <conditionalFormatting sqref="BD33:BE33">
    <cfRule type="cellIs" dxfId="2436" priority="88" operator="equal">
      <formula>"כ"</formula>
    </cfRule>
    <cfRule type="cellIs" dxfId="2435" priority="87" operator="equal">
      <formula>"כש"</formula>
    </cfRule>
  </conditionalFormatting>
  <conditionalFormatting sqref="BD32:BL32">
    <cfRule type="cellIs" dxfId="2434" priority="75" operator="equal">
      <formula>"כ"</formula>
    </cfRule>
    <cfRule type="cellIs" dxfId="2433" priority="74" operator="equal">
      <formula>"כש"</formula>
    </cfRule>
  </conditionalFormatting>
  <conditionalFormatting sqref="BE8:BL12">
    <cfRule type="cellIs" dxfId="2432" priority="1397" operator="equal">
      <formula>"כ"</formula>
    </cfRule>
    <cfRule type="cellIs" dxfId="2431" priority="1396" operator="equal">
      <formula>"כש"</formula>
    </cfRule>
  </conditionalFormatting>
  <conditionalFormatting sqref="BE13:BL16">
    <cfRule type="cellIs" dxfId="2430" priority="1350" operator="equal">
      <formula>"כ"</formula>
    </cfRule>
    <cfRule type="cellIs" dxfId="2429" priority="1349" operator="equal">
      <formula>"כש"</formula>
    </cfRule>
  </conditionalFormatting>
  <conditionalFormatting sqref="BE20:BL24">
    <cfRule type="cellIs" dxfId="2428" priority="1256" operator="equal">
      <formula>"כ"</formula>
    </cfRule>
    <cfRule type="cellIs" dxfId="2427" priority="1255" operator="equal">
      <formula>"כש"</formula>
    </cfRule>
  </conditionalFormatting>
  <conditionalFormatting sqref="BE25:BL28">
    <cfRule type="cellIs" dxfId="2426" priority="1209" operator="equal">
      <formula>"כ"</formula>
    </cfRule>
    <cfRule type="cellIs" dxfId="2425" priority="1208" operator="equal">
      <formula>"כש"</formula>
    </cfRule>
  </conditionalFormatting>
  <conditionalFormatting sqref="BE8:BM12">
    <cfRule type="cellIs" dxfId="2424" priority="1407" operator="equal">
      <formula>"ק"</formula>
    </cfRule>
    <cfRule type="cellIs" dxfId="2423" priority="1406" operator="equal">
      <formula>"כמ"</formula>
    </cfRule>
    <cfRule type="cellIs" dxfId="2422" priority="1405" operator="equal">
      <formula>"כמש"</formula>
    </cfRule>
    <cfRule type="cellIs" dxfId="2421" priority="1410" operator="equal">
      <formula>"מיל"</formula>
    </cfRule>
    <cfRule type="cellIs" dxfId="2420" priority="1403" operator="equal">
      <formula>"ל"</formula>
    </cfRule>
    <cfRule type="cellIs" dxfId="2419" priority="1409" operator="equal">
      <formula>"מנוחה"</formula>
    </cfRule>
    <cfRule type="cellIs" dxfId="2418" priority="1408" operator="equal">
      <formula>"מ"</formula>
    </cfRule>
    <cfRule type="cellIs" dxfId="2417" priority="1404" operator="equal">
      <formula>"י"</formula>
    </cfRule>
  </conditionalFormatting>
  <conditionalFormatting sqref="BE13:BM15">
    <cfRule type="cellIs" dxfId="2416" priority="1362" operator="equal">
      <formula>"מנוחה"</formula>
    </cfRule>
    <cfRule type="cellIs" dxfId="2415" priority="1361" operator="equal">
      <formula>"מ"</formula>
    </cfRule>
    <cfRule type="cellIs" dxfId="2414" priority="1359" operator="equal">
      <formula>"כמ"</formula>
    </cfRule>
    <cfRule type="cellIs" dxfId="2413" priority="1360" operator="equal">
      <formula>"ק"</formula>
    </cfRule>
    <cfRule type="cellIs" dxfId="2412" priority="1356" operator="equal">
      <formula>"ל"</formula>
    </cfRule>
    <cfRule type="cellIs" dxfId="2411" priority="1357" operator="equal">
      <formula>"י"</formula>
    </cfRule>
    <cfRule type="cellIs" dxfId="2410" priority="1358" operator="equal">
      <formula>"כמש"</formula>
    </cfRule>
    <cfRule type="cellIs" dxfId="2409" priority="1363" operator="equal">
      <formula>"מיל"</formula>
    </cfRule>
  </conditionalFormatting>
  <conditionalFormatting sqref="BE20:BM24">
    <cfRule type="cellIs" dxfId="2408" priority="1266" operator="equal">
      <formula>"ק"</formula>
    </cfRule>
    <cfRule type="cellIs" dxfId="2407" priority="1265" operator="equal">
      <formula>"כמ"</formula>
    </cfRule>
    <cfRule type="cellIs" dxfId="2406" priority="1264" operator="equal">
      <formula>"כמש"</formula>
    </cfRule>
    <cfRule type="cellIs" dxfId="2405" priority="1263" operator="equal">
      <formula>"י"</formula>
    </cfRule>
    <cfRule type="cellIs" dxfId="2404" priority="1267" operator="equal">
      <formula>"מ"</formula>
    </cfRule>
    <cfRule type="cellIs" dxfId="2403" priority="1269" operator="equal">
      <formula>"מיל"</formula>
    </cfRule>
    <cfRule type="cellIs" dxfId="2402" priority="1262" operator="equal">
      <formula>"ל"</formula>
    </cfRule>
    <cfRule type="cellIs" dxfId="2401" priority="1268" operator="equal">
      <formula>"מנוחה"</formula>
    </cfRule>
  </conditionalFormatting>
  <conditionalFormatting sqref="BE25:BM27">
    <cfRule type="cellIs" dxfId="2400" priority="1222" operator="equal">
      <formula>"מיל"</formula>
    </cfRule>
    <cfRule type="cellIs" dxfId="2399" priority="1220" operator="equal">
      <formula>"מ"</formula>
    </cfRule>
    <cfRule type="cellIs" dxfId="2398" priority="1221" operator="equal">
      <formula>"מנוחה"</formula>
    </cfRule>
    <cfRule type="cellIs" dxfId="2397" priority="1215" operator="equal">
      <formula>"ל"</formula>
    </cfRule>
    <cfRule type="cellIs" dxfId="2396" priority="1216" operator="equal">
      <formula>"י"</formula>
    </cfRule>
    <cfRule type="cellIs" dxfId="2395" priority="1218" operator="equal">
      <formula>"כמ"</formula>
    </cfRule>
    <cfRule type="cellIs" dxfId="2394" priority="1217" operator="equal">
      <formula>"כמש"</formula>
    </cfRule>
    <cfRule type="cellIs" dxfId="2393" priority="1219" operator="equal">
      <formula>"ק"</formula>
    </cfRule>
  </conditionalFormatting>
  <conditionalFormatting sqref="BF5:BF8">
    <cfRule type="cellIs" dxfId="2392" priority="1485" operator="equal">
      <formula>"ח"</formula>
    </cfRule>
  </conditionalFormatting>
  <conditionalFormatting sqref="BF6">
    <cfRule type="cellIs" dxfId="2391" priority="1453" stopIfTrue="1" operator="equal">
      <formula>"ח"</formula>
    </cfRule>
  </conditionalFormatting>
  <conditionalFormatting sqref="BF9:BF12">
    <cfRule type="cellIs" dxfId="2390" priority="1416" operator="equal">
      <formula>"ח"</formula>
    </cfRule>
  </conditionalFormatting>
  <conditionalFormatting sqref="BF10">
    <cfRule type="cellIs" dxfId="2389" priority="1386" operator="equal">
      <formula>"כ"</formula>
    </cfRule>
    <cfRule type="cellIs" dxfId="2388" priority="1385" operator="equal">
      <formula>"כש"</formula>
    </cfRule>
    <cfRule type="cellIs" dxfId="2387" priority="1384" stopIfTrue="1" operator="equal">
      <formula>"ח"</formula>
    </cfRule>
  </conditionalFormatting>
  <conditionalFormatting sqref="BF13:BF16">
    <cfRule type="cellIs" dxfId="2386" priority="1369" operator="equal">
      <formula>"ח"</formula>
    </cfRule>
  </conditionalFormatting>
  <conditionalFormatting sqref="BF14">
    <cfRule type="cellIs" dxfId="2385" priority="1339" operator="equal">
      <formula>"כ"</formula>
    </cfRule>
    <cfRule type="cellIs" dxfId="2384" priority="1338" operator="equal">
      <formula>"כש"</formula>
    </cfRule>
    <cfRule type="cellIs" dxfId="2383" priority="1337" stopIfTrue="1" operator="equal">
      <formula>"ח"</formula>
    </cfRule>
  </conditionalFormatting>
  <conditionalFormatting sqref="BF17:BF20">
    <cfRule type="cellIs" dxfId="2382" priority="1322" operator="equal">
      <formula>"ח"</formula>
    </cfRule>
  </conditionalFormatting>
  <conditionalFormatting sqref="BF18">
    <cfRule type="cellIs" dxfId="2381" priority="1290" stopIfTrue="1" operator="equal">
      <formula>"ח"</formula>
    </cfRule>
  </conditionalFormatting>
  <conditionalFormatting sqref="BF21:BF24">
    <cfRule type="cellIs" dxfId="2380" priority="1275" operator="equal">
      <formula>"ח"</formula>
    </cfRule>
  </conditionalFormatting>
  <conditionalFormatting sqref="BF22">
    <cfRule type="cellIs" dxfId="2379" priority="1244" operator="equal">
      <formula>"כש"</formula>
    </cfRule>
    <cfRule type="cellIs" dxfId="2378" priority="1243" stopIfTrue="1" operator="equal">
      <formula>"ח"</formula>
    </cfRule>
    <cfRule type="cellIs" dxfId="2377" priority="1245" operator="equal">
      <formula>"כ"</formula>
    </cfRule>
  </conditionalFormatting>
  <conditionalFormatting sqref="BF25:BF28">
    <cfRule type="cellIs" dxfId="2376" priority="1228" operator="equal">
      <formula>"ח"</formula>
    </cfRule>
  </conditionalFormatting>
  <conditionalFormatting sqref="BF26">
    <cfRule type="cellIs" dxfId="2375" priority="1196" stopIfTrue="1" operator="equal">
      <formula>"ח"</formula>
    </cfRule>
    <cfRule type="cellIs" dxfId="2374" priority="1197" operator="equal">
      <formula>"כש"</formula>
    </cfRule>
    <cfRule type="cellIs" dxfId="2373" priority="1198" operator="equal">
      <formula>"כ"</formula>
    </cfRule>
  </conditionalFormatting>
  <conditionalFormatting sqref="BF29:BF32">
    <cfRule type="cellIs" dxfId="2372" priority="1181" operator="equal">
      <formula>"ח"</formula>
    </cfRule>
  </conditionalFormatting>
  <conditionalFormatting sqref="BF30">
    <cfRule type="cellIs" dxfId="2371" priority="1149" stopIfTrue="1" operator="equal">
      <formula>"ח"</formula>
    </cfRule>
  </conditionalFormatting>
  <conditionalFormatting sqref="BF33:BF34">
    <cfRule type="cellIs" dxfId="2370" priority="1134" operator="equal">
      <formula>"ח"</formula>
    </cfRule>
  </conditionalFormatting>
  <conditionalFormatting sqref="BF34">
    <cfRule type="cellIs" dxfId="2369" priority="1102" stopIfTrue="1" operator="equal">
      <formula>"ח"</formula>
    </cfRule>
  </conditionalFormatting>
  <conditionalFormatting sqref="BF5:BG6">
    <cfRule type="cellIs" dxfId="2368" priority="1486" operator="equal">
      <formula>"ח"</formula>
    </cfRule>
  </conditionalFormatting>
  <conditionalFormatting sqref="BF9:BG10">
    <cfRule type="cellIs" dxfId="2367" priority="1417" operator="equal">
      <formula>"ח"</formula>
    </cfRule>
  </conditionalFormatting>
  <conditionalFormatting sqref="BF13:BG14">
    <cfRule type="cellIs" dxfId="2366" priority="1370" operator="equal">
      <formula>"ח"</formula>
    </cfRule>
  </conditionalFormatting>
  <conditionalFormatting sqref="BF17:BG18">
    <cfRule type="cellIs" dxfId="2365" priority="1323" operator="equal">
      <formula>"ח"</formula>
    </cfRule>
  </conditionalFormatting>
  <conditionalFormatting sqref="BF21:BG22">
    <cfRule type="cellIs" dxfId="2364" priority="1276" operator="equal">
      <formula>"ח"</formula>
    </cfRule>
  </conditionalFormatting>
  <conditionalFormatting sqref="BF25:BG26">
    <cfRule type="cellIs" dxfId="2363" priority="1229" operator="equal">
      <formula>"ח"</formula>
    </cfRule>
  </conditionalFormatting>
  <conditionalFormatting sqref="BF29:BG30">
    <cfRule type="cellIs" dxfId="2362" priority="1182" operator="equal">
      <formula>"ח"</formula>
    </cfRule>
  </conditionalFormatting>
  <conditionalFormatting sqref="BF33:BG34 BI5:BI34 BK5:BK34">
    <cfRule type="cellIs" dxfId="2361" priority="1135" operator="equal">
      <formula>"ח"</formula>
    </cfRule>
  </conditionalFormatting>
  <conditionalFormatting sqref="BF5:BL6">
    <cfRule type="cellIs" dxfId="2360" priority="1472" operator="equal">
      <formula>"ל"</formula>
    </cfRule>
    <cfRule type="cellIs" dxfId="2359" priority="1477" operator="equal">
      <formula>"מ"</formula>
    </cfRule>
    <cfRule type="cellIs" dxfId="2358" priority="1478" operator="equal">
      <formula>"מנוחה"</formula>
    </cfRule>
    <cfRule type="cellIs" dxfId="2357" priority="1479" operator="equal">
      <formula>"מיל"</formula>
    </cfRule>
    <cfRule type="cellIs" dxfId="2356" priority="1465" operator="equal">
      <formula>"כש"</formula>
    </cfRule>
    <cfRule type="cellIs" dxfId="2355" priority="1473" operator="equal">
      <formula>"י"</formula>
    </cfRule>
    <cfRule type="cellIs" dxfId="2354" priority="1466" operator="equal">
      <formula>"כ"</formula>
    </cfRule>
    <cfRule type="cellIs" dxfId="2353" priority="1474" operator="equal">
      <formula>"כמש"</formula>
    </cfRule>
    <cfRule type="cellIs" dxfId="2352" priority="1475" operator="equal">
      <formula>"כמ"</formula>
    </cfRule>
    <cfRule type="cellIs" dxfId="2351" priority="1476" operator="equal">
      <formula>"ק"</formula>
    </cfRule>
  </conditionalFormatting>
  <conditionalFormatting sqref="BF17:BL18">
    <cfRule type="cellIs" dxfId="2350" priority="1315" operator="equal">
      <formula>"מנוחה"</formula>
    </cfRule>
    <cfRule type="cellIs" dxfId="2349" priority="1302" operator="equal">
      <formula>"כש"</formula>
    </cfRule>
    <cfRule type="cellIs" dxfId="2348" priority="1303" operator="equal">
      <formula>"כ"</formula>
    </cfRule>
    <cfRule type="cellIs" dxfId="2347" priority="1309" operator="equal">
      <formula>"ל"</formula>
    </cfRule>
    <cfRule type="cellIs" dxfId="2346" priority="1310" operator="equal">
      <formula>"י"</formula>
    </cfRule>
    <cfRule type="cellIs" dxfId="2345" priority="1311" operator="equal">
      <formula>"כמש"</formula>
    </cfRule>
    <cfRule type="cellIs" dxfId="2344" priority="1312" operator="equal">
      <formula>"כמ"</formula>
    </cfRule>
    <cfRule type="cellIs" dxfId="2343" priority="1313" operator="equal">
      <formula>"ק"</formula>
    </cfRule>
    <cfRule type="cellIs" dxfId="2342" priority="1314" operator="equal">
      <formula>"מ"</formula>
    </cfRule>
    <cfRule type="cellIs" dxfId="2341" priority="1316" operator="equal">
      <formula>"מיל"</formula>
    </cfRule>
  </conditionalFormatting>
  <conditionalFormatting sqref="BF29:BL30">
    <cfRule type="cellIs" dxfId="2340" priority="1175" operator="equal">
      <formula>"מיל"</formula>
    </cfRule>
    <cfRule type="cellIs" dxfId="2339" priority="1174" operator="equal">
      <formula>"מנוחה"</formula>
    </cfRule>
    <cfRule type="cellIs" dxfId="2338" priority="1173" operator="equal">
      <formula>"מ"</formula>
    </cfRule>
    <cfRule type="cellIs" dxfId="2337" priority="1172" operator="equal">
      <formula>"ק"</formula>
    </cfRule>
    <cfRule type="cellIs" dxfId="2336" priority="1171" operator="equal">
      <formula>"כמ"</formula>
    </cfRule>
    <cfRule type="cellIs" dxfId="2335" priority="1170" operator="equal">
      <formula>"כמש"</formula>
    </cfRule>
    <cfRule type="cellIs" dxfId="2334" priority="1169" operator="equal">
      <formula>"י"</formula>
    </cfRule>
    <cfRule type="cellIs" dxfId="2333" priority="1168" operator="equal">
      <formula>"ל"</formula>
    </cfRule>
    <cfRule type="cellIs" dxfId="2332" priority="1162" operator="equal">
      <formula>"כ"</formula>
    </cfRule>
    <cfRule type="cellIs" dxfId="2331" priority="1161" operator="equal">
      <formula>"כש"</formula>
    </cfRule>
  </conditionalFormatting>
  <conditionalFormatting sqref="BF33:BL34">
    <cfRule type="cellIs" dxfId="2330" priority="1122" operator="equal">
      <formula>"י"</formula>
    </cfRule>
    <cfRule type="cellIs" dxfId="2329" priority="1123" operator="equal">
      <formula>"כמש"</formula>
    </cfRule>
    <cfRule type="cellIs" dxfId="2328" priority="1124" operator="equal">
      <formula>"כמ"</formula>
    </cfRule>
    <cfRule type="cellIs" dxfId="2327" priority="1125" operator="equal">
      <formula>"ק"</formula>
    </cfRule>
    <cfRule type="cellIs" dxfId="2326" priority="1126" operator="equal">
      <formula>"מ"</formula>
    </cfRule>
    <cfRule type="cellIs" dxfId="2325" priority="1127" operator="equal">
      <formula>"מנוחה"</formula>
    </cfRule>
    <cfRule type="cellIs" dxfId="2324" priority="1128" operator="equal">
      <formula>"מיל"</formula>
    </cfRule>
    <cfRule type="cellIs" dxfId="2323" priority="1121" operator="equal">
      <formula>"ל"</formula>
    </cfRule>
    <cfRule type="cellIs" dxfId="2322" priority="1115" operator="equal">
      <formula>"כ"</formula>
    </cfRule>
    <cfRule type="cellIs" dxfId="2321" priority="1114" operator="equal">
      <formula>"כש"</formula>
    </cfRule>
  </conditionalFormatting>
  <conditionalFormatting sqref="BH5">
    <cfRule type="cellIs" dxfId="2320" priority="1452" operator="equal">
      <formula>"ח"</formula>
    </cfRule>
    <cfRule type="cellIs" dxfId="2319" priority="1450" operator="equal">
      <formula>"כש"</formula>
    </cfRule>
    <cfRule type="cellIs" dxfId="2318" priority="1451" operator="equal">
      <formula>"כ"</formula>
    </cfRule>
  </conditionalFormatting>
  <conditionalFormatting sqref="BH5:BH6">
    <cfRule type="cellIs" dxfId="2317" priority="1469" operator="equal">
      <formula>"ח"</formula>
    </cfRule>
  </conditionalFormatting>
  <conditionalFormatting sqref="BH5:BH8">
    <cfRule type="cellIs" dxfId="2316" priority="1484" operator="equal">
      <formula>"ח"</formula>
    </cfRule>
  </conditionalFormatting>
  <conditionalFormatting sqref="BH6">
    <cfRule type="cellIs" dxfId="2315" priority="1464" operator="equal">
      <formula>"כ"</formula>
    </cfRule>
    <cfRule type="cellIs" dxfId="2314" priority="1462" stopIfTrue="1" operator="equal">
      <formula>"ח"</formula>
    </cfRule>
    <cfRule type="cellIs" dxfId="2313" priority="1463" operator="equal">
      <formula>"כש"</formula>
    </cfRule>
  </conditionalFormatting>
  <conditionalFormatting sqref="BH9">
    <cfRule type="cellIs" dxfId="2312" priority="1381" operator="equal">
      <formula>"כש"</formula>
    </cfRule>
    <cfRule type="cellIs" dxfId="2311" priority="1382" operator="equal">
      <formula>"כ"</formula>
    </cfRule>
    <cfRule type="cellIs" dxfId="2310" priority="1383" operator="equal">
      <formula>"ח"</formula>
    </cfRule>
  </conditionalFormatting>
  <conditionalFormatting sqref="BH9:BH10">
    <cfRule type="cellIs" dxfId="2309" priority="1400" operator="equal">
      <formula>"ח"</formula>
    </cfRule>
  </conditionalFormatting>
  <conditionalFormatting sqref="BH9:BH12">
    <cfRule type="cellIs" dxfId="2308" priority="1415" operator="equal">
      <formula>"ח"</formula>
    </cfRule>
  </conditionalFormatting>
  <conditionalFormatting sqref="BH10">
    <cfRule type="cellIs" dxfId="2307" priority="1394" operator="equal">
      <formula>"כש"</formula>
    </cfRule>
    <cfRule type="cellIs" dxfId="2306" priority="1395" operator="equal">
      <formula>"כ"</formula>
    </cfRule>
    <cfRule type="cellIs" dxfId="2305" priority="1393" stopIfTrue="1" operator="equal">
      <formula>"ח"</formula>
    </cfRule>
  </conditionalFormatting>
  <conditionalFormatting sqref="BH13">
    <cfRule type="cellIs" dxfId="2304" priority="1334" operator="equal">
      <formula>"כש"</formula>
    </cfRule>
    <cfRule type="cellIs" dxfId="2303" priority="1335" operator="equal">
      <formula>"כ"</formula>
    </cfRule>
    <cfRule type="cellIs" dxfId="2302" priority="1336" operator="equal">
      <formula>"ח"</formula>
    </cfRule>
  </conditionalFormatting>
  <conditionalFormatting sqref="BH13:BH14">
    <cfRule type="cellIs" dxfId="2301" priority="1353" operator="equal">
      <formula>"ח"</formula>
    </cfRule>
  </conditionalFormatting>
  <conditionalFormatting sqref="BH13:BH16">
    <cfRule type="cellIs" dxfId="2300" priority="1368" operator="equal">
      <formula>"ח"</formula>
    </cfRule>
  </conditionalFormatting>
  <conditionalFormatting sqref="BH14">
    <cfRule type="cellIs" dxfId="2299" priority="1347" operator="equal">
      <formula>"כש"</formula>
    </cfRule>
    <cfRule type="cellIs" dxfId="2298" priority="1346" stopIfTrue="1" operator="equal">
      <formula>"ח"</formula>
    </cfRule>
    <cfRule type="cellIs" dxfId="2297" priority="1348" operator="equal">
      <formula>"כ"</formula>
    </cfRule>
  </conditionalFormatting>
  <conditionalFormatting sqref="BH17">
    <cfRule type="cellIs" dxfId="2296" priority="1289" operator="equal">
      <formula>"ח"</formula>
    </cfRule>
    <cfRule type="cellIs" dxfId="2295" priority="1287" operator="equal">
      <formula>"כש"</formula>
    </cfRule>
    <cfRule type="cellIs" dxfId="2294" priority="1288" operator="equal">
      <formula>"כ"</formula>
    </cfRule>
  </conditionalFormatting>
  <conditionalFormatting sqref="BH17:BH18">
    <cfRule type="cellIs" dxfId="2293" priority="1306" operator="equal">
      <formula>"ח"</formula>
    </cfRule>
  </conditionalFormatting>
  <conditionalFormatting sqref="BH17:BH20">
    <cfRule type="cellIs" dxfId="2292" priority="1321" operator="equal">
      <formula>"ח"</formula>
    </cfRule>
  </conditionalFormatting>
  <conditionalFormatting sqref="BH18">
    <cfRule type="cellIs" dxfId="2291" priority="1300" operator="equal">
      <formula>"כש"</formula>
    </cfRule>
    <cfRule type="cellIs" dxfId="2290" priority="1301" operator="equal">
      <formula>"כ"</formula>
    </cfRule>
    <cfRule type="cellIs" dxfId="2289" priority="1299" stopIfTrue="1" operator="equal">
      <formula>"ח"</formula>
    </cfRule>
  </conditionalFormatting>
  <conditionalFormatting sqref="BH21">
    <cfRule type="cellIs" dxfId="2288" priority="1242" operator="equal">
      <formula>"ח"</formula>
    </cfRule>
    <cfRule type="cellIs" dxfId="2287" priority="1241" operator="equal">
      <formula>"כ"</formula>
    </cfRule>
    <cfRule type="cellIs" dxfId="2286" priority="1240" operator="equal">
      <formula>"כש"</formula>
    </cfRule>
  </conditionalFormatting>
  <conditionalFormatting sqref="BH21:BH22">
    <cfRule type="cellIs" dxfId="2285" priority="1259" operator="equal">
      <formula>"ח"</formula>
    </cfRule>
  </conditionalFormatting>
  <conditionalFormatting sqref="BH21:BH24">
    <cfRule type="cellIs" dxfId="2284" priority="1274" operator="equal">
      <formula>"ח"</formula>
    </cfRule>
  </conditionalFormatting>
  <conditionalFormatting sqref="BH22">
    <cfRule type="cellIs" dxfId="2283" priority="1254" operator="equal">
      <formula>"כ"</formula>
    </cfRule>
    <cfRule type="cellIs" dxfId="2282" priority="1252" stopIfTrue="1" operator="equal">
      <formula>"ח"</formula>
    </cfRule>
    <cfRule type="cellIs" dxfId="2281" priority="1253" operator="equal">
      <formula>"כש"</formula>
    </cfRule>
  </conditionalFormatting>
  <conditionalFormatting sqref="BH25">
    <cfRule type="cellIs" dxfId="2280" priority="1195" operator="equal">
      <formula>"ח"</formula>
    </cfRule>
    <cfRule type="cellIs" dxfId="2279" priority="1194" operator="equal">
      <formula>"כ"</formula>
    </cfRule>
    <cfRule type="cellIs" dxfId="2278" priority="1193" operator="equal">
      <formula>"כש"</formula>
    </cfRule>
  </conditionalFormatting>
  <conditionalFormatting sqref="BH25:BH26">
    <cfRule type="cellIs" dxfId="2277" priority="1212" operator="equal">
      <formula>"ח"</formula>
    </cfRule>
  </conditionalFormatting>
  <conditionalFormatting sqref="BH25:BH28">
    <cfRule type="cellIs" dxfId="2276" priority="1227" operator="equal">
      <formula>"ח"</formula>
    </cfRule>
  </conditionalFormatting>
  <conditionalFormatting sqref="BH26">
    <cfRule type="cellIs" dxfId="2275" priority="1207" operator="equal">
      <formula>"כ"</formula>
    </cfRule>
    <cfRule type="cellIs" dxfId="2274" priority="1206" operator="equal">
      <formula>"כש"</formula>
    </cfRule>
    <cfRule type="cellIs" dxfId="2273" priority="1205" stopIfTrue="1" operator="equal">
      <formula>"ח"</formula>
    </cfRule>
  </conditionalFormatting>
  <conditionalFormatting sqref="BH29">
    <cfRule type="cellIs" dxfId="2272" priority="1147" operator="equal">
      <formula>"כ"</formula>
    </cfRule>
    <cfRule type="cellIs" dxfId="2271" priority="1146" operator="equal">
      <formula>"כש"</formula>
    </cfRule>
    <cfRule type="cellIs" dxfId="2270" priority="1148" operator="equal">
      <formula>"ח"</formula>
    </cfRule>
  </conditionalFormatting>
  <conditionalFormatting sqref="BH29:BH30">
    <cfRule type="cellIs" dxfId="2269" priority="1165" operator="equal">
      <formula>"ח"</formula>
    </cfRule>
  </conditionalFormatting>
  <conditionalFormatting sqref="BH29:BH32">
    <cfRule type="cellIs" dxfId="2268" priority="1180" operator="equal">
      <formula>"ח"</formula>
    </cfRule>
  </conditionalFormatting>
  <conditionalFormatting sqref="BH30">
    <cfRule type="cellIs" dxfId="2267" priority="1159" operator="equal">
      <formula>"כש"</formula>
    </cfRule>
    <cfRule type="cellIs" dxfId="2266" priority="1158" stopIfTrue="1" operator="equal">
      <formula>"ח"</formula>
    </cfRule>
    <cfRule type="cellIs" dxfId="2265" priority="1160" operator="equal">
      <formula>"כ"</formula>
    </cfRule>
  </conditionalFormatting>
  <conditionalFormatting sqref="BH33">
    <cfRule type="cellIs" dxfId="2264" priority="1100" operator="equal">
      <formula>"כ"</formula>
    </cfRule>
    <cfRule type="cellIs" dxfId="2263" priority="1101" operator="equal">
      <formula>"ח"</formula>
    </cfRule>
    <cfRule type="cellIs" dxfId="2262" priority="1099" operator="equal">
      <formula>"כש"</formula>
    </cfRule>
  </conditionalFormatting>
  <conditionalFormatting sqref="BH33:BH34">
    <cfRule type="cellIs" dxfId="2261" priority="1118" operator="equal">
      <formula>"ח"</formula>
    </cfRule>
    <cfRule type="cellIs" dxfId="2260" priority="1133" operator="equal">
      <formula>"ח"</formula>
    </cfRule>
  </conditionalFormatting>
  <conditionalFormatting sqref="BH34">
    <cfRule type="cellIs" dxfId="2259" priority="1111" stopIfTrue="1" operator="equal">
      <formula>"ח"</formula>
    </cfRule>
    <cfRule type="cellIs" dxfId="2258" priority="1113" operator="equal">
      <formula>"כ"</formula>
    </cfRule>
    <cfRule type="cellIs" dxfId="2257" priority="1112" operator="equal">
      <formula>"כש"</formula>
    </cfRule>
  </conditionalFormatting>
  <conditionalFormatting sqref="BJ5">
    <cfRule type="cellIs" dxfId="2256" priority="1442" operator="equal">
      <formula>"ח"</formula>
    </cfRule>
    <cfRule type="cellIs" dxfId="2255" priority="1443" operator="equal">
      <formula>"ח"</formula>
    </cfRule>
    <cfRule type="cellIs" dxfId="2254" priority="1449" operator="equal">
      <formula>"ח"</formula>
    </cfRule>
    <cfRule type="cellIs" dxfId="2253" priority="1441" operator="equal">
      <formula>"כ"</formula>
    </cfRule>
    <cfRule type="cellIs" dxfId="2252" priority="1440" operator="equal">
      <formula>"כש"</formula>
    </cfRule>
  </conditionalFormatting>
  <conditionalFormatting sqref="BJ5:BJ6">
    <cfRule type="cellIs" dxfId="2251" priority="1468" operator="equal">
      <formula>"ח"</formula>
    </cfRule>
  </conditionalFormatting>
  <conditionalFormatting sqref="BJ5:BJ8">
    <cfRule type="cellIs" dxfId="2250" priority="1483" operator="equal">
      <formula>"ח"</formula>
    </cfRule>
  </conditionalFormatting>
  <conditionalFormatting sqref="BJ6">
    <cfRule type="cellIs" dxfId="2249" priority="1459" stopIfTrue="1" operator="equal">
      <formula>"ח"</formula>
    </cfRule>
    <cfRule type="cellIs" dxfId="2248" priority="1461" operator="equal">
      <formula>"כ"</formula>
    </cfRule>
    <cfRule type="cellIs" dxfId="2247" priority="1460" operator="equal">
      <formula>"כש"</formula>
    </cfRule>
  </conditionalFormatting>
  <conditionalFormatting sqref="BJ9">
    <cfRule type="cellIs" dxfId="2246" priority="1380" operator="equal">
      <formula>"ח"</formula>
    </cfRule>
    <cfRule type="cellIs" dxfId="2245" priority="1374" operator="equal">
      <formula>"ח"</formula>
    </cfRule>
    <cfRule type="cellIs" dxfId="2244" priority="1373" operator="equal">
      <formula>"ח"</formula>
    </cfRule>
    <cfRule type="cellIs" dxfId="2243" priority="1372" operator="equal">
      <formula>"כ"</formula>
    </cfRule>
    <cfRule type="cellIs" dxfId="2242" priority="1371" operator="equal">
      <formula>"כש"</formula>
    </cfRule>
  </conditionalFormatting>
  <conditionalFormatting sqref="BJ9:BJ10">
    <cfRule type="cellIs" dxfId="2241" priority="1399" operator="equal">
      <formula>"ח"</formula>
    </cfRule>
  </conditionalFormatting>
  <conditionalFormatting sqref="BJ9:BJ12">
    <cfRule type="cellIs" dxfId="2240" priority="1414" operator="equal">
      <formula>"ח"</formula>
    </cfRule>
  </conditionalFormatting>
  <conditionalFormatting sqref="BJ10">
    <cfRule type="cellIs" dxfId="2239" priority="1392" operator="equal">
      <formula>"כ"</formula>
    </cfRule>
    <cfRule type="cellIs" dxfId="2238" priority="1391" operator="equal">
      <formula>"כש"</formula>
    </cfRule>
    <cfRule type="cellIs" dxfId="2237" priority="1390" stopIfTrue="1" operator="equal">
      <formula>"ח"</formula>
    </cfRule>
  </conditionalFormatting>
  <conditionalFormatting sqref="BJ13">
    <cfRule type="cellIs" dxfId="2236" priority="1333" operator="equal">
      <formula>"ח"</formula>
    </cfRule>
    <cfRule type="cellIs" dxfId="2235" priority="1327" operator="equal">
      <formula>"ח"</formula>
    </cfRule>
    <cfRule type="cellIs" dxfId="2234" priority="1326" operator="equal">
      <formula>"ח"</formula>
    </cfRule>
    <cfRule type="cellIs" dxfId="2233" priority="1325" operator="equal">
      <formula>"כ"</formula>
    </cfRule>
    <cfRule type="cellIs" dxfId="2232" priority="1324" operator="equal">
      <formula>"כש"</formula>
    </cfRule>
  </conditionalFormatting>
  <conditionalFormatting sqref="BJ13:BJ14">
    <cfRule type="cellIs" dxfId="2231" priority="1352" operator="equal">
      <formula>"ח"</formula>
    </cfRule>
  </conditionalFormatting>
  <conditionalFormatting sqref="BJ13:BJ16">
    <cfRule type="cellIs" dxfId="2230" priority="1367" operator="equal">
      <formula>"ח"</formula>
    </cfRule>
  </conditionalFormatting>
  <conditionalFormatting sqref="BJ14">
    <cfRule type="cellIs" dxfId="2229" priority="1343" stopIfTrue="1" operator="equal">
      <formula>"ח"</formula>
    </cfRule>
    <cfRule type="cellIs" dxfId="2228" priority="1344" operator="equal">
      <formula>"כש"</formula>
    </cfRule>
    <cfRule type="cellIs" dxfId="2227" priority="1345" operator="equal">
      <formula>"כ"</formula>
    </cfRule>
  </conditionalFormatting>
  <conditionalFormatting sqref="BJ17">
    <cfRule type="cellIs" dxfId="2226" priority="1277" operator="equal">
      <formula>"כש"</formula>
    </cfRule>
    <cfRule type="cellIs" dxfId="2225" priority="1278" operator="equal">
      <formula>"כ"</formula>
    </cfRule>
    <cfRule type="cellIs" dxfId="2224" priority="1279" operator="equal">
      <formula>"ח"</formula>
    </cfRule>
    <cfRule type="cellIs" dxfId="2223" priority="1280" operator="equal">
      <formula>"ח"</formula>
    </cfRule>
    <cfRule type="cellIs" dxfId="2222" priority="1286" operator="equal">
      <formula>"ח"</formula>
    </cfRule>
  </conditionalFormatting>
  <conditionalFormatting sqref="BJ17:BJ18">
    <cfRule type="cellIs" dxfId="2221" priority="1305" operator="equal">
      <formula>"ח"</formula>
    </cfRule>
  </conditionalFormatting>
  <conditionalFormatting sqref="BJ17:BJ20">
    <cfRule type="cellIs" dxfId="2220" priority="1320" operator="equal">
      <formula>"ח"</formula>
    </cfRule>
  </conditionalFormatting>
  <conditionalFormatting sqref="BJ18">
    <cfRule type="cellIs" dxfId="2219" priority="1296" stopIfTrue="1" operator="equal">
      <formula>"ח"</formula>
    </cfRule>
    <cfRule type="cellIs" dxfId="2218" priority="1297" operator="equal">
      <formula>"כש"</formula>
    </cfRule>
    <cfRule type="cellIs" dxfId="2217" priority="1298" operator="equal">
      <formula>"כ"</formula>
    </cfRule>
  </conditionalFormatting>
  <conditionalFormatting sqref="BJ21">
    <cfRule type="cellIs" dxfId="2216" priority="1239" operator="equal">
      <formula>"ח"</formula>
    </cfRule>
    <cfRule type="cellIs" dxfId="2215" priority="1233" operator="equal">
      <formula>"ח"</formula>
    </cfRule>
    <cfRule type="cellIs" dxfId="2214" priority="1232" operator="equal">
      <formula>"ח"</formula>
    </cfRule>
    <cfRule type="cellIs" dxfId="2213" priority="1231" operator="equal">
      <formula>"כ"</formula>
    </cfRule>
    <cfRule type="cellIs" dxfId="2212" priority="1230" operator="equal">
      <formula>"כש"</formula>
    </cfRule>
  </conditionalFormatting>
  <conditionalFormatting sqref="BJ21:BJ22">
    <cfRule type="cellIs" dxfId="2211" priority="1258" operator="equal">
      <formula>"ח"</formula>
    </cfRule>
  </conditionalFormatting>
  <conditionalFormatting sqref="BJ21:BJ24">
    <cfRule type="cellIs" dxfId="2210" priority="1273" operator="equal">
      <formula>"ח"</formula>
    </cfRule>
  </conditionalFormatting>
  <conditionalFormatting sqref="BJ22">
    <cfRule type="cellIs" dxfId="2209" priority="1251" operator="equal">
      <formula>"כ"</formula>
    </cfRule>
    <cfRule type="cellIs" dxfId="2208" priority="1250" operator="equal">
      <formula>"כש"</formula>
    </cfRule>
    <cfRule type="cellIs" dxfId="2207" priority="1249" stopIfTrue="1" operator="equal">
      <formula>"ח"</formula>
    </cfRule>
  </conditionalFormatting>
  <conditionalFormatting sqref="BJ25">
    <cfRule type="cellIs" dxfId="2206" priority="1183" operator="equal">
      <formula>"כש"</formula>
    </cfRule>
    <cfRule type="cellIs" dxfId="2205" priority="1184" operator="equal">
      <formula>"כ"</formula>
    </cfRule>
    <cfRule type="cellIs" dxfId="2204" priority="1186" operator="equal">
      <formula>"ח"</formula>
    </cfRule>
    <cfRule type="cellIs" dxfId="2203" priority="1192" operator="equal">
      <formula>"ח"</formula>
    </cfRule>
    <cfRule type="cellIs" dxfId="2202" priority="1185" operator="equal">
      <formula>"ח"</formula>
    </cfRule>
  </conditionalFormatting>
  <conditionalFormatting sqref="BJ25:BJ26">
    <cfRule type="cellIs" dxfId="2201" priority="1211" operator="equal">
      <formula>"ח"</formula>
    </cfRule>
  </conditionalFormatting>
  <conditionalFormatting sqref="BJ25:BJ28">
    <cfRule type="cellIs" dxfId="2200" priority="1226" operator="equal">
      <formula>"ח"</formula>
    </cfRule>
  </conditionalFormatting>
  <conditionalFormatting sqref="BJ26">
    <cfRule type="cellIs" dxfId="2199" priority="1203" operator="equal">
      <formula>"כש"</formula>
    </cfRule>
    <cfRule type="cellIs" dxfId="2198" priority="1202" stopIfTrue="1" operator="equal">
      <formula>"ח"</formula>
    </cfRule>
    <cfRule type="cellIs" dxfId="2197" priority="1204" operator="equal">
      <formula>"כ"</formula>
    </cfRule>
  </conditionalFormatting>
  <conditionalFormatting sqref="BJ29">
    <cfRule type="cellIs" dxfId="2196" priority="1136" operator="equal">
      <formula>"כש"</formula>
    </cfRule>
    <cfRule type="cellIs" dxfId="2195" priority="1145" operator="equal">
      <formula>"ח"</formula>
    </cfRule>
    <cfRule type="cellIs" dxfId="2194" priority="1139" operator="equal">
      <formula>"ח"</formula>
    </cfRule>
    <cfRule type="cellIs" dxfId="2193" priority="1138" operator="equal">
      <formula>"ח"</formula>
    </cfRule>
    <cfRule type="cellIs" dxfId="2192" priority="1137" operator="equal">
      <formula>"כ"</formula>
    </cfRule>
  </conditionalFormatting>
  <conditionalFormatting sqref="BJ29:BJ30">
    <cfRule type="cellIs" dxfId="2191" priority="1164" operator="equal">
      <formula>"ח"</formula>
    </cfRule>
  </conditionalFormatting>
  <conditionalFormatting sqref="BJ29:BJ32">
    <cfRule type="cellIs" dxfId="2190" priority="1179" operator="equal">
      <formula>"ח"</formula>
    </cfRule>
  </conditionalFormatting>
  <conditionalFormatting sqref="BJ30">
    <cfRule type="cellIs" dxfId="2189" priority="1157" operator="equal">
      <formula>"כ"</formula>
    </cfRule>
    <cfRule type="cellIs" dxfId="2188" priority="1156" operator="equal">
      <formula>"כש"</formula>
    </cfRule>
    <cfRule type="cellIs" dxfId="2187" priority="1155" stopIfTrue="1" operator="equal">
      <formula>"ח"</formula>
    </cfRule>
  </conditionalFormatting>
  <conditionalFormatting sqref="BJ33">
    <cfRule type="cellIs" dxfId="2186" priority="1089" operator="equal">
      <formula>"כש"</formula>
    </cfRule>
    <cfRule type="cellIs" dxfId="2185" priority="1090" operator="equal">
      <formula>"כ"</formula>
    </cfRule>
    <cfRule type="cellIs" dxfId="2184" priority="1091" operator="equal">
      <formula>"ח"</formula>
    </cfRule>
    <cfRule type="cellIs" dxfId="2183" priority="1092" operator="equal">
      <formula>"ח"</formula>
    </cfRule>
    <cfRule type="cellIs" dxfId="2182" priority="1098" operator="equal">
      <formula>"ח"</formula>
    </cfRule>
  </conditionalFormatting>
  <conditionalFormatting sqref="BJ33:BJ34">
    <cfRule type="cellIs" dxfId="2181" priority="1132" operator="equal">
      <formula>"ח"</formula>
    </cfRule>
    <cfRule type="cellIs" dxfId="2180" priority="1117" operator="equal">
      <formula>"ח"</formula>
    </cfRule>
  </conditionalFormatting>
  <conditionalFormatting sqref="BJ34">
    <cfRule type="cellIs" dxfId="2179" priority="1109" operator="equal">
      <formula>"כש"</formula>
    </cfRule>
    <cfRule type="cellIs" dxfId="2178" priority="1108" stopIfTrue="1" operator="equal">
      <formula>"ח"</formula>
    </cfRule>
    <cfRule type="cellIs" dxfId="2177" priority="1110" operator="equal">
      <formula>"כ"</formula>
    </cfRule>
  </conditionalFormatting>
  <conditionalFormatting sqref="BL5">
    <cfRule type="cellIs" dxfId="2176" priority="1445" operator="equal">
      <formula>"כ"</formula>
    </cfRule>
    <cfRule type="cellIs" dxfId="2175" priority="1446" operator="equal">
      <formula>"ח"</formula>
    </cfRule>
    <cfRule type="cellIs" dxfId="2174" priority="1444" operator="equal">
      <formula>"כש"</formula>
    </cfRule>
  </conditionalFormatting>
  <conditionalFormatting sqref="BL5:BL6">
    <cfRule type="cellIs" dxfId="2173" priority="1467" operator="equal">
      <formula>"ח"</formula>
    </cfRule>
  </conditionalFormatting>
  <conditionalFormatting sqref="BL5:BL8">
    <cfRule type="cellIs" dxfId="2172" priority="1482" operator="equal">
      <formula>"ח"</formula>
    </cfRule>
  </conditionalFormatting>
  <conditionalFormatting sqref="BL6">
    <cfRule type="cellIs" dxfId="2171" priority="1458" operator="equal">
      <formula>"כ"</formula>
    </cfRule>
    <cfRule type="cellIs" dxfId="2170" priority="1457" operator="equal">
      <formula>"כש"</formula>
    </cfRule>
    <cfRule type="cellIs" dxfId="2169" priority="1456" stopIfTrue="1" operator="equal">
      <formula>"ח"</formula>
    </cfRule>
  </conditionalFormatting>
  <conditionalFormatting sqref="BL9">
    <cfRule type="cellIs" dxfId="2168" priority="1375" operator="equal">
      <formula>"כש"</formula>
    </cfRule>
    <cfRule type="cellIs" dxfId="2167" priority="1377" operator="equal">
      <formula>"ח"</formula>
    </cfRule>
    <cfRule type="cellIs" dxfId="2166" priority="1376" operator="equal">
      <formula>"כ"</formula>
    </cfRule>
  </conditionalFormatting>
  <conditionalFormatting sqref="BL9:BL10">
    <cfRule type="cellIs" dxfId="2165" priority="1398" operator="equal">
      <formula>"ח"</formula>
    </cfRule>
  </conditionalFormatting>
  <conditionalFormatting sqref="BL9:BL12">
    <cfRule type="cellIs" dxfId="2164" priority="1413" operator="equal">
      <formula>"ח"</formula>
    </cfRule>
  </conditionalFormatting>
  <conditionalFormatting sqref="BL10">
    <cfRule type="cellIs" dxfId="2163" priority="1387" stopIfTrue="1" operator="equal">
      <formula>"ח"</formula>
    </cfRule>
    <cfRule type="cellIs" dxfId="2162" priority="1388" operator="equal">
      <formula>"כש"</formula>
    </cfRule>
    <cfRule type="cellIs" dxfId="2161" priority="1389" operator="equal">
      <formula>"כ"</formula>
    </cfRule>
  </conditionalFormatting>
  <conditionalFormatting sqref="BL13">
    <cfRule type="cellIs" dxfId="2160" priority="1328" operator="equal">
      <formula>"כש"</formula>
    </cfRule>
    <cfRule type="cellIs" dxfId="2159" priority="1329" operator="equal">
      <formula>"כ"</formula>
    </cfRule>
    <cfRule type="cellIs" dxfId="2158" priority="1330" operator="equal">
      <formula>"ח"</formula>
    </cfRule>
  </conditionalFormatting>
  <conditionalFormatting sqref="BL13:BL14">
    <cfRule type="cellIs" dxfId="2157" priority="1351" operator="equal">
      <formula>"ח"</formula>
    </cfRule>
  </conditionalFormatting>
  <conditionalFormatting sqref="BL13:BL16">
    <cfRule type="cellIs" dxfId="2156" priority="1366" operator="equal">
      <formula>"ח"</formula>
    </cfRule>
  </conditionalFormatting>
  <conditionalFormatting sqref="BL14">
    <cfRule type="cellIs" dxfId="2155" priority="1342" operator="equal">
      <formula>"כ"</formula>
    </cfRule>
    <cfRule type="cellIs" dxfId="2154" priority="1341" operator="equal">
      <formula>"כש"</formula>
    </cfRule>
    <cfRule type="cellIs" dxfId="2153" priority="1340" stopIfTrue="1" operator="equal">
      <formula>"ח"</formula>
    </cfRule>
  </conditionalFormatting>
  <conditionalFormatting sqref="BL17">
    <cfRule type="cellIs" dxfId="2152" priority="1282" operator="equal">
      <formula>"כ"</formula>
    </cfRule>
    <cfRule type="cellIs" dxfId="2151" priority="1283" operator="equal">
      <formula>"ח"</formula>
    </cfRule>
    <cfRule type="cellIs" dxfId="2150" priority="1281" operator="equal">
      <formula>"כש"</formula>
    </cfRule>
  </conditionalFormatting>
  <conditionalFormatting sqref="BL17:BL18">
    <cfRule type="cellIs" dxfId="2149" priority="1304" operator="equal">
      <formula>"ח"</formula>
    </cfRule>
  </conditionalFormatting>
  <conditionalFormatting sqref="BL17:BL20">
    <cfRule type="cellIs" dxfId="2148" priority="1319" operator="equal">
      <formula>"ח"</formula>
    </cfRule>
  </conditionalFormatting>
  <conditionalFormatting sqref="BL18">
    <cfRule type="cellIs" dxfId="2147" priority="1293" stopIfTrue="1" operator="equal">
      <formula>"ח"</formula>
    </cfRule>
    <cfRule type="cellIs" dxfId="2146" priority="1294" operator="equal">
      <formula>"כש"</formula>
    </cfRule>
    <cfRule type="cellIs" dxfId="2145" priority="1295" operator="equal">
      <formula>"כ"</formula>
    </cfRule>
  </conditionalFormatting>
  <conditionalFormatting sqref="BL21">
    <cfRule type="cellIs" dxfId="2144" priority="1235" operator="equal">
      <formula>"כ"</formula>
    </cfRule>
    <cfRule type="cellIs" dxfId="2143" priority="1236" operator="equal">
      <formula>"ח"</formula>
    </cfRule>
    <cfRule type="cellIs" dxfId="2142" priority="1234" operator="equal">
      <formula>"כש"</formula>
    </cfRule>
  </conditionalFormatting>
  <conditionalFormatting sqref="BL21:BL22">
    <cfRule type="cellIs" dxfId="2141" priority="1257" operator="equal">
      <formula>"ח"</formula>
    </cfRule>
  </conditionalFormatting>
  <conditionalFormatting sqref="BL21:BL24">
    <cfRule type="cellIs" dxfId="2140" priority="1272" operator="equal">
      <formula>"ח"</formula>
    </cfRule>
  </conditionalFormatting>
  <conditionalFormatting sqref="BL22">
    <cfRule type="cellIs" dxfId="2139" priority="1246" stopIfTrue="1" operator="equal">
      <formula>"ח"</formula>
    </cfRule>
    <cfRule type="cellIs" dxfId="2138" priority="1247" operator="equal">
      <formula>"כש"</formula>
    </cfRule>
    <cfRule type="cellIs" dxfId="2137" priority="1248" operator="equal">
      <formula>"כ"</formula>
    </cfRule>
  </conditionalFormatting>
  <conditionalFormatting sqref="BL25">
    <cfRule type="cellIs" dxfId="2136" priority="1188" operator="equal">
      <formula>"כ"</formula>
    </cfRule>
    <cfRule type="cellIs" dxfId="2135" priority="1189" operator="equal">
      <formula>"ח"</formula>
    </cfRule>
    <cfRule type="cellIs" dxfId="2134" priority="1187" operator="equal">
      <formula>"כש"</formula>
    </cfRule>
  </conditionalFormatting>
  <conditionalFormatting sqref="BL25:BL26">
    <cfRule type="cellIs" dxfId="2133" priority="1210" operator="equal">
      <formula>"ח"</formula>
    </cfRule>
  </conditionalFormatting>
  <conditionalFormatting sqref="BL25:BL28">
    <cfRule type="cellIs" dxfId="2132" priority="1225" operator="equal">
      <formula>"ח"</formula>
    </cfRule>
  </conditionalFormatting>
  <conditionalFormatting sqref="BL26">
    <cfRule type="cellIs" dxfId="2131" priority="1201" operator="equal">
      <formula>"כ"</formula>
    </cfRule>
    <cfRule type="cellIs" dxfId="2130" priority="1200" operator="equal">
      <formula>"כש"</formula>
    </cfRule>
    <cfRule type="cellIs" dxfId="2129" priority="1199" stopIfTrue="1" operator="equal">
      <formula>"ח"</formula>
    </cfRule>
  </conditionalFormatting>
  <conditionalFormatting sqref="BL29">
    <cfRule type="cellIs" dxfId="2128" priority="1140" operator="equal">
      <formula>"כש"</formula>
    </cfRule>
    <cfRule type="cellIs" dxfId="2127" priority="1141" operator="equal">
      <formula>"כ"</formula>
    </cfRule>
    <cfRule type="cellIs" dxfId="2126" priority="1142" operator="equal">
      <formula>"ח"</formula>
    </cfRule>
  </conditionalFormatting>
  <conditionalFormatting sqref="BL29:BL30">
    <cfRule type="cellIs" dxfId="2125" priority="1163" operator="equal">
      <formula>"ח"</formula>
    </cfRule>
  </conditionalFormatting>
  <conditionalFormatting sqref="BL29:BL32">
    <cfRule type="cellIs" dxfId="2124" priority="1178" operator="equal">
      <formula>"ח"</formula>
    </cfRule>
  </conditionalFormatting>
  <conditionalFormatting sqref="BL30">
    <cfRule type="cellIs" dxfId="2123" priority="1154" operator="equal">
      <formula>"כ"</formula>
    </cfRule>
    <cfRule type="cellIs" dxfId="2122" priority="1152" stopIfTrue="1" operator="equal">
      <formula>"ח"</formula>
    </cfRule>
    <cfRule type="cellIs" dxfId="2121" priority="1153" operator="equal">
      <formula>"כש"</formula>
    </cfRule>
  </conditionalFormatting>
  <conditionalFormatting sqref="BL33">
    <cfRule type="cellIs" dxfId="2120" priority="1093" operator="equal">
      <formula>"כש"</formula>
    </cfRule>
    <cfRule type="cellIs" dxfId="2119" priority="1094" operator="equal">
      <formula>"כ"</formula>
    </cfRule>
    <cfRule type="cellIs" dxfId="2118" priority="1095" operator="equal">
      <formula>"ח"</formula>
    </cfRule>
  </conditionalFormatting>
  <conditionalFormatting sqref="BL33:BL34">
    <cfRule type="cellIs" dxfId="2117" priority="1116" operator="equal">
      <formula>"ח"</formula>
    </cfRule>
    <cfRule type="cellIs" dxfId="2116" priority="1131" operator="equal">
      <formula>"ח"</formula>
    </cfRule>
  </conditionalFormatting>
  <conditionalFormatting sqref="BL34">
    <cfRule type="cellIs" dxfId="2115" priority="1105" stopIfTrue="1" operator="equal">
      <formula>"ח"</formula>
    </cfRule>
  </conditionalFormatting>
  <conditionalFormatting sqref="BL34:BM34">
    <cfRule type="cellIs" dxfId="2114" priority="1106" operator="equal">
      <formula>"כש"</formula>
    </cfRule>
    <cfRule type="cellIs" dxfId="2113" priority="1107" operator="equal">
      <formula>"כ"</formula>
    </cfRule>
  </conditionalFormatting>
  <conditionalFormatting sqref="BM5:BO5 BM6:BM15 BM18:BM27">
    <cfRule type="cellIs" dxfId="2112" priority="1829" operator="equal">
      <formula>"כ"</formula>
    </cfRule>
    <cfRule type="cellIs" dxfId="2111" priority="1828" operator="equal">
      <formula>"כש"</formula>
    </cfRule>
  </conditionalFormatting>
  <conditionalFormatting sqref="BM28:BO33">
    <cfRule type="cellIs" dxfId="2110" priority="210" operator="equal">
      <formula>"ח"</formula>
    </cfRule>
  </conditionalFormatting>
  <conditionalFormatting sqref="BM34:BO34 BQ5:BQ34 BS5:BS34">
    <cfRule type="cellIs" dxfId="2109" priority="35" operator="equal">
      <formula>"ח"</formula>
    </cfRule>
  </conditionalFormatting>
  <conditionalFormatting sqref="BM30:BT31">
    <cfRule type="cellIs" dxfId="2108" priority="189" operator="equal">
      <formula>"כש"</formula>
    </cfRule>
    <cfRule type="cellIs" dxfId="2107" priority="190" operator="equal">
      <formula>"כ"</formula>
    </cfRule>
  </conditionalFormatting>
  <conditionalFormatting sqref="BM33:CB34">
    <cfRule type="cellIs" dxfId="2106" priority="24" operator="equal">
      <formula>"כמ"</formula>
    </cfRule>
    <cfRule type="cellIs" dxfId="2105" priority="21" operator="equal">
      <formula>"ל"</formula>
    </cfRule>
    <cfRule type="cellIs" dxfId="2104" priority="23" operator="equal">
      <formula>"כמש"</formula>
    </cfRule>
    <cfRule type="cellIs" dxfId="2103" priority="22" operator="equal">
      <formula>"י"</formula>
    </cfRule>
    <cfRule type="cellIs" dxfId="2102" priority="25" operator="equal">
      <formula>"ק"</formula>
    </cfRule>
    <cfRule type="cellIs" dxfId="2101" priority="26" operator="equal">
      <formula>"מ"</formula>
    </cfRule>
    <cfRule type="cellIs" dxfId="2100" priority="27" operator="equal">
      <formula>"מנוחה"</formula>
    </cfRule>
    <cfRule type="cellIs" dxfId="2099" priority="28" operator="equal">
      <formula>"מיל"</formula>
    </cfRule>
  </conditionalFormatting>
  <conditionalFormatting sqref="BN5">
    <cfRule type="cellIs" dxfId="2098" priority="1827" stopIfTrue="1" operator="equal">
      <formula>"ח"</formula>
    </cfRule>
  </conditionalFormatting>
  <conditionalFormatting sqref="BN6:BN9">
    <cfRule type="cellIs" dxfId="2097" priority="1081" operator="equal">
      <formula>"ח"</formula>
    </cfRule>
  </conditionalFormatting>
  <conditionalFormatting sqref="BN7">
    <cfRule type="cellIs" dxfId="2096" priority="1049" stopIfTrue="1" operator="equal">
      <formula>"ח"</formula>
    </cfRule>
    <cfRule type="cellIs" dxfId="2095" priority="1050" operator="equal">
      <formula>"כש"</formula>
    </cfRule>
    <cfRule type="cellIs" dxfId="2094" priority="1051" operator="equal">
      <formula>"כ"</formula>
    </cfRule>
  </conditionalFormatting>
  <conditionalFormatting sqref="BN10:BN13">
    <cfRule type="cellIs" dxfId="2093" priority="1034" operator="equal">
      <formula>"ח"</formula>
    </cfRule>
  </conditionalFormatting>
  <conditionalFormatting sqref="BN11">
    <cfRule type="cellIs" dxfId="2092" priority="1004" operator="equal">
      <formula>"כ"</formula>
    </cfRule>
    <cfRule type="cellIs" dxfId="2091" priority="1002" stopIfTrue="1" operator="equal">
      <formula>"ח"</formula>
    </cfRule>
    <cfRule type="cellIs" dxfId="2090" priority="1003" operator="equal">
      <formula>"כש"</formula>
    </cfRule>
  </conditionalFormatting>
  <conditionalFormatting sqref="BN14:BN15">
    <cfRule type="cellIs" dxfId="2089" priority="987" operator="equal">
      <formula>"ח"</formula>
    </cfRule>
  </conditionalFormatting>
  <conditionalFormatting sqref="BN15">
    <cfRule type="cellIs" dxfId="2088" priority="957" operator="equal">
      <formula>"כ"</formula>
    </cfRule>
    <cfRule type="cellIs" dxfId="2087" priority="956" operator="equal">
      <formula>"כש"</formula>
    </cfRule>
    <cfRule type="cellIs" dxfId="2086" priority="955" stopIfTrue="1" operator="equal">
      <formula>"ח"</formula>
    </cfRule>
  </conditionalFormatting>
  <conditionalFormatting sqref="BN18:BN21">
    <cfRule type="cellIs" dxfId="2085" priority="934" operator="equal">
      <formula>"ח"</formula>
    </cfRule>
  </conditionalFormatting>
  <conditionalFormatting sqref="BN19">
    <cfRule type="cellIs" dxfId="2084" priority="904" operator="equal">
      <formula>"כ"</formula>
    </cfRule>
    <cfRule type="cellIs" dxfId="2083" priority="903" operator="equal">
      <formula>"כש"</formula>
    </cfRule>
    <cfRule type="cellIs" dxfId="2082" priority="902" stopIfTrue="1" operator="equal">
      <formula>"ח"</formula>
    </cfRule>
  </conditionalFormatting>
  <conditionalFormatting sqref="BN22:BN25">
    <cfRule type="cellIs" dxfId="2081" priority="887" operator="equal">
      <formula>"ח"</formula>
    </cfRule>
  </conditionalFormatting>
  <conditionalFormatting sqref="BN23">
    <cfRule type="cellIs" dxfId="2080" priority="855" stopIfTrue="1" operator="equal">
      <formula>"ח"</formula>
    </cfRule>
    <cfRule type="cellIs" dxfId="2079" priority="856" operator="equal">
      <formula>"כש"</formula>
    </cfRule>
    <cfRule type="cellIs" dxfId="2078" priority="857" operator="equal">
      <formula>"כ"</formula>
    </cfRule>
  </conditionalFormatting>
  <conditionalFormatting sqref="BN26:BN27">
    <cfRule type="cellIs" dxfId="2077" priority="840" operator="equal">
      <formula>"ח"</formula>
    </cfRule>
  </conditionalFormatting>
  <conditionalFormatting sqref="BN27">
    <cfRule type="cellIs" dxfId="2076" priority="810" operator="equal">
      <formula>"כ"</formula>
    </cfRule>
    <cfRule type="cellIs" dxfId="2075" priority="808" stopIfTrue="1" operator="equal">
      <formula>"ח"</formula>
    </cfRule>
    <cfRule type="cellIs" dxfId="2074" priority="809" operator="equal">
      <formula>"כש"</formula>
    </cfRule>
  </conditionalFormatting>
  <conditionalFormatting sqref="BN30:BN31">
    <cfRule type="cellIs" dxfId="2073" priority="209" operator="equal">
      <formula>"ח"</formula>
    </cfRule>
  </conditionalFormatting>
  <conditionalFormatting sqref="BN31">
    <cfRule type="cellIs" dxfId="2072" priority="178" operator="equal">
      <formula>"כש"</formula>
    </cfRule>
    <cfRule type="cellIs" dxfId="2071" priority="179" operator="equal">
      <formula>"כ"</formula>
    </cfRule>
    <cfRule type="cellIs" dxfId="2070" priority="177" stopIfTrue="1" operator="equal">
      <formula>"ח"</formula>
    </cfRule>
  </conditionalFormatting>
  <conditionalFormatting sqref="BN34">
    <cfRule type="cellIs" dxfId="2069" priority="34" operator="equal">
      <formula>"ח"</formula>
    </cfRule>
  </conditionalFormatting>
  <conditionalFormatting sqref="BN6:BO7">
    <cfRule type="cellIs" dxfId="2068" priority="1082" operator="equal">
      <formula>"ח"</formula>
    </cfRule>
  </conditionalFormatting>
  <conditionalFormatting sqref="BN10:BO11">
    <cfRule type="cellIs" dxfId="2067" priority="1035" operator="equal">
      <formula>"ח"</formula>
    </cfRule>
  </conditionalFormatting>
  <conditionalFormatting sqref="BN14:BO15">
    <cfRule type="cellIs" dxfId="2066" priority="988" operator="equal">
      <formula>"ח"</formula>
    </cfRule>
  </conditionalFormatting>
  <conditionalFormatting sqref="BN18:BO19">
    <cfRule type="cellIs" dxfId="2065" priority="935" operator="equal">
      <formula>"ח"</formula>
    </cfRule>
  </conditionalFormatting>
  <conditionalFormatting sqref="BN22:BO23">
    <cfRule type="cellIs" dxfId="2064" priority="888" operator="equal">
      <formula>"ח"</formula>
    </cfRule>
  </conditionalFormatting>
  <conditionalFormatting sqref="BN26:BO27">
    <cfRule type="cellIs" dxfId="2063" priority="841" operator="equal">
      <formula>"ח"</formula>
    </cfRule>
  </conditionalFormatting>
  <conditionalFormatting sqref="BN6:BT9">
    <cfRule type="cellIs" dxfId="2062" priority="1074" operator="equal">
      <formula>"מנוחה"</formula>
    </cfRule>
    <cfRule type="cellIs" dxfId="2061" priority="1062" operator="equal">
      <formula>"כ"</formula>
    </cfRule>
    <cfRule type="cellIs" dxfId="2060" priority="1073" operator="equal">
      <formula>"מ"</formula>
    </cfRule>
    <cfRule type="cellIs" dxfId="2059" priority="1072" operator="equal">
      <formula>"ק"</formula>
    </cfRule>
    <cfRule type="cellIs" dxfId="2058" priority="1071" operator="equal">
      <formula>"כמ"</formula>
    </cfRule>
    <cfRule type="cellIs" dxfId="2057" priority="1075" operator="equal">
      <formula>"מיל"</formula>
    </cfRule>
    <cfRule type="cellIs" dxfId="2056" priority="1069" operator="equal">
      <formula>"י"</formula>
    </cfRule>
    <cfRule type="cellIs" dxfId="2055" priority="1061" operator="equal">
      <formula>"כש"</formula>
    </cfRule>
    <cfRule type="cellIs" dxfId="2054" priority="1068" operator="equal">
      <formula>"ל"</formula>
    </cfRule>
    <cfRule type="cellIs" dxfId="2053" priority="1070" operator="equal">
      <formula>"כמש"</formula>
    </cfRule>
  </conditionalFormatting>
  <conditionalFormatting sqref="BN10:BT13">
    <cfRule type="cellIs" dxfId="2052" priority="1025" operator="equal">
      <formula>"ק"</formula>
    </cfRule>
    <cfRule type="cellIs" dxfId="2051" priority="1021" operator="equal">
      <formula>"ל"</formula>
    </cfRule>
    <cfRule type="cellIs" dxfId="2050" priority="1022" operator="equal">
      <formula>"י"</formula>
    </cfRule>
    <cfRule type="cellIs" dxfId="2049" priority="1023" operator="equal">
      <formula>"כמש"</formula>
    </cfRule>
    <cfRule type="cellIs" dxfId="2048" priority="1027" operator="equal">
      <formula>"מנוחה"</formula>
    </cfRule>
    <cfRule type="cellIs" dxfId="2047" priority="1028" operator="equal">
      <formula>"מיל"</formula>
    </cfRule>
    <cfRule type="cellIs" dxfId="2046" priority="1015" operator="equal">
      <formula>"כ"</formula>
    </cfRule>
    <cfRule type="cellIs" dxfId="2045" priority="1026" operator="equal">
      <formula>"מ"</formula>
    </cfRule>
    <cfRule type="cellIs" dxfId="2044" priority="1014" operator="equal">
      <formula>"כש"</formula>
    </cfRule>
    <cfRule type="cellIs" dxfId="2043" priority="1024" operator="equal">
      <formula>"כמ"</formula>
    </cfRule>
  </conditionalFormatting>
  <conditionalFormatting sqref="BN14:BT15">
    <cfRule type="cellIs" dxfId="2042" priority="968" operator="equal">
      <formula>"כ"</formula>
    </cfRule>
    <cfRule type="cellIs" dxfId="2041" priority="974" operator="equal">
      <formula>"ל"</formula>
    </cfRule>
    <cfRule type="cellIs" dxfId="2040" priority="975" operator="equal">
      <formula>"י"</formula>
    </cfRule>
    <cfRule type="cellIs" dxfId="2039" priority="976" operator="equal">
      <formula>"כמש"</formula>
    </cfRule>
    <cfRule type="cellIs" dxfId="2038" priority="978" operator="equal">
      <formula>"ק"</formula>
    </cfRule>
    <cfRule type="cellIs" dxfId="2037" priority="979" operator="equal">
      <formula>"מ"</formula>
    </cfRule>
    <cfRule type="cellIs" dxfId="2036" priority="980" operator="equal">
      <formula>"מנוחה"</formula>
    </cfRule>
    <cfRule type="cellIs" dxfId="2035" priority="981" operator="equal">
      <formula>"מיל"</formula>
    </cfRule>
    <cfRule type="cellIs" dxfId="2034" priority="967" operator="equal">
      <formula>"כש"</formula>
    </cfRule>
    <cfRule type="cellIs" dxfId="2033" priority="977" operator="equal">
      <formula>"כמ"</formula>
    </cfRule>
  </conditionalFormatting>
  <conditionalFormatting sqref="BN18:BT21">
    <cfRule type="cellIs" dxfId="2032" priority="922" operator="equal">
      <formula>"י"</formula>
    </cfRule>
    <cfRule type="cellIs" dxfId="2031" priority="928" operator="equal">
      <formula>"מיל"</formula>
    </cfRule>
    <cfRule type="cellIs" dxfId="2030" priority="927" operator="equal">
      <formula>"מנוחה"</formula>
    </cfRule>
    <cfRule type="cellIs" dxfId="2029" priority="926" operator="equal">
      <formula>"מ"</formula>
    </cfRule>
    <cfRule type="cellIs" dxfId="2028" priority="923" operator="equal">
      <formula>"כמש"</formula>
    </cfRule>
    <cfRule type="cellIs" dxfId="2027" priority="915" operator="equal">
      <formula>"כ"</formula>
    </cfRule>
    <cfRule type="cellIs" dxfId="2026" priority="914" operator="equal">
      <formula>"כש"</formula>
    </cfRule>
    <cfRule type="cellIs" dxfId="2025" priority="924" operator="equal">
      <formula>"כמ"</formula>
    </cfRule>
    <cfRule type="cellIs" dxfId="2024" priority="921" operator="equal">
      <formula>"ל"</formula>
    </cfRule>
    <cfRule type="cellIs" dxfId="2023" priority="925" operator="equal">
      <formula>"ק"</formula>
    </cfRule>
  </conditionalFormatting>
  <conditionalFormatting sqref="BN22:BT25">
    <cfRule type="cellIs" dxfId="2022" priority="867" operator="equal">
      <formula>"כש"</formula>
    </cfRule>
    <cfRule type="cellIs" dxfId="2021" priority="879" operator="equal">
      <formula>"מ"</formula>
    </cfRule>
    <cfRule type="cellIs" dxfId="2020" priority="874" operator="equal">
      <formula>"ל"</formula>
    </cfRule>
    <cfRule type="cellIs" dxfId="2019" priority="868" operator="equal">
      <formula>"כ"</formula>
    </cfRule>
    <cfRule type="cellIs" dxfId="2018" priority="878" operator="equal">
      <formula>"ק"</formula>
    </cfRule>
    <cfRule type="cellIs" dxfId="2017" priority="877" operator="equal">
      <formula>"כמ"</formula>
    </cfRule>
    <cfRule type="cellIs" dxfId="2016" priority="876" operator="equal">
      <formula>"כמש"</formula>
    </cfRule>
    <cfRule type="cellIs" dxfId="2015" priority="875" operator="equal">
      <formula>"י"</formula>
    </cfRule>
    <cfRule type="cellIs" dxfId="2014" priority="881" operator="equal">
      <formula>"מיל"</formula>
    </cfRule>
    <cfRule type="cellIs" dxfId="2013" priority="880" operator="equal">
      <formula>"מנוחה"</formula>
    </cfRule>
  </conditionalFormatting>
  <conditionalFormatting sqref="BN26:BT27">
    <cfRule type="cellIs" dxfId="2012" priority="834" operator="equal">
      <formula>"מיל"</formula>
    </cfRule>
    <cfRule type="cellIs" dxfId="2011" priority="830" operator="equal">
      <formula>"כמ"</formula>
    </cfRule>
    <cfRule type="cellIs" dxfId="2010" priority="829" operator="equal">
      <formula>"כמש"</formula>
    </cfRule>
    <cfRule type="cellIs" dxfId="2009" priority="828" operator="equal">
      <formula>"י"</formula>
    </cfRule>
    <cfRule type="cellIs" dxfId="2008" priority="827" operator="equal">
      <formula>"ל"</formula>
    </cfRule>
    <cfRule type="cellIs" dxfId="2007" priority="821" operator="equal">
      <formula>"כ"</formula>
    </cfRule>
    <cfRule type="cellIs" dxfId="2006" priority="832" operator="equal">
      <formula>"מ"</formula>
    </cfRule>
    <cfRule type="cellIs" dxfId="2005" priority="833" operator="equal">
      <formula>"מנוחה"</formula>
    </cfRule>
    <cfRule type="cellIs" dxfId="2004" priority="820" operator="equal">
      <formula>"כש"</formula>
    </cfRule>
    <cfRule type="cellIs" dxfId="2003" priority="831" operator="equal">
      <formula>"ק"</formula>
    </cfRule>
  </conditionalFormatting>
  <conditionalFormatting sqref="BN30:BT31">
    <cfRule type="cellIs" dxfId="2002" priority="197" operator="equal">
      <formula>"י"</formula>
    </cfRule>
    <cfRule type="cellIs" dxfId="2001" priority="196" operator="equal">
      <formula>"ל"</formula>
    </cfRule>
    <cfRule type="cellIs" dxfId="2000" priority="203" operator="equal">
      <formula>"מיל"</formula>
    </cfRule>
    <cfRule type="cellIs" dxfId="1999" priority="202" operator="equal">
      <formula>"מנוחה"</formula>
    </cfRule>
    <cfRule type="cellIs" dxfId="1998" priority="201" operator="equal">
      <formula>"מ"</formula>
    </cfRule>
    <cfRule type="cellIs" dxfId="1997" priority="200" operator="equal">
      <formula>"ק"</formula>
    </cfRule>
    <cfRule type="cellIs" dxfId="1996" priority="199" operator="equal">
      <formula>"כמ"</formula>
    </cfRule>
    <cfRule type="cellIs" dxfId="1995" priority="198" operator="equal">
      <formula>"כמש"</formula>
    </cfRule>
  </conditionalFormatting>
  <conditionalFormatting sqref="BN34:BW34">
    <cfRule type="cellIs" dxfId="1994" priority="2" operator="equal">
      <formula>"כ"</formula>
    </cfRule>
    <cfRule type="cellIs" dxfId="1993" priority="1" operator="equal">
      <formula>"כש"</formula>
    </cfRule>
  </conditionalFormatting>
  <conditionalFormatting sqref="BP5">
    <cfRule type="cellIs" dxfId="1992" priority="1739" stopIfTrue="1" operator="equal">
      <formula>"ח"</formula>
    </cfRule>
  </conditionalFormatting>
  <conditionalFormatting sqref="BP6">
    <cfRule type="cellIs" dxfId="1991" priority="1048" operator="equal">
      <formula>"ח"</formula>
    </cfRule>
    <cfRule type="cellIs" dxfId="1990" priority="1046" operator="equal">
      <formula>"כש"</formula>
    </cfRule>
    <cfRule type="cellIs" dxfId="1989" priority="1047" operator="equal">
      <formula>"כ"</formula>
    </cfRule>
  </conditionalFormatting>
  <conditionalFormatting sqref="BP6:BP7">
    <cfRule type="cellIs" dxfId="1988" priority="1065" operator="equal">
      <formula>"ח"</formula>
    </cfRule>
  </conditionalFormatting>
  <conditionalFormatting sqref="BP6:BP9">
    <cfRule type="cellIs" dxfId="1987" priority="1080" operator="equal">
      <formula>"ח"</formula>
    </cfRule>
  </conditionalFormatting>
  <conditionalFormatting sqref="BP7">
    <cfRule type="cellIs" dxfId="1986" priority="1060" operator="equal">
      <formula>"כ"</formula>
    </cfRule>
    <cfRule type="cellIs" dxfId="1985" priority="1059" operator="equal">
      <formula>"כש"</formula>
    </cfRule>
    <cfRule type="cellIs" dxfId="1984" priority="1058" stopIfTrue="1" operator="equal">
      <formula>"ח"</formula>
    </cfRule>
  </conditionalFormatting>
  <conditionalFormatting sqref="BP10">
    <cfRule type="cellIs" dxfId="1983" priority="1001" operator="equal">
      <formula>"ח"</formula>
    </cfRule>
    <cfRule type="cellIs" dxfId="1982" priority="1000" operator="equal">
      <formula>"כ"</formula>
    </cfRule>
    <cfRule type="cellIs" dxfId="1981" priority="999" operator="equal">
      <formula>"כש"</formula>
    </cfRule>
  </conditionalFormatting>
  <conditionalFormatting sqref="BP10:BP11">
    <cfRule type="cellIs" dxfId="1980" priority="1018" operator="equal">
      <formula>"ח"</formula>
    </cfRule>
  </conditionalFormatting>
  <conditionalFormatting sqref="BP10:BP13">
    <cfRule type="cellIs" dxfId="1979" priority="1033" operator="equal">
      <formula>"ח"</formula>
    </cfRule>
  </conditionalFormatting>
  <conditionalFormatting sqref="BP11">
    <cfRule type="cellIs" dxfId="1978" priority="1013" operator="equal">
      <formula>"כ"</formula>
    </cfRule>
    <cfRule type="cellIs" dxfId="1977" priority="1011" stopIfTrue="1" operator="equal">
      <formula>"ח"</formula>
    </cfRule>
    <cfRule type="cellIs" dxfId="1976" priority="1012" operator="equal">
      <formula>"כש"</formula>
    </cfRule>
  </conditionalFormatting>
  <conditionalFormatting sqref="BP14">
    <cfRule type="cellIs" dxfId="1975" priority="952" operator="equal">
      <formula>"כש"</formula>
    </cfRule>
    <cfRule type="cellIs" dxfId="1974" priority="953" operator="equal">
      <formula>"כ"</formula>
    </cfRule>
    <cfRule type="cellIs" dxfId="1973" priority="954" operator="equal">
      <formula>"ח"</formula>
    </cfRule>
  </conditionalFormatting>
  <conditionalFormatting sqref="BP14:BP15">
    <cfRule type="cellIs" dxfId="1972" priority="986" operator="equal">
      <formula>"ח"</formula>
    </cfRule>
  </conditionalFormatting>
  <conditionalFormatting sqref="BP14:BP17">
    <cfRule type="cellIs" dxfId="1971" priority="971" operator="equal">
      <formula>"ח"</formula>
    </cfRule>
  </conditionalFormatting>
  <conditionalFormatting sqref="BP15">
    <cfRule type="cellIs" dxfId="1970" priority="964" stopIfTrue="1" operator="equal">
      <formula>"ח"</formula>
    </cfRule>
    <cfRule type="cellIs" dxfId="1969" priority="966" operator="equal">
      <formula>"כ"</formula>
    </cfRule>
    <cfRule type="cellIs" dxfId="1968" priority="965" operator="equal">
      <formula>"כש"</formula>
    </cfRule>
  </conditionalFormatting>
  <conditionalFormatting sqref="BP18">
    <cfRule type="cellIs" dxfId="1967" priority="901" operator="equal">
      <formula>"ח"</formula>
    </cfRule>
    <cfRule type="cellIs" dxfId="1966" priority="899" operator="equal">
      <formula>"כש"</formula>
    </cfRule>
    <cfRule type="cellIs" dxfId="1965" priority="900" operator="equal">
      <formula>"כ"</formula>
    </cfRule>
  </conditionalFormatting>
  <conditionalFormatting sqref="BP18:BP19">
    <cfRule type="cellIs" dxfId="1964" priority="918" operator="equal">
      <formula>"ח"</formula>
    </cfRule>
  </conditionalFormatting>
  <conditionalFormatting sqref="BP18:BP21">
    <cfRule type="cellIs" dxfId="1963" priority="933" operator="equal">
      <formula>"ח"</formula>
    </cfRule>
  </conditionalFormatting>
  <conditionalFormatting sqref="BP19">
    <cfRule type="cellIs" dxfId="1962" priority="911" stopIfTrue="1" operator="equal">
      <formula>"ח"</formula>
    </cfRule>
    <cfRule type="cellIs" dxfId="1961" priority="912" operator="equal">
      <formula>"כש"</formula>
    </cfRule>
    <cfRule type="cellIs" dxfId="1960" priority="913" operator="equal">
      <formula>"כ"</formula>
    </cfRule>
  </conditionalFormatting>
  <conditionalFormatting sqref="BP22">
    <cfRule type="cellIs" dxfId="1959" priority="852" operator="equal">
      <formula>"כש"</formula>
    </cfRule>
    <cfRule type="cellIs" dxfId="1958" priority="853" operator="equal">
      <formula>"כ"</formula>
    </cfRule>
    <cfRule type="cellIs" dxfId="1957" priority="854" operator="equal">
      <formula>"ח"</formula>
    </cfRule>
  </conditionalFormatting>
  <conditionalFormatting sqref="BP22:BP23">
    <cfRule type="cellIs" dxfId="1956" priority="871" operator="equal">
      <formula>"ח"</formula>
    </cfRule>
  </conditionalFormatting>
  <conditionalFormatting sqref="BP22:BP25">
    <cfRule type="cellIs" dxfId="1955" priority="886" operator="equal">
      <formula>"ח"</formula>
    </cfRule>
  </conditionalFormatting>
  <conditionalFormatting sqref="BP23">
    <cfRule type="cellIs" dxfId="1954" priority="864" stopIfTrue="1" operator="equal">
      <formula>"ח"</formula>
    </cfRule>
    <cfRule type="cellIs" dxfId="1953" priority="865" operator="equal">
      <formula>"כש"</formula>
    </cfRule>
    <cfRule type="cellIs" dxfId="1952" priority="866" operator="equal">
      <formula>"כ"</formula>
    </cfRule>
  </conditionalFormatting>
  <conditionalFormatting sqref="BP26">
    <cfRule type="cellIs" dxfId="1951" priority="807" operator="equal">
      <formula>"ח"</formula>
    </cfRule>
    <cfRule type="cellIs" dxfId="1950" priority="806" operator="equal">
      <formula>"כ"</formula>
    </cfRule>
    <cfRule type="cellIs" dxfId="1949" priority="805" operator="equal">
      <formula>"כש"</formula>
    </cfRule>
  </conditionalFormatting>
  <conditionalFormatting sqref="BP26:BP27">
    <cfRule type="cellIs" dxfId="1948" priority="839" operator="equal">
      <formula>"ח"</formula>
    </cfRule>
  </conditionalFormatting>
  <conditionalFormatting sqref="BP26:BP29">
    <cfRule type="cellIs" dxfId="1947" priority="824" operator="equal">
      <formula>"ח"</formula>
    </cfRule>
  </conditionalFormatting>
  <conditionalFormatting sqref="BP27">
    <cfRule type="cellIs" dxfId="1946" priority="818" operator="equal">
      <formula>"כש"</formula>
    </cfRule>
    <cfRule type="cellIs" dxfId="1945" priority="819" operator="equal">
      <formula>"כ"</formula>
    </cfRule>
    <cfRule type="cellIs" dxfId="1944" priority="817" stopIfTrue="1" operator="equal">
      <formula>"ח"</formula>
    </cfRule>
  </conditionalFormatting>
  <conditionalFormatting sqref="BP30">
    <cfRule type="cellIs" dxfId="1943" priority="174" operator="equal">
      <formula>"כש"</formula>
    </cfRule>
    <cfRule type="cellIs" dxfId="1942" priority="176" operator="equal">
      <formula>"ח"</formula>
    </cfRule>
    <cfRule type="cellIs" dxfId="1941" priority="175" operator="equal">
      <formula>"כ"</formula>
    </cfRule>
  </conditionalFormatting>
  <conditionalFormatting sqref="BP30:BP31">
    <cfRule type="cellIs" dxfId="1940" priority="208" operator="equal">
      <formula>"ח"</formula>
    </cfRule>
  </conditionalFormatting>
  <conditionalFormatting sqref="BP30:BP33">
    <cfRule type="cellIs" dxfId="1939" priority="193" operator="equal">
      <formula>"ח"</formula>
    </cfRule>
  </conditionalFormatting>
  <conditionalFormatting sqref="BP31">
    <cfRule type="cellIs" dxfId="1938" priority="187" operator="equal">
      <formula>"כש"</formula>
    </cfRule>
    <cfRule type="cellIs" dxfId="1937" priority="186" stopIfTrue="1" operator="equal">
      <formula>"ח"</formula>
    </cfRule>
    <cfRule type="cellIs" dxfId="1936" priority="188" operator="equal">
      <formula>"כ"</formula>
    </cfRule>
  </conditionalFormatting>
  <conditionalFormatting sqref="BP34">
    <cfRule type="cellIs" dxfId="1935" priority="18" operator="equal">
      <formula>"ח"</formula>
    </cfRule>
    <cfRule type="cellIs" dxfId="1934" priority="33" operator="equal">
      <formula>"ח"</formula>
    </cfRule>
    <cfRule type="cellIs" dxfId="1933" priority="13" operator="equal">
      <formula>"ח"</formula>
    </cfRule>
  </conditionalFormatting>
  <conditionalFormatting sqref="BP5:BQ5">
    <cfRule type="cellIs" dxfId="1932" priority="1740" operator="equal">
      <formula>"כש"</formula>
    </cfRule>
    <cfRule type="cellIs" dxfId="1931" priority="1741" operator="equal">
      <formula>"כ"</formula>
    </cfRule>
  </conditionalFormatting>
  <conditionalFormatting sqref="BQ3:CA3 BQ4">
    <cfRule type="cellIs" dxfId="1930" priority="1561" operator="equal">
      <formula>"ח"</formula>
    </cfRule>
    <cfRule type="cellIs" dxfId="1929" priority="1556" operator="equal">
      <formula>"כמ"</formula>
    </cfRule>
    <cfRule type="cellIs" dxfId="1928" priority="1563" operator="equal">
      <formula>"כ"</formula>
    </cfRule>
    <cfRule type="cellIs" dxfId="1927" priority="1562" operator="equal">
      <formula>"כש"</formula>
    </cfRule>
    <cfRule type="cellIs" dxfId="1926" priority="1560" operator="equal">
      <formula>"מיל"</formula>
    </cfRule>
    <cfRule type="cellIs" dxfId="1925" priority="1559" operator="equal">
      <formula>"מנוחה"</formula>
    </cfRule>
    <cfRule type="cellIs" dxfId="1924" priority="1558" operator="equal">
      <formula>"מ"</formula>
    </cfRule>
    <cfRule type="cellIs" dxfId="1923" priority="1557" operator="equal">
      <formula>"ק"</formula>
    </cfRule>
    <cfRule type="cellIs" dxfId="1922" priority="1555" operator="equal">
      <formula>"כמש"</formula>
    </cfRule>
    <cfRule type="cellIs" dxfId="1921" priority="1554" operator="equal">
      <formula>"י"</formula>
    </cfRule>
    <cfRule type="cellIs" dxfId="1920" priority="1553" operator="equal">
      <formula>"ל"</formula>
    </cfRule>
  </conditionalFormatting>
  <conditionalFormatting sqref="BR5">
    <cfRule type="cellIs" dxfId="1919" priority="1717" stopIfTrue="1" operator="equal">
      <formula>"ח"</formula>
    </cfRule>
  </conditionalFormatting>
  <conditionalFormatting sqref="BR6">
    <cfRule type="cellIs" dxfId="1918" priority="1045" operator="equal">
      <formula>"ח"</formula>
    </cfRule>
    <cfRule type="cellIs" dxfId="1917" priority="1039" operator="equal">
      <formula>"ח"</formula>
    </cfRule>
    <cfRule type="cellIs" dxfId="1916" priority="1038" operator="equal">
      <formula>"ח"</formula>
    </cfRule>
    <cfRule type="cellIs" dxfId="1915" priority="1037" operator="equal">
      <formula>"כ"</formula>
    </cfRule>
    <cfRule type="cellIs" dxfId="1914" priority="1036" operator="equal">
      <formula>"כש"</formula>
    </cfRule>
  </conditionalFormatting>
  <conditionalFormatting sqref="BR6:BR7">
    <cfRule type="cellIs" dxfId="1913" priority="1064" operator="equal">
      <formula>"ח"</formula>
    </cfRule>
  </conditionalFormatting>
  <conditionalFormatting sqref="BR6:BR9">
    <cfRule type="cellIs" dxfId="1912" priority="1079" operator="equal">
      <formula>"ח"</formula>
    </cfRule>
  </conditionalFormatting>
  <conditionalFormatting sqref="BR7">
    <cfRule type="cellIs" dxfId="1911" priority="1057" operator="equal">
      <formula>"כ"</formula>
    </cfRule>
    <cfRule type="cellIs" dxfId="1910" priority="1056" operator="equal">
      <formula>"כש"</formula>
    </cfRule>
    <cfRule type="cellIs" dxfId="1909" priority="1055" stopIfTrue="1" operator="equal">
      <formula>"ח"</formula>
    </cfRule>
  </conditionalFormatting>
  <conditionalFormatting sqref="BR10">
    <cfRule type="cellIs" dxfId="1908" priority="998" operator="equal">
      <formula>"ח"</formula>
    </cfRule>
    <cfRule type="cellIs" dxfId="1907" priority="991" operator="equal">
      <formula>"ח"</formula>
    </cfRule>
    <cfRule type="cellIs" dxfId="1906" priority="990" operator="equal">
      <formula>"כ"</formula>
    </cfRule>
    <cfRule type="cellIs" dxfId="1905" priority="992" operator="equal">
      <formula>"ח"</formula>
    </cfRule>
    <cfRule type="cellIs" dxfId="1904" priority="989" operator="equal">
      <formula>"כש"</formula>
    </cfRule>
  </conditionalFormatting>
  <conditionalFormatting sqref="BR10:BR11">
    <cfRule type="cellIs" dxfId="1903" priority="1017" operator="equal">
      <formula>"ח"</formula>
    </cfRule>
  </conditionalFormatting>
  <conditionalFormatting sqref="BR10:BR13">
    <cfRule type="cellIs" dxfId="1902" priority="1032" operator="equal">
      <formula>"ח"</formula>
    </cfRule>
  </conditionalFormatting>
  <conditionalFormatting sqref="BR11">
    <cfRule type="cellIs" dxfId="1901" priority="1009" operator="equal">
      <formula>"כש"</formula>
    </cfRule>
    <cfRule type="cellIs" dxfId="1900" priority="1010" operator="equal">
      <formula>"כ"</formula>
    </cfRule>
    <cfRule type="cellIs" dxfId="1899" priority="1008" stopIfTrue="1" operator="equal">
      <formula>"ח"</formula>
    </cfRule>
  </conditionalFormatting>
  <conditionalFormatting sqref="BR14">
    <cfRule type="cellIs" dxfId="1898" priority="951" operator="equal">
      <formula>"ח"</formula>
    </cfRule>
    <cfRule type="cellIs" dxfId="1897" priority="945" operator="equal">
      <formula>"ח"</formula>
    </cfRule>
    <cfRule type="cellIs" dxfId="1896" priority="944" operator="equal">
      <formula>"ח"</formula>
    </cfRule>
    <cfRule type="cellIs" dxfId="1895" priority="943" operator="equal">
      <formula>"כ"</formula>
    </cfRule>
    <cfRule type="cellIs" dxfId="1894" priority="942" operator="equal">
      <formula>"כש"</formula>
    </cfRule>
  </conditionalFormatting>
  <conditionalFormatting sqref="BR14:BR15">
    <cfRule type="cellIs" dxfId="1893" priority="985" operator="equal">
      <formula>"ח"</formula>
    </cfRule>
  </conditionalFormatting>
  <conditionalFormatting sqref="BR14:BR17">
    <cfRule type="cellIs" dxfId="1892" priority="970" operator="equal">
      <formula>"ח"</formula>
    </cfRule>
  </conditionalFormatting>
  <conditionalFormatting sqref="BR15">
    <cfRule type="cellIs" dxfId="1891" priority="961" stopIfTrue="1" operator="equal">
      <formula>"ח"</formula>
    </cfRule>
    <cfRule type="cellIs" dxfId="1890" priority="962" operator="equal">
      <formula>"כש"</formula>
    </cfRule>
    <cfRule type="cellIs" dxfId="1889" priority="963" operator="equal">
      <formula>"כ"</formula>
    </cfRule>
  </conditionalFormatting>
  <conditionalFormatting sqref="BR18">
    <cfRule type="cellIs" dxfId="1888" priority="898" operator="equal">
      <formula>"ח"</formula>
    </cfRule>
    <cfRule type="cellIs" dxfId="1887" priority="892" operator="equal">
      <formula>"ח"</formula>
    </cfRule>
    <cfRule type="cellIs" dxfId="1886" priority="891" operator="equal">
      <formula>"ח"</formula>
    </cfRule>
    <cfRule type="cellIs" dxfId="1885" priority="890" operator="equal">
      <formula>"כ"</formula>
    </cfRule>
    <cfRule type="cellIs" dxfId="1884" priority="889" operator="equal">
      <formula>"כש"</formula>
    </cfRule>
  </conditionalFormatting>
  <conditionalFormatting sqref="BR18:BR19">
    <cfRule type="cellIs" dxfId="1883" priority="917" operator="equal">
      <formula>"ח"</formula>
    </cfRule>
  </conditionalFormatting>
  <conditionalFormatting sqref="BR18:BR21">
    <cfRule type="cellIs" dxfId="1882" priority="932" operator="equal">
      <formula>"ח"</formula>
    </cfRule>
  </conditionalFormatting>
  <conditionalFormatting sqref="BR19">
    <cfRule type="cellIs" dxfId="1881" priority="910" operator="equal">
      <formula>"כ"</formula>
    </cfRule>
    <cfRule type="cellIs" dxfId="1880" priority="909" operator="equal">
      <formula>"כש"</formula>
    </cfRule>
    <cfRule type="cellIs" dxfId="1879" priority="908" stopIfTrue="1" operator="equal">
      <formula>"ח"</formula>
    </cfRule>
  </conditionalFormatting>
  <conditionalFormatting sqref="BR22">
    <cfRule type="cellIs" dxfId="1878" priority="842" operator="equal">
      <formula>"כש"</formula>
    </cfRule>
    <cfRule type="cellIs" dxfId="1877" priority="851" operator="equal">
      <formula>"ח"</formula>
    </cfRule>
    <cfRule type="cellIs" dxfId="1876" priority="845" operator="equal">
      <formula>"ח"</formula>
    </cfRule>
    <cfRule type="cellIs" dxfId="1875" priority="843" operator="equal">
      <formula>"כ"</formula>
    </cfRule>
    <cfRule type="cellIs" dxfId="1874" priority="844" operator="equal">
      <formula>"ח"</formula>
    </cfRule>
  </conditionalFormatting>
  <conditionalFormatting sqref="BR22:BR23">
    <cfRule type="cellIs" dxfId="1873" priority="870" operator="equal">
      <formula>"ח"</formula>
    </cfRule>
  </conditionalFormatting>
  <conditionalFormatting sqref="BR22:BR25">
    <cfRule type="cellIs" dxfId="1872" priority="885" operator="equal">
      <formula>"ח"</formula>
    </cfRule>
  </conditionalFormatting>
  <conditionalFormatting sqref="BR23">
    <cfRule type="cellIs" dxfId="1871" priority="862" operator="equal">
      <formula>"כש"</formula>
    </cfRule>
    <cfRule type="cellIs" dxfId="1870" priority="861" stopIfTrue="1" operator="equal">
      <formula>"ח"</formula>
    </cfRule>
    <cfRule type="cellIs" dxfId="1869" priority="863" operator="equal">
      <formula>"כ"</formula>
    </cfRule>
  </conditionalFormatting>
  <conditionalFormatting sqref="BR26">
    <cfRule type="cellIs" dxfId="1868" priority="798" operator="equal">
      <formula>"ח"</formula>
    </cfRule>
    <cfRule type="cellIs" dxfId="1867" priority="795" operator="equal">
      <formula>"כש"</formula>
    </cfRule>
    <cfRule type="cellIs" dxfId="1866" priority="796" operator="equal">
      <formula>"כ"</formula>
    </cfRule>
    <cfRule type="cellIs" dxfId="1865" priority="797" operator="equal">
      <formula>"ח"</formula>
    </cfRule>
    <cfRule type="cellIs" dxfId="1864" priority="804" operator="equal">
      <formula>"ח"</formula>
    </cfRule>
  </conditionalFormatting>
  <conditionalFormatting sqref="BR26:BR27">
    <cfRule type="cellIs" dxfId="1863" priority="838" operator="equal">
      <formula>"ח"</formula>
    </cfRule>
  </conditionalFormatting>
  <conditionalFormatting sqref="BR26:BR29">
    <cfRule type="cellIs" dxfId="1862" priority="823" operator="equal">
      <formula>"ח"</formula>
    </cfRule>
  </conditionalFormatting>
  <conditionalFormatting sqref="BR27">
    <cfRule type="cellIs" dxfId="1861" priority="815" operator="equal">
      <formula>"כש"</formula>
    </cfRule>
    <cfRule type="cellIs" dxfId="1860" priority="816" operator="equal">
      <formula>"כ"</formula>
    </cfRule>
    <cfRule type="cellIs" dxfId="1859" priority="814" stopIfTrue="1" operator="equal">
      <formula>"ח"</formula>
    </cfRule>
  </conditionalFormatting>
  <conditionalFormatting sqref="BR30">
    <cfRule type="cellIs" dxfId="1858" priority="165" operator="equal">
      <formula>"כ"</formula>
    </cfRule>
    <cfRule type="cellIs" dxfId="1857" priority="173" operator="equal">
      <formula>"ח"</formula>
    </cfRule>
    <cfRule type="cellIs" dxfId="1856" priority="167" operator="equal">
      <formula>"ח"</formula>
    </cfRule>
    <cfRule type="cellIs" dxfId="1855" priority="164" operator="equal">
      <formula>"כש"</formula>
    </cfRule>
    <cfRule type="cellIs" dxfId="1854" priority="166" operator="equal">
      <formula>"ח"</formula>
    </cfRule>
  </conditionalFormatting>
  <conditionalFormatting sqref="BR30:BR31">
    <cfRule type="cellIs" dxfId="1853" priority="207" operator="equal">
      <formula>"ח"</formula>
    </cfRule>
  </conditionalFormatting>
  <conditionalFormatting sqref="BR30:BR33">
    <cfRule type="cellIs" dxfId="1852" priority="192" operator="equal">
      <formula>"ח"</formula>
    </cfRule>
  </conditionalFormatting>
  <conditionalFormatting sqref="BR31">
    <cfRule type="cellIs" dxfId="1851" priority="185" operator="equal">
      <formula>"כ"</formula>
    </cfRule>
    <cfRule type="cellIs" dxfId="1850" priority="184" operator="equal">
      <formula>"כש"</formula>
    </cfRule>
    <cfRule type="cellIs" dxfId="1849" priority="183" stopIfTrue="1" operator="equal">
      <formula>"ח"</formula>
    </cfRule>
  </conditionalFormatting>
  <conditionalFormatting sqref="BR34">
    <cfRule type="cellIs" dxfId="1848" priority="3" operator="equal">
      <formula>"ח"</formula>
    </cfRule>
    <cfRule type="cellIs" dxfId="1847" priority="10" operator="equal">
      <formula>"ח"</formula>
    </cfRule>
    <cfRule type="cellIs" dxfId="1846" priority="17" operator="equal">
      <formula>"ח"</formula>
    </cfRule>
    <cfRule type="cellIs" dxfId="1845" priority="32" operator="equal">
      <formula>"ח"</formula>
    </cfRule>
    <cfRule type="cellIs" dxfId="1844" priority="4" operator="equal">
      <formula>"ח"</formula>
    </cfRule>
  </conditionalFormatting>
  <conditionalFormatting sqref="BR5:BS5 BM16:BS17 BM28:BS29 BM32:BS33">
    <cfRule type="cellIs" dxfId="1843" priority="1718" operator="equal">
      <formula>"כש"</formula>
    </cfRule>
    <cfRule type="cellIs" dxfId="1842" priority="1719" operator="equal">
      <formula>"כ"</formula>
    </cfRule>
  </conditionalFormatting>
  <conditionalFormatting sqref="BT5">
    <cfRule type="cellIs" dxfId="1841" priority="1695" stopIfTrue="1" operator="equal">
      <formula>"ח"</formula>
    </cfRule>
  </conditionalFormatting>
  <conditionalFormatting sqref="BT6">
    <cfRule type="cellIs" dxfId="1840" priority="1042" operator="equal">
      <formula>"ח"</formula>
    </cfRule>
  </conditionalFormatting>
  <conditionalFormatting sqref="BT6:BT7">
    <cfRule type="cellIs" dxfId="1839" priority="1063" operator="equal">
      <formula>"ח"</formula>
    </cfRule>
  </conditionalFormatting>
  <conditionalFormatting sqref="BT6:BT9">
    <cfRule type="cellIs" dxfId="1838" priority="1078" operator="equal">
      <formula>"ח"</formula>
    </cfRule>
  </conditionalFormatting>
  <conditionalFormatting sqref="BT7">
    <cfRule type="cellIs" dxfId="1837" priority="1054" operator="equal">
      <formula>"כ"</formula>
    </cfRule>
    <cfRule type="cellIs" dxfId="1836" priority="1052" stopIfTrue="1" operator="equal">
      <formula>"ח"</formula>
    </cfRule>
    <cfRule type="cellIs" dxfId="1835" priority="1053" operator="equal">
      <formula>"כש"</formula>
    </cfRule>
  </conditionalFormatting>
  <conditionalFormatting sqref="BT10">
    <cfRule type="cellIs" dxfId="1834" priority="995" operator="equal">
      <formula>"ח"</formula>
    </cfRule>
    <cfRule type="cellIs" dxfId="1833" priority="994" operator="equal">
      <formula>"כ"</formula>
    </cfRule>
    <cfRule type="cellIs" dxfId="1832" priority="993" operator="equal">
      <formula>"כש"</formula>
    </cfRule>
  </conditionalFormatting>
  <conditionalFormatting sqref="BT10:BT11">
    <cfRule type="cellIs" dxfId="1831" priority="1016" operator="equal">
      <formula>"ח"</formula>
    </cfRule>
  </conditionalFormatting>
  <conditionalFormatting sqref="BT10:BT13">
    <cfRule type="cellIs" dxfId="1830" priority="1031" operator="equal">
      <formula>"ח"</formula>
    </cfRule>
  </conditionalFormatting>
  <conditionalFormatting sqref="BT11">
    <cfRule type="cellIs" dxfId="1829" priority="1007" operator="equal">
      <formula>"כ"</formula>
    </cfRule>
    <cfRule type="cellIs" dxfId="1828" priority="1006" operator="equal">
      <formula>"כש"</formula>
    </cfRule>
    <cfRule type="cellIs" dxfId="1827" priority="1005" stopIfTrue="1" operator="equal">
      <formula>"ח"</formula>
    </cfRule>
  </conditionalFormatting>
  <conditionalFormatting sqref="BT14">
    <cfRule type="cellIs" dxfId="1826" priority="948" operator="equal">
      <formula>"ח"</formula>
    </cfRule>
    <cfRule type="cellIs" dxfId="1825" priority="947" operator="equal">
      <formula>"כ"</formula>
    </cfRule>
    <cfRule type="cellIs" dxfId="1824" priority="946" operator="equal">
      <formula>"כש"</formula>
    </cfRule>
  </conditionalFormatting>
  <conditionalFormatting sqref="BT14:BT15">
    <cfRule type="cellIs" dxfId="1823" priority="984" operator="equal">
      <formula>"ח"</formula>
    </cfRule>
  </conditionalFormatting>
  <conditionalFormatting sqref="BT14:BT17">
    <cfRule type="cellIs" dxfId="1822" priority="969" operator="equal">
      <formula>"ח"</formula>
    </cfRule>
  </conditionalFormatting>
  <conditionalFormatting sqref="BT15">
    <cfRule type="cellIs" dxfId="1821" priority="960" operator="equal">
      <formula>"כ"</formula>
    </cfRule>
    <cfRule type="cellIs" dxfId="1820" priority="959" operator="equal">
      <formula>"כש"</formula>
    </cfRule>
    <cfRule type="cellIs" dxfId="1819" priority="958" stopIfTrue="1" operator="equal">
      <formula>"ח"</formula>
    </cfRule>
  </conditionalFormatting>
  <conditionalFormatting sqref="BT18">
    <cfRule type="cellIs" dxfId="1818" priority="895" operator="equal">
      <formula>"ח"</formula>
    </cfRule>
  </conditionalFormatting>
  <conditionalFormatting sqref="BT18:BT19">
    <cfRule type="cellIs" dxfId="1817" priority="916" operator="equal">
      <formula>"ח"</formula>
    </cfRule>
  </conditionalFormatting>
  <conditionalFormatting sqref="BT18:BT21">
    <cfRule type="cellIs" dxfId="1816" priority="931" operator="equal">
      <formula>"ח"</formula>
    </cfRule>
  </conditionalFormatting>
  <conditionalFormatting sqref="BT19">
    <cfRule type="cellIs" dxfId="1815" priority="905" stopIfTrue="1" operator="equal">
      <formula>"ח"</formula>
    </cfRule>
    <cfRule type="cellIs" dxfId="1814" priority="906" operator="equal">
      <formula>"כש"</formula>
    </cfRule>
    <cfRule type="cellIs" dxfId="1813" priority="907" operator="equal">
      <formula>"כ"</formula>
    </cfRule>
  </conditionalFormatting>
  <conditionalFormatting sqref="BT22">
    <cfRule type="cellIs" dxfId="1812" priority="846" operator="equal">
      <formula>"כש"</formula>
    </cfRule>
    <cfRule type="cellIs" dxfId="1811" priority="847" operator="equal">
      <formula>"כ"</formula>
    </cfRule>
    <cfRule type="cellIs" dxfId="1810" priority="848" operator="equal">
      <formula>"ח"</formula>
    </cfRule>
  </conditionalFormatting>
  <conditionalFormatting sqref="BT22:BT23">
    <cfRule type="cellIs" dxfId="1809" priority="869" operator="equal">
      <formula>"ח"</formula>
    </cfRule>
  </conditionalFormatting>
  <conditionalFormatting sqref="BT22:BT25">
    <cfRule type="cellIs" dxfId="1808" priority="884" operator="equal">
      <formula>"ח"</formula>
    </cfRule>
  </conditionalFormatting>
  <conditionalFormatting sqref="BT23">
    <cfRule type="cellIs" dxfId="1807" priority="858" stopIfTrue="1" operator="equal">
      <formula>"ח"</formula>
    </cfRule>
    <cfRule type="cellIs" dxfId="1806" priority="859" operator="equal">
      <formula>"כש"</formula>
    </cfRule>
    <cfRule type="cellIs" dxfId="1805" priority="860" operator="equal">
      <formula>"כ"</formula>
    </cfRule>
  </conditionalFormatting>
  <conditionalFormatting sqref="BT26">
    <cfRule type="cellIs" dxfId="1804" priority="801" operator="equal">
      <formula>"ח"</formula>
    </cfRule>
    <cfRule type="cellIs" dxfId="1803" priority="799" operator="equal">
      <formula>"כש"</formula>
    </cfRule>
    <cfRule type="cellIs" dxfId="1802" priority="800" operator="equal">
      <formula>"כ"</formula>
    </cfRule>
  </conditionalFormatting>
  <conditionalFormatting sqref="BT26:BT27">
    <cfRule type="cellIs" dxfId="1801" priority="837" operator="equal">
      <formula>"ח"</formula>
    </cfRule>
  </conditionalFormatting>
  <conditionalFormatting sqref="BT26:BT29">
    <cfRule type="cellIs" dxfId="1800" priority="822" operator="equal">
      <formula>"ח"</formula>
    </cfRule>
  </conditionalFormatting>
  <conditionalFormatting sqref="BT27">
    <cfRule type="cellIs" dxfId="1799" priority="811" stopIfTrue="1" operator="equal">
      <formula>"ח"</formula>
    </cfRule>
    <cfRule type="cellIs" dxfId="1798" priority="812" operator="equal">
      <formula>"כש"</formula>
    </cfRule>
    <cfRule type="cellIs" dxfId="1797" priority="813" operator="equal">
      <formula>"כ"</formula>
    </cfRule>
  </conditionalFormatting>
  <conditionalFormatting sqref="BT30">
    <cfRule type="cellIs" dxfId="1796" priority="170" operator="equal">
      <formula>"ח"</formula>
    </cfRule>
  </conditionalFormatting>
  <conditionalFormatting sqref="BT30:BT31">
    <cfRule type="cellIs" dxfId="1795" priority="206" operator="equal">
      <formula>"ח"</formula>
    </cfRule>
  </conditionalFormatting>
  <conditionalFormatting sqref="BT30:BT33">
    <cfRule type="cellIs" dxfId="1794" priority="191" operator="equal">
      <formula>"ח"</formula>
    </cfRule>
  </conditionalFormatting>
  <conditionalFormatting sqref="BT31">
    <cfRule type="cellIs" dxfId="1793" priority="180" stopIfTrue="1" operator="equal">
      <formula>"ח"</formula>
    </cfRule>
  </conditionalFormatting>
  <conditionalFormatting sqref="BT34">
    <cfRule type="cellIs" dxfId="1792" priority="31" operator="equal">
      <formula>"ח"</formula>
    </cfRule>
    <cfRule type="cellIs" dxfId="1791" priority="7" operator="equal">
      <formula>"ח"</formula>
    </cfRule>
    <cfRule type="cellIs" dxfId="1790" priority="16" operator="equal">
      <formula>"ח"</formula>
    </cfRule>
  </conditionalFormatting>
  <conditionalFormatting sqref="BT31:BU32">
    <cfRule type="cellIs" dxfId="1789" priority="182" operator="equal">
      <formula>"כ"</formula>
    </cfRule>
    <cfRule type="cellIs" dxfId="1788" priority="181" operator="equal">
      <formula>"כש"</formula>
    </cfRule>
  </conditionalFormatting>
  <conditionalFormatting sqref="BT16:BV16">
    <cfRule type="cellIs" dxfId="1787" priority="663" operator="equal">
      <formula>"כ"</formula>
    </cfRule>
    <cfRule type="cellIs" dxfId="1786" priority="662" operator="equal">
      <formula>"כש"</formula>
    </cfRule>
  </conditionalFormatting>
  <conditionalFormatting sqref="BT28:BV28">
    <cfRule type="cellIs" dxfId="1785" priority="515" operator="equal">
      <formula>"כש"</formula>
    </cfRule>
    <cfRule type="cellIs" dxfId="1784" priority="516" operator="equal">
      <formula>"כ"</formula>
    </cfRule>
  </conditionalFormatting>
  <conditionalFormatting sqref="BT5:BW5 BU7:BU15 BU19:BU27 BT33:BW33">
    <cfRule type="cellIs" dxfId="1783" priority="1697" operator="equal">
      <formula>"כ"</formula>
    </cfRule>
    <cfRule type="cellIs" dxfId="1782" priority="1696" operator="equal">
      <formula>"כש"</formula>
    </cfRule>
  </conditionalFormatting>
  <conditionalFormatting sqref="BT6:BW6">
    <cfRule type="cellIs" dxfId="1781" priority="1041" operator="equal">
      <formula>"כ"</formula>
    </cfRule>
    <cfRule type="cellIs" dxfId="1780" priority="1040" operator="equal">
      <formula>"כש"</formula>
    </cfRule>
  </conditionalFormatting>
  <conditionalFormatting sqref="BT29:BW30">
    <cfRule type="cellIs" dxfId="1779" priority="169" operator="equal">
      <formula>"כ"</formula>
    </cfRule>
    <cfRule type="cellIs" dxfId="1778" priority="168" operator="equal">
      <formula>"כש"</formula>
    </cfRule>
  </conditionalFormatting>
  <conditionalFormatting sqref="BT17:CB18">
    <cfRule type="cellIs" dxfId="1777" priority="894" operator="equal">
      <formula>"כ"</formula>
    </cfRule>
    <cfRule type="cellIs" dxfId="1776" priority="893" operator="equal">
      <formula>"כש"</formula>
    </cfRule>
  </conditionalFormatting>
  <conditionalFormatting sqref="BU29:BW34 BY5:BY34 CA5:CA34">
    <cfRule type="cellIs" dxfId="1775" priority="163" operator="equal">
      <formula>"ח"</formula>
    </cfRule>
  </conditionalFormatting>
  <conditionalFormatting sqref="BV7:BV10">
    <cfRule type="cellIs" dxfId="1774" priority="787" operator="equal">
      <formula>"ח"</formula>
    </cfRule>
  </conditionalFormatting>
  <conditionalFormatting sqref="BV8">
    <cfRule type="cellIs" dxfId="1773" priority="755" stopIfTrue="1" operator="equal">
      <formula>"ח"</formula>
    </cfRule>
    <cfRule type="cellIs" dxfId="1772" priority="756" operator="equal">
      <formula>"כש"</formula>
    </cfRule>
    <cfRule type="cellIs" dxfId="1771" priority="757" operator="equal">
      <formula>"כ"</formula>
    </cfRule>
  </conditionalFormatting>
  <conditionalFormatting sqref="BV11:BV14">
    <cfRule type="cellIs" dxfId="1770" priority="740" operator="equal">
      <formula>"ח"</formula>
    </cfRule>
  </conditionalFormatting>
  <conditionalFormatting sqref="BV12">
    <cfRule type="cellIs" dxfId="1769" priority="708" stopIfTrue="1" operator="equal">
      <formula>"ח"</formula>
    </cfRule>
    <cfRule type="cellIs" dxfId="1768" priority="710" operator="equal">
      <formula>"כ"</formula>
    </cfRule>
    <cfRule type="cellIs" dxfId="1767" priority="709" operator="equal">
      <formula>"כש"</formula>
    </cfRule>
  </conditionalFormatting>
  <conditionalFormatting sqref="BV15:BV16">
    <cfRule type="cellIs" dxfId="1766" priority="693" operator="equal">
      <formula>"ח"</formula>
    </cfRule>
  </conditionalFormatting>
  <conditionalFormatting sqref="BV16">
    <cfRule type="cellIs" dxfId="1765" priority="661" stopIfTrue="1" operator="equal">
      <formula>"ח"</formula>
    </cfRule>
  </conditionalFormatting>
  <conditionalFormatting sqref="BV19:BV22">
    <cfRule type="cellIs" dxfId="1764" priority="640" operator="equal">
      <formula>"ח"</formula>
    </cfRule>
  </conditionalFormatting>
  <conditionalFormatting sqref="BV20">
    <cfRule type="cellIs" dxfId="1763" priority="610" operator="equal">
      <formula>"כ"</formula>
    </cfRule>
    <cfRule type="cellIs" dxfId="1762" priority="608" stopIfTrue="1" operator="equal">
      <formula>"ח"</formula>
    </cfRule>
    <cfRule type="cellIs" dxfId="1761" priority="609" operator="equal">
      <formula>"כש"</formula>
    </cfRule>
  </conditionalFormatting>
  <conditionalFormatting sqref="BV23:BV26">
    <cfRule type="cellIs" dxfId="1760" priority="593" operator="equal">
      <formula>"ח"</formula>
    </cfRule>
  </conditionalFormatting>
  <conditionalFormatting sqref="BV24">
    <cfRule type="cellIs" dxfId="1759" priority="562" operator="equal">
      <formula>"כש"</formula>
    </cfRule>
    <cfRule type="cellIs" dxfId="1758" priority="561" stopIfTrue="1" operator="equal">
      <formula>"ח"</formula>
    </cfRule>
    <cfRule type="cellIs" dxfId="1757" priority="563" operator="equal">
      <formula>"כ"</formula>
    </cfRule>
  </conditionalFormatting>
  <conditionalFormatting sqref="BV27:BV28">
    <cfRule type="cellIs" dxfId="1756" priority="546" operator="equal">
      <formula>"ח"</formula>
    </cfRule>
  </conditionalFormatting>
  <conditionalFormatting sqref="BV28">
    <cfRule type="cellIs" dxfId="1755" priority="514" stopIfTrue="1" operator="equal">
      <formula>"ח"</formula>
    </cfRule>
  </conditionalFormatting>
  <conditionalFormatting sqref="BV31:BV32">
    <cfRule type="cellIs" dxfId="1754" priority="162" operator="equal">
      <formula>"ח"</formula>
    </cfRule>
  </conditionalFormatting>
  <conditionalFormatting sqref="BV32">
    <cfRule type="cellIs" dxfId="1753" priority="131" operator="equal">
      <formula>"כש"</formula>
    </cfRule>
    <cfRule type="cellIs" dxfId="1752" priority="130" stopIfTrue="1" operator="equal">
      <formula>"ח"</formula>
    </cfRule>
    <cfRule type="cellIs" dxfId="1751" priority="132" operator="equal">
      <formula>"כ"</formula>
    </cfRule>
  </conditionalFormatting>
  <conditionalFormatting sqref="BV7:BW8">
    <cfRule type="cellIs" dxfId="1750" priority="788" operator="equal">
      <formula>"ח"</formula>
    </cfRule>
    <cfRule type="cellIs" dxfId="1749" priority="773" operator="equal">
      <formula>"כ"</formula>
    </cfRule>
    <cfRule type="cellIs" dxfId="1748" priority="772" operator="equal">
      <formula>"כש"</formula>
    </cfRule>
  </conditionalFormatting>
  <conditionalFormatting sqref="BV11:BW12">
    <cfRule type="cellIs" dxfId="1747" priority="741" operator="equal">
      <formula>"ח"</formula>
    </cfRule>
  </conditionalFormatting>
  <conditionalFormatting sqref="BV15:BW16">
    <cfRule type="cellIs" dxfId="1746" priority="694" operator="equal">
      <formula>"ח"</formula>
    </cfRule>
  </conditionalFormatting>
  <conditionalFormatting sqref="BV19:BW20">
    <cfRule type="cellIs" dxfId="1745" priority="641" operator="equal">
      <formula>"ח"</formula>
    </cfRule>
  </conditionalFormatting>
  <conditionalFormatting sqref="BV23:BW24">
    <cfRule type="cellIs" dxfId="1744" priority="594" operator="equal">
      <formula>"ח"</formula>
    </cfRule>
  </conditionalFormatting>
  <conditionalFormatting sqref="BV27:BW28">
    <cfRule type="cellIs" dxfId="1743" priority="547" operator="equal">
      <formula>"ח"</formula>
    </cfRule>
  </conditionalFormatting>
  <conditionalFormatting sqref="BV7:CB10">
    <cfRule type="cellIs" dxfId="1742" priority="780" operator="equal">
      <formula>"מנוחה"</formula>
    </cfRule>
    <cfRule type="cellIs" dxfId="1741" priority="778" operator="equal">
      <formula>"ק"</formula>
    </cfRule>
    <cfRule type="cellIs" dxfId="1740" priority="777" operator="equal">
      <formula>"כמ"</formula>
    </cfRule>
    <cfRule type="cellIs" dxfId="1739" priority="776" operator="equal">
      <formula>"כמש"</formula>
    </cfRule>
    <cfRule type="cellIs" dxfId="1738" priority="779" operator="equal">
      <formula>"מ"</formula>
    </cfRule>
    <cfRule type="cellIs" dxfId="1737" priority="774" operator="equal">
      <formula>"ל"</formula>
    </cfRule>
    <cfRule type="cellIs" dxfId="1736" priority="783" operator="equal">
      <formula>"כ"</formula>
    </cfRule>
    <cfRule type="cellIs" dxfId="1735" priority="775" operator="equal">
      <formula>"י"</formula>
    </cfRule>
    <cfRule type="cellIs" dxfId="1734" priority="781" operator="equal">
      <formula>"מיל"</formula>
    </cfRule>
    <cfRule type="cellIs" dxfId="1733" priority="782" operator="equal">
      <formula>"כש"</formula>
    </cfRule>
  </conditionalFormatting>
  <conditionalFormatting sqref="BV11:CB14">
    <cfRule type="cellIs" dxfId="1732" priority="720" operator="equal">
      <formula>"כש"</formula>
    </cfRule>
    <cfRule type="cellIs" dxfId="1731" priority="721" operator="equal">
      <formula>"כ"</formula>
    </cfRule>
    <cfRule type="cellIs" dxfId="1730" priority="727" operator="equal">
      <formula>"ל"</formula>
    </cfRule>
    <cfRule type="cellIs" dxfId="1729" priority="728" operator="equal">
      <formula>"י"</formula>
    </cfRule>
    <cfRule type="cellIs" dxfId="1728" priority="729" operator="equal">
      <formula>"כמש"</formula>
    </cfRule>
    <cfRule type="cellIs" dxfId="1727" priority="731" operator="equal">
      <formula>"ק"</formula>
    </cfRule>
    <cfRule type="cellIs" dxfId="1726" priority="732" operator="equal">
      <formula>"מ"</formula>
    </cfRule>
    <cfRule type="cellIs" dxfId="1725" priority="733" operator="equal">
      <formula>"מנוחה"</formula>
    </cfRule>
    <cfRule type="cellIs" dxfId="1724" priority="734" operator="equal">
      <formula>"מיל"</formula>
    </cfRule>
    <cfRule type="cellIs" dxfId="1723" priority="730" operator="equal">
      <formula>"כמ"</formula>
    </cfRule>
  </conditionalFormatting>
  <conditionalFormatting sqref="BV15:CB16">
    <cfRule type="cellIs" dxfId="1722" priority="685" operator="equal">
      <formula>"מ"</formula>
    </cfRule>
    <cfRule type="cellIs" dxfId="1721" priority="681" operator="equal">
      <formula>"י"</formula>
    </cfRule>
    <cfRule type="cellIs" dxfId="1720" priority="680" operator="equal">
      <formula>"ל"</formula>
    </cfRule>
    <cfRule type="cellIs" dxfId="1719" priority="674" operator="equal">
      <formula>"כ"</formula>
    </cfRule>
    <cfRule type="cellIs" dxfId="1718" priority="673" operator="equal">
      <formula>"כש"</formula>
    </cfRule>
    <cfRule type="cellIs" dxfId="1717" priority="686" operator="equal">
      <formula>"מנוחה"</formula>
    </cfRule>
    <cfRule type="cellIs" dxfId="1716" priority="687" operator="equal">
      <formula>"מיל"</formula>
    </cfRule>
    <cfRule type="cellIs" dxfId="1715" priority="682" operator="equal">
      <formula>"כמש"</formula>
    </cfRule>
    <cfRule type="cellIs" dxfId="1714" priority="684" operator="equal">
      <formula>"ק"</formula>
    </cfRule>
    <cfRule type="cellIs" dxfId="1713" priority="683" operator="equal">
      <formula>"כמ"</formula>
    </cfRule>
  </conditionalFormatting>
  <conditionalFormatting sqref="BV19:CB22">
    <cfRule type="cellIs" dxfId="1712" priority="630" operator="equal">
      <formula>"כמ"</formula>
    </cfRule>
    <cfRule type="cellIs" dxfId="1711" priority="632" operator="equal">
      <formula>"מ"</formula>
    </cfRule>
    <cfRule type="cellIs" dxfId="1710" priority="621" operator="equal">
      <formula>"כ"</formula>
    </cfRule>
    <cfRule type="cellIs" dxfId="1709" priority="620" operator="equal">
      <formula>"כש"</formula>
    </cfRule>
    <cfRule type="cellIs" dxfId="1708" priority="633" operator="equal">
      <formula>"מנוחה"</formula>
    </cfRule>
    <cfRule type="cellIs" dxfId="1707" priority="631" operator="equal">
      <formula>"ק"</formula>
    </cfRule>
    <cfRule type="cellIs" dxfId="1706" priority="629" operator="equal">
      <formula>"כמש"</formula>
    </cfRule>
    <cfRule type="cellIs" dxfId="1705" priority="627" operator="equal">
      <formula>"ל"</formula>
    </cfRule>
    <cfRule type="cellIs" dxfId="1704" priority="628" operator="equal">
      <formula>"י"</formula>
    </cfRule>
    <cfRule type="cellIs" dxfId="1703" priority="634" operator="equal">
      <formula>"מיל"</formula>
    </cfRule>
  </conditionalFormatting>
  <conditionalFormatting sqref="BV23:CB26">
    <cfRule type="cellIs" dxfId="1702" priority="587" operator="equal">
      <formula>"מיל"</formula>
    </cfRule>
    <cfRule type="cellIs" dxfId="1701" priority="585" operator="equal">
      <formula>"מ"</formula>
    </cfRule>
    <cfRule type="cellIs" dxfId="1700" priority="584" operator="equal">
      <formula>"ק"</formula>
    </cfRule>
    <cfRule type="cellIs" dxfId="1699" priority="573" operator="equal">
      <formula>"כש"</formula>
    </cfRule>
    <cfRule type="cellIs" dxfId="1698" priority="574" operator="equal">
      <formula>"כ"</formula>
    </cfRule>
    <cfRule type="cellIs" dxfId="1697" priority="583" operator="equal">
      <formula>"כמ"</formula>
    </cfRule>
    <cfRule type="cellIs" dxfId="1696" priority="580" operator="equal">
      <formula>"ל"</formula>
    </cfRule>
    <cfRule type="cellIs" dxfId="1695" priority="581" operator="equal">
      <formula>"י"</formula>
    </cfRule>
    <cfRule type="cellIs" dxfId="1694" priority="582" operator="equal">
      <formula>"כמש"</formula>
    </cfRule>
    <cfRule type="cellIs" dxfId="1693" priority="586" operator="equal">
      <formula>"מנוחה"</formula>
    </cfRule>
  </conditionalFormatting>
  <conditionalFormatting sqref="BV27:CB28">
    <cfRule type="cellIs" dxfId="1692" priority="540" operator="equal">
      <formula>"מיל"</formula>
    </cfRule>
    <cfRule type="cellIs" dxfId="1691" priority="539" operator="equal">
      <formula>"מנוחה"</formula>
    </cfRule>
    <cfRule type="cellIs" dxfId="1690" priority="538" operator="equal">
      <formula>"מ"</formula>
    </cfRule>
    <cfRule type="cellIs" dxfId="1689" priority="537" operator="equal">
      <formula>"ק"</formula>
    </cfRule>
    <cfRule type="cellIs" dxfId="1688" priority="536" operator="equal">
      <formula>"כמ"</formula>
    </cfRule>
    <cfRule type="cellIs" dxfId="1687" priority="535" operator="equal">
      <formula>"כמש"</formula>
    </cfRule>
    <cfRule type="cellIs" dxfId="1686" priority="534" operator="equal">
      <formula>"י"</formula>
    </cfRule>
    <cfRule type="cellIs" dxfId="1685" priority="533" operator="equal">
      <formula>"ל"</formula>
    </cfRule>
    <cfRule type="cellIs" dxfId="1684" priority="532" operator="equal">
      <formula>"כ"</formula>
    </cfRule>
    <cfRule type="cellIs" dxfId="1683" priority="531" operator="equal">
      <formula>"כש"</formula>
    </cfRule>
  </conditionalFormatting>
  <conditionalFormatting sqref="BV31:CB32">
    <cfRule type="cellIs" dxfId="1682" priority="153" operator="equal">
      <formula>"ק"</formula>
    </cfRule>
    <cfRule type="cellIs" dxfId="1681" priority="154" operator="equal">
      <formula>"מ"</formula>
    </cfRule>
    <cfRule type="cellIs" dxfId="1680" priority="155" operator="equal">
      <formula>"מנוחה"</formula>
    </cfRule>
    <cfRule type="cellIs" dxfId="1679" priority="152" operator="equal">
      <formula>"כמ"</formula>
    </cfRule>
    <cfRule type="cellIs" dxfId="1678" priority="156" operator="equal">
      <formula>"מיל"</formula>
    </cfRule>
    <cfRule type="cellIs" dxfId="1677" priority="151" operator="equal">
      <formula>"כמש"</formula>
    </cfRule>
    <cfRule type="cellIs" dxfId="1676" priority="150" operator="equal">
      <formula>"י"</formula>
    </cfRule>
    <cfRule type="cellIs" dxfId="1675" priority="149" operator="equal">
      <formula>"ל"</formula>
    </cfRule>
    <cfRule type="cellIs" dxfId="1674" priority="148" operator="equal">
      <formula>"כ"</formula>
    </cfRule>
    <cfRule type="cellIs" dxfId="1673" priority="147" operator="equal">
      <formula>"כש"</formula>
    </cfRule>
  </conditionalFormatting>
  <conditionalFormatting sqref="BX5:BX8">
    <cfRule type="cellIs" dxfId="1672" priority="771" operator="equal">
      <formula>"ח"</formula>
    </cfRule>
  </conditionalFormatting>
  <conditionalFormatting sqref="BX7">
    <cfRule type="cellIs" dxfId="1671" priority="754" operator="equal">
      <formula>"ח"</formula>
    </cfRule>
    <cfRule type="cellIs" dxfId="1670" priority="753" operator="equal">
      <formula>"כ"</formula>
    </cfRule>
    <cfRule type="cellIs" dxfId="1669" priority="752" operator="equal">
      <formula>"כש"</formula>
    </cfRule>
  </conditionalFormatting>
  <conditionalFormatting sqref="BX7:BX10">
    <cfRule type="cellIs" dxfId="1668" priority="786" operator="equal">
      <formula>"ח"</formula>
    </cfRule>
  </conditionalFormatting>
  <conditionalFormatting sqref="BX8">
    <cfRule type="cellIs" dxfId="1667" priority="766" operator="equal">
      <formula>"כ"</formula>
    </cfRule>
    <cfRule type="cellIs" dxfId="1666" priority="765" operator="equal">
      <formula>"כש"</formula>
    </cfRule>
    <cfRule type="cellIs" dxfId="1665" priority="764" stopIfTrue="1" operator="equal">
      <formula>"ח"</formula>
    </cfRule>
  </conditionalFormatting>
  <conditionalFormatting sqref="BX11">
    <cfRule type="cellIs" dxfId="1664" priority="705" operator="equal">
      <formula>"כש"</formula>
    </cfRule>
    <cfRule type="cellIs" dxfId="1663" priority="706" operator="equal">
      <formula>"כ"</formula>
    </cfRule>
    <cfRule type="cellIs" dxfId="1662" priority="707" operator="equal">
      <formula>"ח"</formula>
    </cfRule>
  </conditionalFormatting>
  <conditionalFormatting sqref="BX11:BX12">
    <cfRule type="cellIs" dxfId="1661" priority="724" operator="equal">
      <formula>"ח"</formula>
    </cfRule>
  </conditionalFormatting>
  <conditionalFormatting sqref="BX11:BX14">
    <cfRule type="cellIs" dxfId="1660" priority="739" operator="equal">
      <formula>"ח"</formula>
    </cfRule>
  </conditionalFormatting>
  <conditionalFormatting sqref="BX12">
    <cfRule type="cellIs" dxfId="1659" priority="719" operator="equal">
      <formula>"כ"</formula>
    </cfRule>
    <cfRule type="cellIs" dxfId="1658" priority="718" operator="equal">
      <formula>"כש"</formula>
    </cfRule>
    <cfRule type="cellIs" dxfId="1657" priority="717" stopIfTrue="1" operator="equal">
      <formula>"ח"</formula>
    </cfRule>
  </conditionalFormatting>
  <conditionalFormatting sqref="BX15">
    <cfRule type="cellIs" dxfId="1656" priority="658" operator="equal">
      <formula>"כש"</formula>
    </cfRule>
    <cfRule type="cellIs" dxfId="1655" priority="660" operator="equal">
      <formula>"ח"</formula>
    </cfRule>
    <cfRule type="cellIs" dxfId="1654" priority="659" operator="equal">
      <formula>"כ"</formula>
    </cfRule>
  </conditionalFormatting>
  <conditionalFormatting sqref="BX15:BX16">
    <cfRule type="cellIs" dxfId="1653" priority="692" operator="equal">
      <formula>"ח"</formula>
    </cfRule>
  </conditionalFormatting>
  <conditionalFormatting sqref="BX15:BX18">
    <cfRule type="cellIs" dxfId="1652" priority="677" operator="equal">
      <formula>"ח"</formula>
    </cfRule>
  </conditionalFormatting>
  <conditionalFormatting sqref="BX16">
    <cfRule type="cellIs" dxfId="1651" priority="672" operator="equal">
      <formula>"כ"</formula>
    </cfRule>
    <cfRule type="cellIs" dxfId="1650" priority="670" stopIfTrue="1" operator="equal">
      <formula>"ח"</formula>
    </cfRule>
    <cfRule type="cellIs" dxfId="1649" priority="671" operator="equal">
      <formula>"כש"</formula>
    </cfRule>
  </conditionalFormatting>
  <conditionalFormatting sqref="BX19">
    <cfRule type="cellIs" dxfId="1648" priority="606" operator="equal">
      <formula>"כ"</formula>
    </cfRule>
    <cfRule type="cellIs" dxfId="1647" priority="607" operator="equal">
      <formula>"ח"</formula>
    </cfRule>
    <cfRule type="cellIs" dxfId="1646" priority="605" operator="equal">
      <formula>"כש"</formula>
    </cfRule>
  </conditionalFormatting>
  <conditionalFormatting sqref="BX19:BX20">
    <cfRule type="cellIs" dxfId="1645" priority="624" operator="equal">
      <formula>"ח"</formula>
    </cfRule>
  </conditionalFormatting>
  <conditionalFormatting sqref="BX19:BX22">
    <cfRule type="cellIs" dxfId="1644" priority="639" operator="equal">
      <formula>"ח"</formula>
    </cfRule>
  </conditionalFormatting>
  <conditionalFormatting sqref="BX20">
    <cfRule type="cellIs" dxfId="1643" priority="617" stopIfTrue="1" operator="equal">
      <formula>"ח"</formula>
    </cfRule>
    <cfRule type="cellIs" dxfId="1642" priority="618" operator="equal">
      <formula>"כש"</formula>
    </cfRule>
    <cfRule type="cellIs" dxfId="1641" priority="619" operator="equal">
      <formula>"כ"</formula>
    </cfRule>
  </conditionalFormatting>
  <conditionalFormatting sqref="BX23">
    <cfRule type="cellIs" dxfId="1640" priority="558" operator="equal">
      <formula>"כש"</formula>
    </cfRule>
    <cfRule type="cellIs" dxfId="1639" priority="559" operator="equal">
      <formula>"כ"</formula>
    </cfRule>
    <cfRule type="cellIs" dxfId="1638" priority="560" operator="equal">
      <formula>"ח"</formula>
    </cfRule>
  </conditionalFormatting>
  <conditionalFormatting sqref="BX23:BX24">
    <cfRule type="cellIs" dxfId="1637" priority="577" operator="equal">
      <formula>"ח"</formula>
    </cfRule>
  </conditionalFormatting>
  <conditionalFormatting sqref="BX23:BX26">
    <cfRule type="cellIs" dxfId="1636" priority="592" operator="equal">
      <formula>"ח"</formula>
    </cfRule>
  </conditionalFormatting>
  <conditionalFormatting sqref="BX24">
    <cfRule type="cellIs" dxfId="1635" priority="572" operator="equal">
      <formula>"כ"</formula>
    </cfRule>
    <cfRule type="cellIs" dxfId="1634" priority="571" operator="equal">
      <formula>"כש"</formula>
    </cfRule>
    <cfRule type="cellIs" dxfId="1633" priority="570" stopIfTrue="1" operator="equal">
      <formula>"ח"</formula>
    </cfRule>
  </conditionalFormatting>
  <conditionalFormatting sqref="BX27">
    <cfRule type="cellIs" dxfId="1632" priority="511" operator="equal">
      <formula>"כש"</formula>
    </cfRule>
    <cfRule type="cellIs" dxfId="1631" priority="512" operator="equal">
      <formula>"כ"</formula>
    </cfRule>
    <cfRule type="cellIs" dxfId="1630" priority="513" operator="equal">
      <formula>"ח"</formula>
    </cfRule>
  </conditionalFormatting>
  <conditionalFormatting sqref="BX27:BX28">
    <cfRule type="cellIs" dxfId="1629" priority="545" operator="equal">
      <formula>"ח"</formula>
    </cfRule>
  </conditionalFormatting>
  <conditionalFormatting sqref="BX27:BX30">
    <cfRule type="cellIs" dxfId="1628" priority="530" operator="equal">
      <formula>"ח"</formula>
    </cfRule>
  </conditionalFormatting>
  <conditionalFormatting sqref="BX28">
    <cfRule type="cellIs" dxfId="1627" priority="523" stopIfTrue="1" operator="equal">
      <formula>"ח"</formula>
    </cfRule>
    <cfRule type="cellIs" dxfId="1626" priority="524" operator="equal">
      <formula>"כש"</formula>
    </cfRule>
    <cfRule type="cellIs" dxfId="1625" priority="525" operator="equal">
      <formula>"כ"</formula>
    </cfRule>
  </conditionalFormatting>
  <conditionalFormatting sqref="BX31">
    <cfRule type="cellIs" dxfId="1624" priority="127" operator="equal">
      <formula>"כש"</formula>
    </cfRule>
    <cfRule type="cellIs" dxfId="1623" priority="128" operator="equal">
      <formula>"כ"</formula>
    </cfRule>
    <cfRule type="cellIs" dxfId="1622" priority="129" operator="equal">
      <formula>"ח"</formula>
    </cfRule>
  </conditionalFormatting>
  <conditionalFormatting sqref="BX31:BX32">
    <cfRule type="cellIs" dxfId="1621" priority="161" operator="equal">
      <formula>"ח"</formula>
    </cfRule>
  </conditionalFormatting>
  <conditionalFormatting sqref="BX31:BX34">
    <cfRule type="cellIs" dxfId="1620" priority="146" operator="equal">
      <formula>"ח"</formula>
    </cfRule>
  </conditionalFormatting>
  <conditionalFormatting sqref="BX32">
    <cfRule type="cellIs" dxfId="1619" priority="139" stopIfTrue="1" operator="equal">
      <formula>"ח"</formula>
    </cfRule>
    <cfRule type="cellIs" dxfId="1618" priority="140" operator="equal">
      <formula>"כש"</formula>
    </cfRule>
    <cfRule type="cellIs" dxfId="1617" priority="141" operator="equal">
      <formula>"כ"</formula>
    </cfRule>
  </conditionalFormatting>
  <conditionalFormatting sqref="BX5:CB8">
    <cfRule type="cellIs" dxfId="1616" priority="768" operator="equal">
      <formula>"כ"</formula>
    </cfRule>
    <cfRule type="cellIs" dxfId="1615" priority="767" operator="equal">
      <formula>"כש"</formula>
    </cfRule>
  </conditionalFormatting>
  <conditionalFormatting sqref="BX27:CB30">
    <cfRule type="cellIs" dxfId="1614" priority="526" operator="equal">
      <formula>"כש"</formula>
    </cfRule>
    <cfRule type="cellIs" dxfId="1613" priority="527" operator="equal">
      <formula>"כ"</formula>
    </cfRule>
  </conditionalFormatting>
  <conditionalFormatting sqref="BX31:CB34">
    <cfRule type="cellIs" dxfId="1612" priority="143" operator="equal">
      <formula>"כ"</formula>
    </cfRule>
    <cfRule type="cellIs" dxfId="1611" priority="142" operator="equal">
      <formula>"כש"</formula>
    </cfRule>
  </conditionalFormatting>
  <conditionalFormatting sqref="BZ5:BZ8">
    <cfRule type="cellIs" dxfId="1610" priority="770" operator="equal">
      <formula>"ח"</formula>
    </cfRule>
  </conditionalFormatting>
  <conditionalFormatting sqref="BZ7">
    <cfRule type="cellIs" dxfId="1609" priority="751" operator="equal">
      <formula>"ח"</formula>
    </cfRule>
    <cfRule type="cellIs" dxfId="1608" priority="742" operator="equal">
      <formula>"כש"</formula>
    </cfRule>
    <cfRule type="cellIs" dxfId="1607" priority="743" operator="equal">
      <formula>"כ"</formula>
    </cfRule>
    <cfRule type="cellIs" dxfId="1606" priority="744" operator="equal">
      <formula>"ח"</formula>
    </cfRule>
    <cfRule type="cellIs" dxfId="1605" priority="745" operator="equal">
      <formula>"ח"</formula>
    </cfRule>
  </conditionalFormatting>
  <conditionalFormatting sqref="BZ7:BZ10">
    <cfRule type="cellIs" dxfId="1604" priority="785" operator="equal">
      <formula>"ח"</formula>
    </cfRule>
  </conditionalFormatting>
  <conditionalFormatting sqref="BZ8">
    <cfRule type="cellIs" dxfId="1603" priority="762" operator="equal">
      <formula>"כש"</formula>
    </cfRule>
    <cfRule type="cellIs" dxfId="1602" priority="761" stopIfTrue="1" operator="equal">
      <formula>"ח"</formula>
    </cfRule>
    <cfRule type="cellIs" dxfId="1601" priority="763" operator="equal">
      <formula>"כ"</formula>
    </cfRule>
  </conditionalFormatting>
  <conditionalFormatting sqref="BZ11">
    <cfRule type="cellIs" dxfId="1600" priority="704" operator="equal">
      <formula>"ח"</formula>
    </cfRule>
    <cfRule type="cellIs" dxfId="1599" priority="698" operator="equal">
      <formula>"ח"</formula>
    </cfRule>
    <cfRule type="cellIs" dxfId="1598" priority="695" operator="equal">
      <formula>"כש"</formula>
    </cfRule>
    <cfRule type="cellIs" dxfId="1597" priority="697" operator="equal">
      <formula>"ח"</formula>
    </cfRule>
    <cfRule type="cellIs" dxfId="1596" priority="696" operator="equal">
      <formula>"כ"</formula>
    </cfRule>
  </conditionalFormatting>
  <conditionalFormatting sqref="BZ11:BZ12">
    <cfRule type="cellIs" dxfId="1595" priority="723" operator="equal">
      <formula>"ח"</formula>
    </cfRule>
  </conditionalFormatting>
  <conditionalFormatting sqref="BZ11:BZ14">
    <cfRule type="cellIs" dxfId="1594" priority="738" operator="equal">
      <formula>"ח"</formula>
    </cfRule>
  </conditionalFormatting>
  <conditionalFormatting sqref="BZ12">
    <cfRule type="cellIs" dxfId="1593" priority="716" operator="equal">
      <formula>"כ"</formula>
    </cfRule>
    <cfRule type="cellIs" dxfId="1592" priority="715" operator="equal">
      <formula>"כש"</formula>
    </cfRule>
    <cfRule type="cellIs" dxfId="1591" priority="714" stopIfTrue="1" operator="equal">
      <formula>"ח"</formula>
    </cfRule>
  </conditionalFormatting>
  <conditionalFormatting sqref="BZ15">
    <cfRule type="cellIs" dxfId="1590" priority="648" operator="equal">
      <formula>"כש"</formula>
    </cfRule>
    <cfRule type="cellIs" dxfId="1589" priority="651" operator="equal">
      <formula>"ח"</formula>
    </cfRule>
    <cfRule type="cellIs" dxfId="1588" priority="650" operator="equal">
      <formula>"ח"</formula>
    </cfRule>
    <cfRule type="cellIs" dxfId="1587" priority="649" operator="equal">
      <formula>"כ"</formula>
    </cfRule>
    <cfRule type="cellIs" dxfId="1586" priority="657" operator="equal">
      <formula>"ח"</formula>
    </cfRule>
  </conditionalFormatting>
  <conditionalFormatting sqref="BZ15:BZ16">
    <cfRule type="cellIs" dxfId="1585" priority="691" operator="equal">
      <formula>"ח"</formula>
    </cfRule>
  </conditionalFormatting>
  <conditionalFormatting sqref="BZ15:BZ18">
    <cfRule type="cellIs" dxfId="1584" priority="676" operator="equal">
      <formula>"ח"</formula>
    </cfRule>
  </conditionalFormatting>
  <conditionalFormatting sqref="BZ16">
    <cfRule type="cellIs" dxfId="1583" priority="668" operator="equal">
      <formula>"כש"</formula>
    </cfRule>
    <cfRule type="cellIs" dxfId="1582" priority="667" stopIfTrue="1" operator="equal">
      <formula>"ח"</formula>
    </cfRule>
    <cfRule type="cellIs" dxfId="1581" priority="669" operator="equal">
      <formula>"כ"</formula>
    </cfRule>
  </conditionalFormatting>
  <conditionalFormatting sqref="BZ19">
    <cfRule type="cellIs" dxfId="1580" priority="597" operator="equal">
      <formula>"ח"</formula>
    </cfRule>
    <cfRule type="cellIs" dxfId="1579" priority="596" operator="equal">
      <formula>"כ"</formula>
    </cfRule>
    <cfRule type="cellIs" dxfId="1578" priority="595" operator="equal">
      <formula>"כש"</formula>
    </cfRule>
    <cfRule type="cellIs" dxfId="1577" priority="598" operator="equal">
      <formula>"ח"</formula>
    </cfRule>
    <cfRule type="cellIs" dxfId="1576" priority="604" operator="equal">
      <formula>"ח"</formula>
    </cfRule>
  </conditionalFormatting>
  <conditionalFormatting sqref="BZ19:BZ20">
    <cfRule type="cellIs" dxfId="1575" priority="623" operator="equal">
      <formula>"ח"</formula>
    </cfRule>
  </conditionalFormatting>
  <conditionalFormatting sqref="BZ19:BZ22">
    <cfRule type="cellIs" dxfId="1574" priority="638" operator="equal">
      <formula>"ח"</formula>
    </cfRule>
  </conditionalFormatting>
  <conditionalFormatting sqref="BZ20">
    <cfRule type="cellIs" dxfId="1573" priority="614" stopIfTrue="1" operator="equal">
      <formula>"ח"</formula>
    </cfRule>
    <cfRule type="cellIs" dxfId="1572" priority="616" operator="equal">
      <formula>"כ"</formula>
    </cfRule>
    <cfRule type="cellIs" dxfId="1571" priority="615" operator="equal">
      <formula>"כש"</formula>
    </cfRule>
  </conditionalFormatting>
  <conditionalFormatting sqref="BZ23">
    <cfRule type="cellIs" dxfId="1570" priority="551" operator="equal">
      <formula>"ח"</formula>
    </cfRule>
    <cfRule type="cellIs" dxfId="1569" priority="550" operator="equal">
      <formula>"ח"</formula>
    </cfRule>
    <cfRule type="cellIs" dxfId="1568" priority="549" operator="equal">
      <formula>"כ"</formula>
    </cfRule>
    <cfRule type="cellIs" dxfId="1567" priority="548" operator="equal">
      <formula>"כש"</formula>
    </cfRule>
    <cfRule type="cellIs" dxfId="1566" priority="557" operator="equal">
      <formula>"ח"</formula>
    </cfRule>
  </conditionalFormatting>
  <conditionalFormatting sqref="BZ23:BZ24">
    <cfRule type="cellIs" dxfId="1565" priority="576" operator="equal">
      <formula>"ח"</formula>
    </cfRule>
  </conditionalFormatting>
  <conditionalFormatting sqref="BZ23:BZ26">
    <cfRule type="cellIs" dxfId="1564" priority="591" operator="equal">
      <formula>"ח"</formula>
    </cfRule>
  </conditionalFormatting>
  <conditionalFormatting sqref="BZ24">
    <cfRule type="cellIs" dxfId="1563" priority="568" operator="equal">
      <formula>"כש"</formula>
    </cfRule>
    <cfRule type="cellIs" dxfId="1562" priority="569" operator="equal">
      <formula>"כ"</formula>
    </cfRule>
    <cfRule type="cellIs" dxfId="1561" priority="567" stopIfTrue="1" operator="equal">
      <formula>"ח"</formula>
    </cfRule>
  </conditionalFormatting>
  <conditionalFormatting sqref="BZ27">
    <cfRule type="cellIs" dxfId="1560" priority="502" operator="equal">
      <formula>"כ"</formula>
    </cfRule>
    <cfRule type="cellIs" dxfId="1559" priority="501" operator="equal">
      <formula>"כש"</formula>
    </cfRule>
    <cfRule type="cellIs" dxfId="1558" priority="504" operator="equal">
      <formula>"ח"</formula>
    </cfRule>
    <cfRule type="cellIs" dxfId="1557" priority="503" operator="equal">
      <formula>"ח"</formula>
    </cfRule>
    <cfRule type="cellIs" dxfId="1556" priority="510" operator="equal">
      <formula>"ח"</formula>
    </cfRule>
  </conditionalFormatting>
  <conditionalFormatting sqref="BZ27:BZ28">
    <cfRule type="cellIs" dxfId="1555" priority="544" operator="equal">
      <formula>"ח"</formula>
    </cfRule>
  </conditionalFormatting>
  <conditionalFormatting sqref="BZ27:BZ30">
    <cfRule type="cellIs" dxfId="1554" priority="529" operator="equal">
      <formula>"ח"</formula>
    </cfRule>
  </conditionalFormatting>
  <conditionalFormatting sqref="BZ28">
    <cfRule type="cellIs" dxfId="1553" priority="520" stopIfTrue="1" operator="equal">
      <formula>"ח"</formula>
    </cfRule>
    <cfRule type="cellIs" dxfId="1552" priority="521" operator="equal">
      <formula>"כש"</formula>
    </cfRule>
    <cfRule type="cellIs" dxfId="1551" priority="522" operator="equal">
      <formula>"כ"</formula>
    </cfRule>
  </conditionalFormatting>
  <conditionalFormatting sqref="BZ31">
    <cfRule type="cellIs" dxfId="1550" priority="120" operator="equal">
      <formula>"ח"</formula>
    </cfRule>
    <cfRule type="cellIs" dxfId="1549" priority="126" operator="equal">
      <formula>"ח"</formula>
    </cfRule>
    <cfRule type="cellIs" dxfId="1548" priority="117" operator="equal">
      <formula>"כש"</formula>
    </cfRule>
    <cfRule type="cellIs" dxfId="1547" priority="118" operator="equal">
      <formula>"כ"</formula>
    </cfRule>
    <cfRule type="cellIs" dxfId="1546" priority="119" operator="equal">
      <formula>"ח"</formula>
    </cfRule>
  </conditionalFormatting>
  <conditionalFormatting sqref="BZ31:BZ32">
    <cfRule type="cellIs" dxfId="1545" priority="160" operator="equal">
      <formula>"ח"</formula>
    </cfRule>
  </conditionalFormatting>
  <conditionalFormatting sqref="BZ31:BZ34">
    <cfRule type="cellIs" dxfId="1544" priority="145" operator="equal">
      <formula>"ח"</formula>
    </cfRule>
  </conditionalFormatting>
  <conditionalFormatting sqref="BZ32">
    <cfRule type="cellIs" dxfId="1543" priority="137" operator="equal">
      <formula>"כש"</formula>
    </cfRule>
    <cfRule type="cellIs" dxfId="1542" priority="136" stopIfTrue="1" operator="equal">
      <formula>"ח"</formula>
    </cfRule>
    <cfRule type="cellIs" dxfId="1541" priority="138" operator="equal">
      <formula>"כ"</formula>
    </cfRule>
  </conditionalFormatting>
  <conditionalFormatting sqref="CB5:CB8">
    <cfRule type="cellIs" dxfId="1540" priority="769" operator="equal">
      <formula>"ח"</formula>
    </cfRule>
  </conditionalFormatting>
  <conditionalFormatting sqref="CB7">
    <cfRule type="cellIs" dxfId="1539" priority="748" operator="equal">
      <formula>"ח"</formula>
    </cfRule>
    <cfRule type="cellIs" dxfId="1538" priority="747" operator="equal">
      <formula>"כ"</formula>
    </cfRule>
    <cfRule type="cellIs" dxfId="1537" priority="746" operator="equal">
      <formula>"כש"</formula>
    </cfRule>
  </conditionalFormatting>
  <conditionalFormatting sqref="CB7:CB10">
    <cfRule type="cellIs" dxfId="1536" priority="784" operator="equal">
      <formula>"ח"</formula>
    </cfRule>
  </conditionalFormatting>
  <conditionalFormatting sqref="CB8">
    <cfRule type="cellIs" dxfId="1535" priority="758" stopIfTrue="1" operator="equal">
      <formula>"ח"</formula>
    </cfRule>
    <cfRule type="cellIs" dxfId="1534" priority="759" operator="equal">
      <formula>"כש"</formula>
    </cfRule>
    <cfRule type="cellIs" dxfId="1533" priority="760" operator="equal">
      <formula>"כ"</formula>
    </cfRule>
  </conditionalFormatting>
  <conditionalFormatting sqref="CB11">
    <cfRule type="cellIs" dxfId="1532" priority="701" operator="equal">
      <formula>"ח"</formula>
    </cfRule>
    <cfRule type="cellIs" dxfId="1531" priority="700" operator="equal">
      <formula>"כ"</formula>
    </cfRule>
    <cfRule type="cellIs" dxfId="1530" priority="699" operator="equal">
      <formula>"כש"</formula>
    </cfRule>
  </conditionalFormatting>
  <conditionalFormatting sqref="CB11:CB12">
    <cfRule type="cellIs" dxfId="1529" priority="722" operator="equal">
      <formula>"ח"</formula>
    </cfRule>
  </conditionalFormatting>
  <conditionalFormatting sqref="CB11:CB14">
    <cfRule type="cellIs" dxfId="1528" priority="737" operator="equal">
      <formula>"ח"</formula>
    </cfRule>
  </conditionalFormatting>
  <conditionalFormatting sqref="CB12">
    <cfRule type="cellIs" dxfId="1527" priority="712" operator="equal">
      <formula>"כש"</formula>
    </cfRule>
    <cfRule type="cellIs" dxfId="1526" priority="711" stopIfTrue="1" operator="equal">
      <formula>"ח"</formula>
    </cfRule>
    <cfRule type="cellIs" dxfId="1525" priority="713" operator="equal">
      <formula>"כ"</formula>
    </cfRule>
  </conditionalFormatting>
  <conditionalFormatting sqref="CB15">
    <cfRule type="cellIs" dxfId="1524" priority="652" operator="equal">
      <formula>"כש"</formula>
    </cfRule>
    <cfRule type="cellIs" dxfId="1523" priority="654" operator="equal">
      <formula>"ח"</formula>
    </cfRule>
    <cfRule type="cellIs" dxfId="1522" priority="653" operator="equal">
      <formula>"כ"</formula>
    </cfRule>
  </conditionalFormatting>
  <conditionalFormatting sqref="CB15:CB16">
    <cfRule type="cellIs" dxfId="1521" priority="690" operator="equal">
      <formula>"ח"</formula>
    </cfRule>
  </conditionalFormatting>
  <conditionalFormatting sqref="CB15:CB18">
    <cfRule type="cellIs" dxfId="1520" priority="675" operator="equal">
      <formula>"ח"</formula>
    </cfRule>
  </conditionalFormatting>
  <conditionalFormatting sqref="CB16">
    <cfRule type="cellIs" dxfId="1519" priority="665" operator="equal">
      <formula>"כש"</formula>
    </cfRule>
    <cfRule type="cellIs" dxfId="1518" priority="666" operator="equal">
      <formula>"כ"</formula>
    </cfRule>
    <cfRule type="cellIs" dxfId="1517" priority="664" stopIfTrue="1" operator="equal">
      <formula>"ח"</formula>
    </cfRule>
  </conditionalFormatting>
  <conditionalFormatting sqref="CB19">
    <cfRule type="cellIs" dxfId="1516" priority="601" operator="equal">
      <formula>"ח"</formula>
    </cfRule>
    <cfRule type="cellIs" dxfId="1515" priority="600" operator="equal">
      <formula>"כ"</formula>
    </cfRule>
    <cfRule type="cellIs" dxfId="1514" priority="599" operator="equal">
      <formula>"כש"</formula>
    </cfRule>
  </conditionalFormatting>
  <conditionalFormatting sqref="CB19:CB20">
    <cfRule type="cellIs" dxfId="1513" priority="622" operator="equal">
      <formula>"ח"</formula>
    </cfRule>
  </conditionalFormatting>
  <conditionalFormatting sqref="CB19:CB22">
    <cfRule type="cellIs" dxfId="1512" priority="637" operator="equal">
      <formula>"ח"</formula>
    </cfRule>
  </conditionalFormatting>
  <conditionalFormatting sqref="CB20">
    <cfRule type="cellIs" dxfId="1511" priority="611" stopIfTrue="1" operator="equal">
      <formula>"ח"</formula>
    </cfRule>
    <cfRule type="cellIs" dxfId="1510" priority="613" operator="equal">
      <formula>"כ"</formula>
    </cfRule>
    <cfRule type="cellIs" dxfId="1509" priority="612" operator="equal">
      <formula>"כש"</formula>
    </cfRule>
  </conditionalFormatting>
  <conditionalFormatting sqref="CB23">
    <cfRule type="cellIs" dxfId="1508" priority="553" operator="equal">
      <formula>"כ"</formula>
    </cfRule>
    <cfRule type="cellIs" dxfId="1507" priority="552" operator="equal">
      <formula>"כש"</formula>
    </cfRule>
    <cfRule type="cellIs" dxfId="1506" priority="554" operator="equal">
      <formula>"ח"</formula>
    </cfRule>
  </conditionalFormatting>
  <conditionalFormatting sqref="CB23:CB24">
    <cfRule type="cellIs" dxfId="1505" priority="575" operator="equal">
      <formula>"ח"</formula>
    </cfRule>
  </conditionalFormatting>
  <conditionalFormatting sqref="CB23:CB26">
    <cfRule type="cellIs" dxfId="1504" priority="590" operator="equal">
      <formula>"ח"</formula>
    </cfRule>
  </conditionalFormatting>
  <conditionalFormatting sqref="CB24">
    <cfRule type="cellIs" dxfId="1503" priority="564" stopIfTrue="1" operator="equal">
      <formula>"ח"</formula>
    </cfRule>
    <cfRule type="cellIs" dxfId="1502" priority="566" operator="equal">
      <formula>"כ"</formula>
    </cfRule>
    <cfRule type="cellIs" dxfId="1501" priority="565" operator="equal">
      <formula>"כש"</formula>
    </cfRule>
  </conditionalFormatting>
  <conditionalFormatting sqref="CB27">
    <cfRule type="cellIs" dxfId="1500" priority="507" operator="equal">
      <formula>"ח"</formula>
    </cfRule>
    <cfRule type="cellIs" dxfId="1499" priority="505" operator="equal">
      <formula>"כש"</formula>
    </cfRule>
    <cfRule type="cellIs" dxfId="1498" priority="506" operator="equal">
      <formula>"כ"</formula>
    </cfRule>
  </conditionalFormatting>
  <conditionalFormatting sqref="CB27:CB28">
    <cfRule type="cellIs" dxfId="1497" priority="543" operator="equal">
      <formula>"ח"</formula>
    </cfRule>
  </conditionalFormatting>
  <conditionalFormatting sqref="CB27:CB30">
    <cfRule type="cellIs" dxfId="1496" priority="528" operator="equal">
      <formula>"ח"</formula>
    </cfRule>
  </conditionalFormatting>
  <conditionalFormatting sqref="CB28">
    <cfRule type="cellIs" dxfId="1495" priority="518" operator="equal">
      <formula>"כש"</formula>
    </cfRule>
    <cfRule type="cellIs" dxfId="1494" priority="519" operator="equal">
      <formula>"כ"</formula>
    </cfRule>
    <cfRule type="cellIs" dxfId="1493" priority="517" stopIfTrue="1" operator="equal">
      <formula>"ח"</formula>
    </cfRule>
  </conditionalFormatting>
  <conditionalFormatting sqref="CB31">
    <cfRule type="cellIs" dxfId="1492" priority="123" operator="equal">
      <formula>"ח"</formula>
    </cfRule>
    <cfRule type="cellIs" dxfId="1491" priority="122" operator="equal">
      <formula>"כ"</formula>
    </cfRule>
    <cfRule type="cellIs" dxfId="1490" priority="121" operator="equal">
      <formula>"כש"</formula>
    </cfRule>
  </conditionalFormatting>
  <conditionalFormatting sqref="CB31:CB32">
    <cfRule type="cellIs" dxfId="1489" priority="159" operator="equal">
      <formula>"ח"</formula>
    </cfRule>
  </conditionalFormatting>
  <conditionalFormatting sqref="CB31:CB34">
    <cfRule type="cellIs" dxfId="1488" priority="144" operator="equal">
      <formula>"ח"</formula>
    </cfRule>
  </conditionalFormatting>
  <conditionalFormatting sqref="CB32">
    <cfRule type="cellIs" dxfId="1487" priority="135" operator="equal">
      <formula>"כ"</formula>
    </cfRule>
    <cfRule type="cellIs" dxfId="1486" priority="134" operator="equal">
      <formula>"כש"</formula>
    </cfRule>
    <cfRule type="cellIs" dxfId="1485" priority="133" stopIfTrue="1" operator="equal">
      <formula>"ח"</formula>
    </cfRule>
  </conditionalFormatting>
  <conditionalFormatting sqref="CC1:CE4 BE4:BE5 BM5:CB5 AW6:BE6 BM6 BU6:CB6 AW7:BM7 BU7:BU15 AW8:AW17 BE16:BU16 BE17 BM17:CB17 AW18:BE18 BM18 BU18:CB18 AW19:BM19 BU19:BU27 AW20:AW29 BE28:BU28 BE29 BM29:CB29 AW30:BE30 BM30 BU30:CB30 AW31:BM31 BU31 BE32:BU32 BE33 AW34:BE34">
    <cfRule type="cellIs" dxfId="1484" priority="1488" operator="equal">
      <formula>"י"</formula>
    </cfRule>
    <cfRule type="cellIs" dxfId="1483" priority="1490" operator="equal">
      <formula>"כמ"</formula>
    </cfRule>
    <cfRule type="cellIs" dxfId="1482" priority="1491" operator="equal">
      <formula>"ק"</formula>
    </cfRule>
    <cfRule type="cellIs" dxfId="1481" priority="1487" operator="equal">
      <formula>"ל"</formula>
    </cfRule>
    <cfRule type="cellIs" dxfId="1480" priority="1492" operator="equal">
      <formula>"מ"</formula>
    </cfRule>
    <cfRule type="cellIs" dxfId="1479" priority="1493" operator="equal">
      <formula>"מנוחה"</formula>
    </cfRule>
    <cfRule type="cellIs" dxfId="1478" priority="1494" operator="equal">
      <formula>"מיל"</formula>
    </cfRule>
    <cfRule type="cellIs" dxfId="1477" priority="1489" operator="equal">
      <formula>"כמש"</formula>
    </cfRule>
  </conditionalFormatting>
  <conditionalFormatting sqref="CC1:CE4">
    <cfRule type="cellIs" dxfId="1476" priority="1495" operator="equal">
      <formula>"ח"</formula>
    </cfRule>
    <cfRule type="cellIs" dxfId="1475" priority="1496" operator="equal">
      <formula>"כש"</formula>
    </cfRule>
    <cfRule type="cellIs" dxfId="1474" priority="1497" operator="equal">
      <formula>"כ"</formula>
    </cfRule>
  </conditionalFormatting>
  <conditionalFormatting sqref="CE5 CC5:CD34">
    <cfRule type="cellIs" dxfId="1473" priority="1418" operator="equal">
      <formula>"ל"</formula>
    </cfRule>
    <cfRule type="cellIs" dxfId="1472" priority="1420" operator="equal">
      <formula>"כמש"</formula>
    </cfRule>
    <cfRule type="cellIs" dxfId="1471" priority="1421" operator="equal">
      <formula>"כמ"</formula>
    </cfRule>
    <cfRule type="cellIs" dxfId="1470" priority="1422" operator="equal">
      <formula>"ק"</formula>
    </cfRule>
    <cfRule type="cellIs" dxfId="1469" priority="1423" operator="equal">
      <formula>"מ"</formula>
    </cfRule>
    <cfRule type="cellIs" dxfId="1468" priority="1424" operator="equal">
      <formula>"מנוחה"</formula>
    </cfRule>
    <cfRule type="cellIs" dxfId="1467" priority="1425" operator="equal">
      <formula>"מיל"</formula>
    </cfRule>
    <cfRule type="cellIs" dxfId="1466" priority="1426" operator="equal">
      <formula>"ח"</formula>
    </cfRule>
    <cfRule type="cellIs" dxfId="1465" priority="1427" operator="equal">
      <formula>"כש"</formula>
    </cfRule>
    <cfRule type="cellIs" dxfId="1464" priority="1428" operator="equal">
      <formula>"כ"</formula>
    </cfRule>
    <cfRule type="cellIs" dxfId="1463" priority="1419" operator="equal">
      <formula>"י"</formula>
    </cfRule>
  </conditionalFormatting>
  <conditionalFormatting sqref="CF5:CG34">
    <cfRule type="cellIs" dxfId="1462" priority="1887" operator="lessThan">
      <formula>4</formula>
    </cfRule>
  </conditionalFormatting>
  <hyperlinks>
    <hyperlink ref="X4:Y4" r:id="rId11" tooltip="עדכון במייל" display="עדכון במייל" xr:uid="{00000000-0004-0000-0A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A00-000000000000}">
          <x14:formula1>
            <xm:f>מיילים!$M$2:$M$40</xm:f>
          </x14:formula1>
          <xm:sqref>X3:AO3</xm:sqref>
        </x14:dataValidation>
        <x14:dataValidation type="list" allowBlank="1" showInputMessage="1" xr:uid="{00000000-0002-0000-0A00-000001000000}">
          <x14:formula1>
            <xm:f>מקרא!$B$5:$B$60</xm:f>
          </x14:formula1>
          <xm:sqref>Y24:AG24 AI18:AO18 Y21:AO23 BT32:BT34 BN32:BN34 AI24:AO25 BP32:BP34 BG33:BG34 BP26 Y19:AH20 AJ19:AO20 R14:X15 D25:AG25 BX27 BM5:BM34 BK5:BK6 BI5:BI6 BJ5 BL5 BF5 BH5 BG5:BG6 BF7:BL8 BG9:BG10 BK9:BK10 BI9:BI10 BJ9 BL9 BF9 BH9 BF11:BL12 BG13:BG14 BK13:BK14 BI13:BI14 BJ13 BL13 BF13 BH13 BF15:BL16 BG17:BG18 BK17:BK18 BI17:BI18 BJ17 BL17 BF17 BH17 BF19:BL20 BG21:BG22 BK21:BK22 BI21:BI22 BJ21 BL21 BF21 BH21 BF23:BL24 BG25:BG26 BK25:BK26 BI25:BI26 BJ25 BL25 BF25 BH25 BF27:BL28 BG29:BG30 BK29:BK30 BI29:BI30 BJ29 BL29 BF29 BH29 BF31:BL32 BK33:BK34 BI33:BI34 BJ33 BL33 BF33 BH33 BS5:BS7 BO5:BO7 BQ5:BQ7 BP14 BR6 BT6 BN6 BP6 BN8:BT9 BO10:BO11 BS10:BS11 BQ10:BQ11 BR10 BT10 BN10 BP10 BN12:BT13 BR14 BT14 BN14 BN16:BN18 BS14:BS19 BO14:BO19 BT16:BT18 BR16:BR18 BP16:BP18 BQ14:BQ19 AZ28 BN20:BT21 BO22:BO23 BS22:BS23 BQ22:BQ23 BR22 BT22 BN22 BP22 BN24:BT25 BR26 BT26 BN26 BU5:BU34 BV5:CB6 BX15 BW7:BW8 CA7:CA8 BY7:BY8 BZ7 CB7 BV7 BX7 BV9:CB10 BW11:BW12 CA11:CA12 BY11:BY12 BZ11 CB11 BV11 BX11 BV13:CB14 BW15:BW16 CA15:CA16 BY15:BY16 BZ15 CB15 BV15 BV17:CB18 BQ26:BQ34 BW19:BW20 CA19:CA20 BY19:BY20 BZ19 CB19 BV19 BX19 BV21:CB22 BW23:BW24 CA23:CA24 BY23:BY24 BZ23 CB23 BV23 BX23 BV25:CB26 BW27:BW28 CA27:CA28 BY27:BY28 BZ27 CB27 BV27 AW5:AW34 BE5:BE34 AZ32 AZ16 AY8:AY9 BC8:BC9 BA8:BA9 BB8 BD8 AX8 AZ8 AX10:BD11 AY12:AY13 BC12:BC13 BA12:BA13 BB12 BD12 AX12 AZ12 AX14:BD15 AY16:AY17 BC16:BC17 BA16:BA17 BB16 BD16 AX16 AX18:BD19 BX31 AY20:AY21 BC20:BC21 BA20:BA21 BB20 BD20 AX20 AZ20 AX22:BD23 AY24:AY25 BC24:BC25 BA24:BA25 BB24 BD24 AX24 AZ24 AX26:BD27 AY28:AY29 BC28:BC29 BA28:BA29 BB28 BD28 AX28 BS26:BS34 BN28:BN30 BO26:BO34 AY5 BT28:BT30 BR28:BR30 BP28:BP30 BV29:CB30 BV33:CB34 BW31:BW32 CA31:CA32 BY31:BY32 BZ31 CB31 BV31 AX30:BD31 AX34:BD34 AY32:AY33 BC32:BC33 BA32:BA33 BB32 BD32 AX32 AX6:BD7 BC5 BA5 BR32:BR34 AD19:AE24 D19:X24 D5:X13 D14:P15 Y5:AO17 D16:X17 D26:AO34 D18:AG18</xm:sqref>
        </x14:dataValidation>
        <x14:dataValidation type="list" allowBlank="1" showInputMessage="1" showErrorMessage="1" xr:uid="{00000000-0002-0000-0A00-000002000000}">
          <x14:formula1>
            <xm:f>מקרא!$B$5:$B$60</xm:f>
          </x14:formula1>
          <xm:sqref>BP5 BR5 BN5 BT5 BH6 BJ6 BL6 BF6 BH10 BJ10 BL10 BF10 BH14 BJ14 BL14 BF14 BH18 BJ18 BL18 BF18 BH22 BJ22 BL22 BF22 BH26 BJ26 BL26 BF26 BH30 BJ30 BL30 BF30 BH34 BJ34 BL34 BF34 BP7 BR7 BT7 BN7 BP11 BR11 BT11 BN11 BP15 BR15 BT15 BN15 BP19 BR19 BT19 BN19 BP23 BR23 BT23 BN23 BP27 BR27 BT27 BN27 BX8 BZ8 CB8 BV8 BX12 BZ12 CB12 BV12 BX16 BZ16 CB16 BV16 BX20 BZ20 CB20 BV20 BX24 BZ24 CB24 BV24 BX28 BZ28 CB28 BV28 AZ9 BB9 BD9 AX9 AZ13 BB13 BD13 AX13 AZ17 BB17 BD17 AX17 AZ21 BB21 BD21 AX21 AZ25 BB25 BD25 AX25 AZ29 BB29 BD29 AX29 BP31 BR31 BT31 BN31 BX32 BZ32 CB32 BV32 AZ33 BB33 BD33 AX33 AZ5 BB5 BD5 AX5</xm:sqref>
        </x14:dataValidation>
        <x14:dataValidation type="list" allowBlank="1" showInputMessage="1" showErrorMessage="1" xr:uid="{00000000-0002-0000-0A00-000003000000}">
          <x14:formula1>
            <xm:f>מיילים!$M$2:$M$36</xm:f>
          </x14:formula1>
          <xm:sqref>T3:U3</xm:sqref>
        </x14:dataValidation>
        <x14:dataValidation type="list" allowBlank="1" showInputMessage="1" showErrorMessage="1" xr:uid="{00000000-0002-0000-0A00-000004000000}">
          <x14:formula1>
            <xm:f>מיילים!$M$3:$M$37</xm:f>
          </x14:formula1>
          <xm:sqref>R3:S3 V3:W3</xm:sqref>
        </x14:dataValidation>
        <x14:dataValidation type="list" allowBlank="1" showInputMessage="1" showErrorMessage="1" xr:uid="{00000000-0002-0000-0A00-000005000000}">
          <x14:formula1>
            <xm:f>מיילים!$M$2:$M$31</xm:f>
          </x14:formula1>
          <xm:sqref>P3:Q3 AW3:AZ3 BS3:CA3 BE3:BO3 AD3:AE3 D3:N3</xm:sqref>
        </x14:dataValidation>
        <x14:dataValidation type="list" allowBlank="1" showInputMessage="1" showErrorMessage="1" xr:uid="{00000000-0002-0000-0A00-000006000000}">
          <x14:formula1>
            <xm:f>מיילים!$M$2:$M$38</xm:f>
          </x14:formula1>
          <xm:sqref>BQ3:BR3 BC3</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K45"/>
  <sheetViews>
    <sheetView rightToLeft="1" zoomScale="80" zoomScaleNormal="80" workbookViewId="0">
      <pane ySplit="4" topLeftCell="A5" activePane="bottomLeft" state="frozen"/>
      <selection pane="bottomLeft" activeCell="D5" sqref="D5"/>
    </sheetView>
  </sheetViews>
  <sheetFormatPr defaultRowHeight="15" customHeight="1"/>
  <cols>
    <col min="1" max="1" width="3.375" bestFit="1" customWidth="1"/>
    <col min="2" max="2" width="4.625" bestFit="1" customWidth="1"/>
    <col min="3" max="3" width="6" customWidth="1"/>
    <col min="4" max="4" width="7.625" style="1" customWidth="1"/>
    <col min="5" max="5" width="4.625" style="1" customWidth="1"/>
    <col min="6" max="6" width="7.625" style="1" customWidth="1"/>
    <col min="7" max="7" width="4.625" style="1" customWidth="1"/>
    <col min="8" max="8" width="7.625" style="1" customWidth="1"/>
    <col min="9" max="9" width="4.625" style="1" customWidth="1"/>
    <col min="10" max="10" width="7.625" style="1" customWidth="1"/>
    <col min="11" max="11" width="4.625" style="1" customWidth="1"/>
    <col min="12" max="12" width="7.625" style="1" customWidth="1"/>
    <col min="13" max="13" width="4.625" style="1" customWidth="1"/>
    <col min="14" max="14" width="7.625" style="1" customWidth="1"/>
    <col min="15" max="15" width="4.625" style="1" customWidth="1"/>
    <col min="16" max="16" width="7.625" style="1" customWidth="1"/>
    <col min="17" max="17" width="4.625" style="1" customWidth="1"/>
    <col min="18" max="18" width="7.625" style="1" customWidth="1"/>
    <col min="19" max="19" width="4.625" style="1" customWidth="1"/>
    <col min="20" max="20" width="7.625" style="1" customWidth="1"/>
    <col min="21" max="21" width="4.625" style="1" customWidth="1"/>
    <col min="22" max="22" width="7.625" style="1" customWidth="1"/>
    <col min="23" max="23" width="4.625" style="1" customWidth="1"/>
    <col min="24" max="24" width="7.625" style="1" customWidth="1"/>
    <col min="25" max="25" width="4.625" style="1" customWidth="1"/>
    <col min="26" max="26" width="7.625" style="1" customWidth="1"/>
    <col min="27" max="27" width="4.625" style="1" customWidth="1"/>
    <col min="28" max="28" width="8.625" style="1" customWidth="1"/>
    <col min="29" max="29" width="4.625" style="1" customWidth="1"/>
    <col min="30" max="30" width="8.625" style="1" customWidth="1"/>
    <col min="31" max="31" width="4.625" style="1" customWidth="1"/>
    <col min="32" max="32" width="7.625" style="1" customWidth="1"/>
    <col min="33" max="33" width="4.625" style="1" customWidth="1"/>
    <col min="34" max="34" width="7.625" style="1" customWidth="1"/>
    <col min="35" max="35" width="4.625" style="1" customWidth="1"/>
    <col min="36" max="36" width="7.625" style="1" customWidth="1"/>
    <col min="37" max="37" width="4.625" style="1" customWidth="1"/>
    <col min="38" max="38" width="7.625" style="1" customWidth="1"/>
    <col min="39" max="39" width="4.625" style="1" customWidth="1"/>
    <col min="40" max="40" width="7.625" style="1" customWidth="1"/>
    <col min="41" max="41" width="4.625" style="1" customWidth="1"/>
    <col min="42" max="43" width="11.625" style="1" customWidth="1"/>
    <col min="44" max="45" width="7.625" style="1" customWidth="1"/>
    <col min="46" max="46" width="3.625" customWidth="1"/>
    <col min="47" max="48" width="4.625" customWidth="1"/>
    <col min="49" max="49" width="6.625" customWidth="1"/>
    <col min="50" max="50" width="4.625" customWidth="1"/>
    <col min="51" max="51" width="6.625" customWidth="1"/>
    <col min="52" max="52" width="4.625" customWidth="1"/>
    <col min="53" max="53" width="6.625" customWidth="1"/>
    <col min="54" max="54" width="4.625" customWidth="1"/>
    <col min="55" max="55" width="6.625" customWidth="1"/>
    <col min="56" max="56" width="4.625" customWidth="1"/>
    <col min="57" max="57" width="6.625" customWidth="1"/>
    <col min="58" max="58" width="4.625" customWidth="1"/>
    <col min="59" max="59" width="6.625" customWidth="1"/>
    <col min="60" max="60" width="4.625" customWidth="1"/>
    <col min="61" max="61" width="6.625" customWidth="1"/>
    <col min="62" max="62" width="4.625" customWidth="1"/>
    <col min="63" max="63" width="6.625" customWidth="1"/>
    <col min="64" max="64" width="4.625" customWidth="1"/>
    <col min="65" max="65" width="6.625" customWidth="1"/>
    <col min="66" max="66" width="4.625" customWidth="1"/>
    <col min="67" max="67" width="6.625" customWidth="1"/>
    <col min="68" max="68" width="4.625" customWidth="1"/>
    <col min="69" max="69" width="6.625" customWidth="1"/>
    <col min="70" max="70" width="4.625" customWidth="1"/>
    <col min="71" max="71" width="6.625" customWidth="1"/>
    <col min="72" max="72" width="4.625" customWidth="1"/>
    <col min="73" max="73" width="6.625" customWidth="1"/>
    <col min="74" max="74" width="4.625" customWidth="1"/>
    <col min="75" max="75" width="6.625" customWidth="1"/>
    <col min="76" max="76" width="4.625" customWidth="1"/>
    <col min="77" max="77" width="6.625" customWidth="1"/>
    <col min="78" max="78" width="4.625" customWidth="1"/>
    <col min="79" max="79" width="6.625" customWidth="1"/>
    <col min="80" max="80" width="4.625" customWidth="1"/>
    <col min="81" max="81" width="3.625" customWidth="1"/>
    <col min="82" max="83" width="4.625" customWidth="1"/>
    <col min="84" max="85" width="5.625" customWidth="1"/>
    <col min="86" max="89" width="9.625" customWidth="1"/>
    <col min="90" max="91" width="5.625" customWidth="1"/>
    <col min="92" max="93" width="9.625" customWidth="1"/>
  </cols>
  <sheetData>
    <row r="1" spans="1:89" ht="15" customHeight="1" thickBot="1">
      <c r="A1" s="337" t="s">
        <v>298</v>
      </c>
      <c r="B1" s="338"/>
      <c r="C1" s="339"/>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581" t="s">
        <v>249</v>
      </c>
      <c r="AU1" s="338"/>
      <c r="AV1" s="339"/>
      <c r="AW1" s="347" t="s">
        <v>13</v>
      </c>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8"/>
      <c r="CC1" s="581" t="s">
        <v>249</v>
      </c>
      <c r="CD1" s="338"/>
      <c r="CE1" s="339"/>
      <c r="CF1" s="91"/>
      <c r="CG1" s="92"/>
      <c r="CH1" s="92"/>
      <c r="CI1" s="92"/>
      <c r="CJ1" s="92"/>
      <c r="CK1" s="92"/>
    </row>
    <row r="2" spans="1:89" ht="15" customHeight="1" thickBot="1">
      <c r="A2" s="340"/>
      <c r="B2" s="341"/>
      <c r="C2" s="342"/>
      <c r="D2" s="375"/>
      <c r="E2" s="375"/>
      <c r="F2" s="375"/>
      <c r="G2" s="375"/>
      <c r="H2" s="375"/>
      <c r="I2" s="375"/>
      <c r="J2" s="375"/>
      <c r="K2" s="375"/>
      <c r="L2" s="375"/>
      <c r="M2" s="375"/>
      <c r="N2" s="375"/>
      <c r="O2" s="375"/>
      <c r="P2" s="375"/>
      <c r="Q2" s="375"/>
      <c r="R2" s="375"/>
      <c r="S2" s="375"/>
      <c r="T2" s="375"/>
      <c r="U2" s="375"/>
      <c r="V2" s="375"/>
      <c r="W2" s="376"/>
      <c r="X2" s="377" t="s">
        <v>141</v>
      </c>
      <c r="Y2" s="376"/>
      <c r="Z2" s="378" t="s">
        <v>35</v>
      </c>
      <c r="AA2" s="379"/>
      <c r="AB2" s="130" t="s">
        <v>221</v>
      </c>
      <c r="AC2" s="131"/>
      <c r="AD2" s="244"/>
      <c r="AE2" s="244"/>
      <c r="AF2" s="380" t="s">
        <v>142</v>
      </c>
      <c r="AG2" s="381"/>
      <c r="AH2" s="380" t="s">
        <v>125</v>
      </c>
      <c r="AI2" s="382"/>
      <c r="AJ2" s="382"/>
      <c r="AK2" s="382"/>
      <c r="AL2" s="382"/>
      <c r="AM2" s="382"/>
      <c r="AN2" s="382"/>
      <c r="AO2" s="381"/>
      <c r="AP2" s="408" t="s">
        <v>12</v>
      </c>
      <c r="AQ2" s="409"/>
      <c r="AR2" s="416" t="s">
        <v>14</v>
      </c>
      <c r="AS2" s="416"/>
      <c r="AT2" s="340"/>
      <c r="AU2" s="341"/>
      <c r="AV2" s="342"/>
      <c r="AW2" s="385" t="s">
        <v>16</v>
      </c>
      <c r="AX2" s="415"/>
      <c r="AY2" s="415"/>
      <c r="AZ2" s="415"/>
      <c r="BA2" s="415"/>
      <c r="BB2" s="415"/>
      <c r="BC2" s="415"/>
      <c r="BD2" s="415"/>
      <c r="BE2" s="398" t="s">
        <v>17</v>
      </c>
      <c r="BF2" s="399"/>
      <c r="BG2" s="399"/>
      <c r="BH2" s="399"/>
      <c r="BI2" s="399"/>
      <c r="BJ2" s="399"/>
      <c r="BK2" s="399"/>
      <c r="BL2" s="401"/>
      <c r="BM2" s="418" t="s">
        <v>18</v>
      </c>
      <c r="BN2" s="419"/>
      <c r="BO2" s="419"/>
      <c r="BP2" s="419"/>
      <c r="BQ2" s="419"/>
      <c r="BR2" s="419"/>
      <c r="BS2" s="419"/>
      <c r="BT2" s="420"/>
      <c r="BU2" s="393" t="s">
        <v>19</v>
      </c>
      <c r="BV2" s="394"/>
      <c r="BW2" s="394"/>
      <c r="BX2" s="394"/>
      <c r="BY2" s="394"/>
      <c r="BZ2" s="394"/>
      <c r="CA2" s="394"/>
      <c r="CB2" s="397"/>
      <c r="CC2" s="340"/>
      <c r="CD2" s="341"/>
      <c r="CE2" s="342"/>
      <c r="CF2" s="402" t="s">
        <v>223</v>
      </c>
      <c r="CG2" s="403"/>
      <c r="CH2" s="402" t="s">
        <v>126</v>
      </c>
      <c r="CI2" s="406"/>
      <c r="CJ2" s="408" t="s">
        <v>12</v>
      </c>
      <c r="CK2" s="409"/>
    </row>
    <row r="3" spans="1:89" ht="15" customHeight="1" thickBot="1">
      <c r="A3" s="340"/>
      <c r="B3" s="341"/>
      <c r="C3" s="342"/>
      <c r="D3" s="385" t="s">
        <v>4</v>
      </c>
      <c r="E3" s="415"/>
      <c r="F3" s="385" t="s">
        <v>5</v>
      </c>
      <c r="G3" s="415"/>
      <c r="H3" s="385" t="s">
        <v>6</v>
      </c>
      <c r="I3" s="415"/>
      <c r="J3" s="385" t="s">
        <v>7</v>
      </c>
      <c r="K3" s="415"/>
      <c r="L3" s="385" t="s">
        <v>8</v>
      </c>
      <c r="M3" s="354"/>
      <c r="N3" s="385" t="s">
        <v>2</v>
      </c>
      <c r="O3" s="354"/>
      <c r="P3" s="385" t="s">
        <v>9</v>
      </c>
      <c r="Q3" s="354"/>
      <c r="R3" s="386" t="s">
        <v>234</v>
      </c>
      <c r="S3" s="387"/>
      <c r="T3" s="385" t="s">
        <v>233</v>
      </c>
      <c r="U3" s="354"/>
      <c r="V3" s="385" t="s">
        <v>232</v>
      </c>
      <c r="W3" s="354"/>
      <c r="X3" s="388" t="s">
        <v>174</v>
      </c>
      <c r="Y3" s="389"/>
      <c r="Z3" s="390" t="s">
        <v>29</v>
      </c>
      <c r="AA3" s="391"/>
      <c r="AB3" s="414" t="s">
        <v>176</v>
      </c>
      <c r="AC3" s="391"/>
      <c r="AD3" s="414" t="s">
        <v>3</v>
      </c>
      <c r="AE3" s="391"/>
      <c r="AF3" s="383" t="s">
        <v>1</v>
      </c>
      <c r="AG3" s="384"/>
      <c r="AH3" s="383" t="s">
        <v>10</v>
      </c>
      <c r="AI3" s="384"/>
      <c r="AJ3" s="383" t="s">
        <v>11</v>
      </c>
      <c r="AK3" s="384"/>
      <c r="AL3" s="383" t="s">
        <v>231</v>
      </c>
      <c r="AM3" s="384"/>
      <c r="AN3" s="383" t="s">
        <v>225</v>
      </c>
      <c r="AO3" s="384"/>
      <c r="AP3" s="410"/>
      <c r="AQ3" s="411"/>
      <c r="AR3" s="417"/>
      <c r="AS3" s="417"/>
      <c r="AT3" s="340"/>
      <c r="AU3" s="341"/>
      <c r="AV3" s="342"/>
      <c r="AW3" s="385" t="s">
        <v>20</v>
      </c>
      <c r="AX3" s="415"/>
      <c r="AY3" s="421" t="s">
        <v>22</v>
      </c>
      <c r="AZ3" s="421"/>
      <c r="BA3" s="422" t="s">
        <v>32</v>
      </c>
      <c r="BB3" s="423"/>
      <c r="BC3" s="415" t="s">
        <v>134</v>
      </c>
      <c r="BD3" s="354"/>
      <c r="BE3" s="398" t="s">
        <v>143</v>
      </c>
      <c r="BF3" s="399"/>
      <c r="BG3" s="400" t="s">
        <v>24</v>
      </c>
      <c r="BH3" s="400"/>
      <c r="BI3" s="400" t="s">
        <v>25</v>
      </c>
      <c r="BJ3" s="400"/>
      <c r="BK3" s="399" t="s">
        <v>26</v>
      </c>
      <c r="BL3" s="401"/>
      <c r="BM3" s="553" t="s">
        <v>27</v>
      </c>
      <c r="BN3" s="535"/>
      <c r="BO3" s="533" t="s">
        <v>21</v>
      </c>
      <c r="BP3" s="534"/>
      <c r="BQ3" s="533" t="s">
        <v>23</v>
      </c>
      <c r="BR3" s="534"/>
      <c r="BS3" s="535" t="s">
        <v>28</v>
      </c>
      <c r="BT3" s="536"/>
      <c r="BU3" s="393"/>
      <c r="BV3" s="394"/>
      <c r="BW3" s="395" t="s">
        <v>30</v>
      </c>
      <c r="BX3" s="395"/>
      <c r="BY3" s="395" t="s">
        <v>31</v>
      </c>
      <c r="BZ3" s="395"/>
      <c r="CA3" s="396" t="s">
        <v>227</v>
      </c>
      <c r="CB3" s="397"/>
      <c r="CC3" s="340"/>
      <c r="CD3" s="341"/>
      <c r="CE3" s="342"/>
      <c r="CF3" s="404"/>
      <c r="CG3" s="405"/>
      <c r="CH3" s="404"/>
      <c r="CI3" s="407"/>
      <c r="CJ3" s="410"/>
      <c r="CK3" s="411"/>
    </row>
    <row r="4" spans="1:89" ht="15" customHeight="1" thickBot="1">
      <c r="A4" s="343"/>
      <c r="B4" s="344"/>
      <c r="C4" s="342"/>
      <c r="D4" s="353" t="str">
        <f>HYPERLINK("maiLto:" &amp; מיילים!B9 &amp; "?subject=" &amp; מיילים!G$3 &amp; "&amp;body=" &amp; מיילים!H$3,"עדכון במייל")</f>
        <v>עדכון במייל</v>
      </c>
      <c r="E4" s="355"/>
      <c r="F4" s="353" t="str">
        <f>HYPERLINK("maiLto:" &amp; מיילים!B10 &amp; "?subject=" &amp; מיילים!G$3 &amp; "&amp;body=" &amp; מיילים!H$3,"עדכון במייל")</f>
        <v>עדכון במייל</v>
      </c>
      <c r="G4" s="355"/>
      <c r="H4" s="353" t="str">
        <f>HYPERLINK("maiLto:" &amp; מיילים!B11 &amp; "?subject=" &amp; מיילים!G$3 &amp; "&amp;body=" &amp; מיילים!H$3,"עדכון במייל")</f>
        <v>עדכון במייל</v>
      </c>
      <c r="I4" s="355"/>
      <c r="J4" s="353" t="str">
        <f>HYPERLINK("maiLto:" &amp; מיילים!B12 &amp; "?subject=" &amp; מיילים!G$3 &amp; "&amp;body=" &amp; מיילים!H$3,"עדכון במייל")</f>
        <v>עדכון במייל</v>
      </c>
      <c r="K4" s="355"/>
      <c r="L4" s="357" t="str">
        <f>HYPERLINK("maiLto:" &amp; מיילים!B13 &amp; "?subject=" &amp; מיילים!G$3 &amp; "&amp;body=" &amp; מיילים!H$3,"עדכון במייל")</f>
        <v>עדכון במייל</v>
      </c>
      <c r="M4" s="358"/>
      <c r="N4" s="353" t="str">
        <f>HYPERLINK("maiLto:" &amp; מיילים!B6 &amp; "?subject=" &amp; מיילים!G$3 &amp; "&amp;body=" &amp; מיילים!H$3,"עדכון במייל")</f>
        <v>עדכון במייל</v>
      </c>
      <c r="O4" s="354"/>
      <c r="P4" s="353" t="str">
        <f>HYPERLINK("maiLto:" &amp; מיילים!B14 &amp; "?subject=" &amp; מיילים!G$3 &amp; "&amp;body=" &amp; מיילים!H$3,"עדכון במייל")</f>
        <v>עדכון במייל</v>
      </c>
      <c r="Q4" s="355"/>
      <c r="R4" s="353" t="str">
        <f>HYPERLINK("maiLto:" &amp; מיילים!B34 &amp; "?subject=" &amp; מיילים!G$3 &amp; "&amp;body=" &amp; מיילים!H$3,"עדכון במייל")</f>
        <v>עדכון במייל</v>
      </c>
      <c r="S4" s="355"/>
      <c r="T4" s="353" t="str">
        <f>HYPERLINK("maiLto:" &amp; מיילים!B36 &amp; "?subject=" &amp; מיילים!G$3 &amp; "&amp;body=" &amp; מיילים!H$3,"עדכון במייל")</f>
        <v>עדכון במייל</v>
      </c>
      <c r="U4" s="356"/>
      <c r="V4" s="353" t="str">
        <f>HYPERLINK("maiLto:" &amp; מיילים!B35 &amp; "?subject=" &amp; מיילים!G$3 &amp; "&amp;body=" &amp; מיילים!H$3,"עדכון במייל")</f>
        <v>עדכון במייל</v>
      </c>
      <c r="W4" s="356"/>
      <c r="X4" s="357" t="str">
        <f>HYPERLINK("maiLto:" &amp; מיילים!B16 &amp; "?subject=" &amp; מיילים!G$3 &amp; "&amp;body=" &amp; מיילים!H$3,"עדכון במייל")</f>
        <v>עדכון במייל</v>
      </c>
      <c r="Y4" s="358"/>
      <c r="Z4" s="364"/>
      <c r="AA4" s="365"/>
      <c r="AB4" s="364" t="str">
        <f>HYPERLINK("maiLto:" &amp; מיילים!B7 &amp; "?subject=" &amp; מיילים!G$3 &amp; "&amp;body=" &amp; מיילים!H$3,"עדכון במייל")</f>
        <v>עדכון במייל</v>
      </c>
      <c r="AC4" s="365"/>
      <c r="AD4" s="364" t="str">
        <f>HYPERLINK("maiLto:" &amp; מיילים!B8 &amp; "?subject=" &amp; מיילים!G$3 &amp; "&amp;body=" &amp; מיילים!H$3,"עדכון במייל")</f>
        <v>עדכון במייל</v>
      </c>
      <c r="AE4" s="365"/>
      <c r="AF4" s="424" t="str">
        <f>HYPERLINK("maiLto:" &amp; מיילים!B5 &amp; "?subject=" &amp; מיילים!G$3 &amp; "&amp;body=" &amp; מיילים!H$3,"עדכון במייל")</f>
        <v>עדכון במייל</v>
      </c>
      <c r="AG4" s="384"/>
      <c r="AH4" s="429" t="str">
        <f>HYPERLINK("maiLto:" &amp; מיילים!B15 &amp; "?subject=" &amp; מיילים!G$3 &amp; "&amp;body=" &amp; מיילים!H$3,"עדכון במייל")</f>
        <v>עדכון במייל</v>
      </c>
      <c r="AI4" s="430"/>
      <c r="AJ4" s="429" t="str">
        <f>HYPERLINK("maiLto:" &amp; מיילים!B17 &amp; "?subject=" &amp; מיילים!G$3 &amp; "&amp;body=" &amp; מיילים!H$3,"עדכון במייל")</f>
        <v>עדכון במייל</v>
      </c>
      <c r="AK4" s="430"/>
      <c r="AL4" s="424" t="str">
        <f>HYPERLINK("maiLto:" &amp; מיילים!B37 &amp; "?subject=" &amp; מיילים!G$3 &amp; "&amp;body=" &amp; מיילים!H$3,"עדכון במייל")</f>
        <v>עדכון במייל</v>
      </c>
      <c r="AM4" s="425"/>
      <c r="AN4" s="424" t="str">
        <f>HYPERLINK("maiLto:" &amp; מיילים!B38 &amp; "?subject=" &amp; מיילים!G$3 &amp; "&amp;body=" &amp; מיילים!H$3,"עדכון במייל")</f>
        <v>עדכון במייל</v>
      </c>
      <c r="AO4" s="425"/>
      <c r="AP4" s="412"/>
      <c r="AQ4" s="413"/>
      <c r="AR4" s="32" t="s">
        <v>15</v>
      </c>
      <c r="AS4" s="90" t="s">
        <v>139</v>
      </c>
      <c r="AT4" s="343"/>
      <c r="AU4" s="344"/>
      <c r="AV4" s="342"/>
      <c r="AW4" s="353" t="str">
        <f>HYPERLINK("maiLto:" &amp; מיילים!B18 &amp; "?subject=" &amp; מיילים!G$3 &amp; "&amp;body=" &amp; מיילים!H$3,"עדכון במייל")</f>
        <v>עדכון במייל</v>
      </c>
      <c r="AX4" s="361"/>
      <c r="AY4" s="426" t="str">
        <f>HYPERLINK("maiLto:" &amp; מיילים!B20 &amp; "?subject=" &amp; מיילים!G$3 &amp; "&amp;body=" &amp; מיילים!H$3,"עדכון במייל")</f>
        <v>עדכון במייל</v>
      </c>
      <c r="AZ4" s="427"/>
      <c r="BA4" s="359" t="str">
        <f>HYPERLINK("maiLto:" &amp; מיילים!B31 &amp; "?subject=" &amp; מיילים!G$3 &amp; "&amp;body=" &amp; מיילים!H$3,"עדכון במייל")</f>
        <v>עדכון במייל</v>
      </c>
      <c r="BB4" s="360"/>
      <c r="BC4" s="361" t="str">
        <f>HYPERLINK("maiLto:" &amp; מיילים!B32 &amp; "?subject=" &amp; מיילים!G$3 &amp; "&amp;body=" &amp; מיילים!H$3,"עדכון במייל")</f>
        <v>עדכון במייל</v>
      </c>
      <c r="BD4" s="355"/>
      <c r="BE4" s="362" t="str">
        <f>HYPERLINK("maiLto:" &amp; מיילים!B22 &amp; "?subject=" &amp; מיילים!G$3 &amp; "&amp;body=" &amp; מיילים!H$3,"עדכון במייל")</f>
        <v>עדכון במייל</v>
      </c>
      <c r="BF4" s="363"/>
      <c r="BG4" s="442" t="str">
        <f>HYPERLINK("maiLto:" &amp; מיילים!B23 &amp; "?subject=" &amp; מיילים!G$3 &amp; "&amp;body=" &amp; מיילים!H$3,"עדכון במייל")</f>
        <v>עדכון במייל</v>
      </c>
      <c r="BH4" s="363"/>
      <c r="BI4" s="522" t="str">
        <f>HYPERLINK("maiLto:" &amp; מיילים!B24 &amp; "?subject=" &amp; מיילים!G$3 &amp; "&amp;body=" &amp; מיילים!H$3,"עדכון במייל")</f>
        <v>עדכון במייל</v>
      </c>
      <c r="BJ4" s="363"/>
      <c r="BK4" s="444" t="str">
        <f>HYPERLINK("maiLto:" &amp; מיילים!B25 &amp; "?subject=" &amp; מיילים!G$3 &amp; "&amp;body=" &amp; מיילים!H$3,"עדכון במייל")</f>
        <v>עדכון במייל</v>
      </c>
      <c r="BL4" s="445"/>
      <c r="BM4" s="538" t="str">
        <f>HYPERLINK("maiLto:" &amp; מיילים!B26 &amp; "?subject=" &amp; מיילים!G$3 &amp; "&amp;body=" &amp; מיילים!H$3,"עדכון במייל")</f>
        <v>עדכון במייל</v>
      </c>
      <c r="BN4" s="539"/>
      <c r="BO4" s="540" t="str">
        <f>HYPERLINK("maiLto:" &amp; מיילים!R19 &amp; "?subject=" &amp; מיילים!W$3 &amp; "&amp;body=" &amp; מיילים!X$3,"עדכון במייל")</f>
        <v>עדכון במייל</v>
      </c>
      <c r="BP4" s="539"/>
      <c r="BQ4" s="540" t="str">
        <f>HYPERLINK("maiLto:" &amp; מיילים!P21 &amp; "?subject=" &amp; מיילים!U$3 &amp; "&amp;body=" &amp; מיילים!V$3,"עדכון במייל")</f>
        <v>עדכון במייל</v>
      </c>
      <c r="BR4" s="539"/>
      <c r="BS4" s="554" t="str">
        <f>HYPERLINK("maiLto:" &amp; מיילים!B27 &amp; "?subject=" &amp; מיילים!G$3 &amp; "&amp;body=" &amp; מיילים!H$3,"עדכון במייל")</f>
        <v>עדכון במייל</v>
      </c>
      <c r="BT4" s="555"/>
      <c r="BU4" s="433" t="str">
        <f>HYPERLINK("maiLto:" &amp; מיילים!B28 &amp; "?subject=" &amp; מיילים!G$3 &amp; "&amp;body=" &amp; מיילים!H$3,"עדכון במייל")</f>
        <v>עדכון במייל</v>
      </c>
      <c r="BV4" s="434"/>
      <c r="BW4" s="435" t="str">
        <f>HYPERLINK("maiLto:" &amp; מיילים!B29 &amp; "?subject=" &amp; מיילים!G$3 &amp; "&amp;body=" &amp; מיילים!H$3,"עדכון במייל")</f>
        <v>עדכון במייל</v>
      </c>
      <c r="BX4" s="434"/>
      <c r="BY4" s="435" t="str">
        <f>HYPERLINK("maiLto:" &amp; מיילים!B30 &amp; "?subject=" &amp; מיילים!G$3 &amp; "&amp;body=" &amp; מיילים!H$3,"עדכון במייל")</f>
        <v>עדכון במייל</v>
      </c>
      <c r="BZ4" s="434"/>
      <c r="CA4" s="436" t="str">
        <f>HYPERLINK("maiLto:" &amp; מיילים!P33 &amp; "?subject=" &amp; מיילים!U$3 &amp; "&amp;body=" &amp; מיילים!V$3,"עדכון במייל")</f>
        <v>עדכון במייל</v>
      </c>
      <c r="CB4" s="437"/>
      <c r="CC4" s="343"/>
      <c r="CD4" s="344"/>
      <c r="CE4" s="342"/>
      <c r="CF4" s="24" t="s">
        <v>38</v>
      </c>
      <c r="CG4" s="23" t="s">
        <v>39</v>
      </c>
      <c r="CH4" s="95" t="s">
        <v>36</v>
      </c>
      <c r="CI4" s="95" t="s">
        <v>37</v>
      </c>
      <c r="CJ4" s="412"/>
      <c r="CK4" s="413"/>
    </row>
    <row r="5" spans="1:89" ht="15" customHeight="1">
      <c r="A5" s="142">
        <v>1</v>
      </c>
      <c r="B5" s="151" t="s">
        <v>127</v>
      </c>
      <c r="C5" s="506">
        <v>48</v>
      </c>
      <c r="D5" s="84"/>
      <c r="E5" s="80"/>
      <c r="F5" s="84"/>
      <c r="G5" s="80"/>
      <c r="H5" s="133"/>
      <c r="I5" s="80"/>
      <c r="J5" s="84"/>
      <c r="K5" s="80"/>
      <c r="L5" s="133"/>
      <c r="M5" s="80"/>
      <c r="N5" s="84"/>
      <c r="O5" s="87"/>
      <c r="P5" s="84"/>
      <c r="Q5" s="80"/>
      <c r="R5" s="133"/>
      <c r="S5" s="80"/>
      <c r="T5" s="133"/>
      <c r="U5" s="80"/>
      <c r="V5" s="133"/>
      <c r="W5" s="80"/>
      <c r="X5" s="300" t="s">
        <v>147</v>
      </c>
      <c r="Y5" s="80"/>
      <c r="Z5" s="84"/>
      <c r="AA5" s="80"/>
      <c r="AB5" s="84"/>
      <c r="AC5" s="80"/>
      <c r="AD5" s="97"/>
      <c r="AE5" s="80"/>
      <c r="AF5" s="84"/>
      <c r="AG5" s="80"/>
      <c r="AH5" s="84"/>
      <c r="AI5" s="80"/>
      <c r="AJ5" s="84"/>
      <c r="AK5" s="80"/>
      <c r="AL5" s="84"/>
      <c r="AM5" s="80"/>
      <c r="AN5" s="84"/>
      <c r="AO5" s="80"/>
      <c r="AP5" s="509"/>
      <c r="AQ5" s="510"/>
      <c r="AR5" s="33"/>
      <c r="AS5" s="34"/>
      <c r="AT5" s="142">
        <v>1</v>
      </c>
      <c r="AU5" s="151" t="s">
        <v>127</v>
      </c>
      <c r="AV5" s="506">
        <v>49</v>
      </c>
      <c r="AW5" s="84"/>
      <c r="AX5" s="67"/>
      <c r="AY5" s="69"/>
      <c r="AZ5" s="67"/>
      <c r="BA5" s="69"/>
      <c r="BB5" s="69"/>
      <c r="BC5" s="87"/>
      <c r="BD5" s="67"/>
      <c r="BE5" s="84"/>
      <c r="BF5" s="67"/>
      <c r="BG5" s="69"/>
      <c r="BH5" s="67"/>
      <c r="BI5" s="69"/>
      <c r="BJ5" s="69"/>
      <c r="BK5" s="87"/>
      <c r="BL5" s="67"/>
      <c r="BM5" s="37"/>
      <c r="BN5" s="74" t="s">
        <v>34</v>
      </c>
      <c r="BO5" s="69"/>
      <c r="BP5" s="74" t="s">
        <v>34</v>
      </c>
      <c r="BQ5" s="69"/>
      <c r="BR5" s="74" t="s">
        <v>34</v>
      </c>
      <c r="BS5" s="97"/>
      <c r="BT5" s="74" t="s">
        <v>34</v>
      </c>
      <c r="BU5" s="96"/>
      <c r="BV5" s="67"/>
      <c r="BW5" s="69"/>
      <c r="BX5" s="67" t="s">
        <v>33</v>
      </c>
      <c r="BY5" s="69"/>
      <c r="BZ5" s="72" t="s">
        <v>33</v>
      </c>
      <c r="CA5" s="97"/>
      <c r="CB5" s="67" t="s">
        <v>33</v>
      </c>
      <c r="CC5" s="142">
        <v>1</v>
      </c>
      <c r="CD5" s="151" t="s">
        <v>127</v>
      </c>
      <c r="CE5" s="506">
        <v>48</v>
      </c>
      <c r="CF5" s="60">
        <f t="shared" ref="CF5:CF35" si="0">COUNTIF(AX5:CB5,"י")+COUNTIF(AX5:CB5,"Y")+COUNTIF(AX5:CB5,"2")</f>
        <v>3</v>
      </c>
      <c r="CG5" s="76">
        <f t="shared" ref="CG5:CG35" si="1">COUNTIF(AW5:CB5,"ל")+COUNTIF(AW5:CB5,"L")+COUNTIF(AW5:CB5,"ל2")</f>
        <v>4</v>
      </c>
      <c r="CH5" s="93"/>
      <c r="CI5" s="94"/>
      <c r="CJ5" s="449"/>
      <c r="CK5" s="450"/>
    </row>
    <row r="6" spans="1:89" ht="15" customHeight="1">
      <c r="A6" s="142">
        <v>2</v>
      </c>
      <c r="B6" s="151" t="s">
        <v>128</v>
      </c>
      <c r="C6" s="507"/>
      <c r="D6" s="14"/>
      <c r="E6" s="65"/>
      <c r="F6" s="14"/>
      <c r="G6" s="65"/>
      <c r="H6" s="14"/>
      <c r="I6" s="65"/>
      <c r="J6" s="14"/>
      <c r="K6" s="65"/>
      <c r="L6" s="14"/>
      <c r="M6" s="65"/>
      <c r="N6" s="14"/>
      <c r="O6" s="58"/>
      <c r="P6" s="14"/>
      <c r="Q6" s="65"/>
      <c r="R6" s="15"/>
      <c r="S6" s="65"/>
      <c r="T6" s="15"/>
      <c r="U6" s="65"/>
      <c r="V6" s="15"/>
      <c r="W6" s="65"/>
      <c r="X6" s="15"/>
      <c r="Y6" s="65"/>
      <c r="Z6" s="14"/>
      <c r="AA6" s="65"/>
      <c r="AB6" s="14"/>
      <c r="AC6" s="65"/>
      <c r="AD6" s="15"/>
      <c r="AE6" s="65"/>
      <c r="AF6" s="14"/>
      <c r="AG6" s="65"/>
      <c r="AH6" s="14"/>
      <c r="AI6" s="65"/>
      <c r="AJ6" s="14"/>
      <c r="AK6" s="65"/>
      <c r="AL6" s="14"/>
      <c r="AM6" s="65"/>
      <c r="AN6" s="14"/>
      <c r="AO6" s="65"/>
      <c r="AP6" s="509"/>
      <c r="AQ6" s="510"/>
      <c r="AR6" s="33"/>
      <c r="AS6" s="34"/>
      <c r="AT6" s="142">
        <v>2</v>
      </c>
      <c r="AU6" s="151" t="s">
        <v>128</v>
      </c>
      <c r="AV6" s="507"/>
      <c r="AW6" s="14"/>
      <c r="AX6" s="67" t="s">
        <v>33</v>
      </c>
      <c r="AY6" s="69"/>
      <c r="AZ6" s="67" t="s">
        <v>33</v>
      </c>
      <c r="BA6" s="69"/>
      <c r="BB6" s="72" t="s">
        <v>33</v>
      </c>
      <c r="BC6" s="97"/>
      <c r="BD6" s="67" t="s">
        <v>33</v>
      </c>
      <c r="BE6" s="14"/>
      <c r="BF6" s="70"/>
      <c r="BG6" s="72"/>
      <c r="BH6" s="70"/>
      <c r="BI6" s="72"/>
      <c r="BJ6" s="72"/>
      <c r="BK6" s="58"/>
      <c r="BL6" s="70"/>
      <c r="BM6" s="37"/>
      <c r="BN6" s="70"/>
      <c r="BO6" s="72"/>
      <c r="BP6" s="70"/>
      <c r="BQ6" s="72"/>
      <c r="BR6" s="72"/>
      <c r="BS6" s="15"/>
      <c r="BT6" s="70"/>
      <c r="BU6" s="96"/>
      <c r="BV6" s="74"/>
      <c r="BW6" s="69"/>
      <c r="BX6" s="74" t="s">
        <v>34</v>
      </c>
      <c r="BY6" s="69"/>
      <c r="BZ6" s="74" t="s">
        <v>34</v>
      </c>
      <c r="CA6" s="97"/>
      <c r="CB6" s="74" t="s">
        <v>34</v>
      </c>
      <c r="CC6" s="142">
        <v>2</v>
      </c>
      <c r="CD6" s="151" t="s">
        <v>128</v>
      </c>
      <c r="CE6" s="507"/>
      <c r="CF6" s="60">
        <f t="shared" si="0"/>
        <v>4</v>
      </c>
      <c r="CG6" s="76">
        <f t="shared" si="1"/>
        <v>3</v>
      </c>
      <c r="CH6" s="27"/>
      <c r="CI6" s="28"/>
      <c r="CJ6" s="449"/>
      <c r="CK6" s="450"/>
    </row>
    <row r="7" spans="1:89" ht="15" customHeight="1">
      <c r="A7" s="142">
        <v>3</v>
      </c>
      <c r="B7" s="151" t="s">
        <v>129</v>
      </c>
      <c r="C7" s="507"/>
      <c r="D7" s="14"/>
      <c r="E7" s="65"/>
      <c r="F7" s="14"/>
      <c r="G7" s="65"/>
      <c r="H7" s="112"/>
      <c r="I7" s="65"/>
      <c r="J7" s="14"/>
      <c r="K7" s="65"/>
      <c r="L7" s="112"/>
      <c r="M7" s="65"/>
      <c r="N7" s="14"/>
      <c r="O7" s="58"/>
      <c r="P7" s="14"/>
      <c r="Q7" s="65"/>
      <c r="R7" s="112"/>
      <c r="S7" s="65"/>
      <c r="T7" s="112"/>
      <c r="U7" s="65"/>
      <c r="V7" s="112"/>
      <c r="W7" s="65"/>
      <c r="X7" s="15"/>
      <c r="Y7" s="65"/>
      <c r="Z7" s="14"/>
      <c r="AA7" s="65"/>
      <c r="AB7" s="14"/>
      <c r="AC7" s="65"/>
      <c r="AD7" s="15"/>
      <c r="AE7" s="65"/>
      <c r="AF7" s="14"/>
      <c r="AG7" s="65"/>
      <c r="AH7" s="14"/>
      <c r="AI7" s="65"/>
      <c r="AJ7" s="14"/>
      <c r="AK7" s="65"/>
      <c r="AL7" s="14"/>
      <c r="AM7" s="65"/>
      <c r="AN7" s="14"/>
      <c r="AO7" s="65"/>
      <c r="AP7" s="509"/>
      <c r="AQ7" s="510"/>
      <c r="AR7" s="33"/>
      <c r="AS7" s="34"/>
      <c r="AT7" s="142">
        <v>3</v>
      </c>
      <c r="AU7" s="151" t="s">
        <v>129</v>
      </c>
      <c r="AV7" s="507"/>
      <c r="AW7" s="14"/>
      <c r="AX7" s="74" t="s">
        <v>34</v>
      </c>
      <c r="AY7" s="69"/>
      <c r="AZ7" s="74" t="s">
        <v>34</v>
      </c>
      <c r="BA7" s="69"/>
      <c r="BB7" s="74" t="s">
        <v>34</v>
      </c>
      <c r="BC7" s="97"/>
      <c r="BD7" s="74" t="s">
        <v>34</v>
      </c>
      <c r="BE7" s="14"/>
      <c r="BF7" s="67" t="s">
        <v>33</v>
      </c>
      <c r="BG7" s="69"/>
      <c r="BH7" s="67" t="s">
        <v>33</v>
      </c>
      <c r="BI7" s="69"/>
      <c r="BJ7" s="72" t="s">
        <v>33</v>
      </c>
      <c r="BK7" s="97"/>
      <c r="BL7" s="67" t="s">
        <v>33</v>
      </c>
      <c r="BM7" s="37"/>
      <c r="BN7" s="70"/>
      <c r="BO7" s="72"/>
      <c r="BP7" s="70"/>
      <c r="BQ7" s="72"/>
      <c r="BR7" s="72"/>
      <c r="BS7" s="15"/>
      <c r="BT7" s="70"/>
      <c r="BU7" s="96"/>
      <c r="BV7" s="67"/>
      <c r="BW7" s="69"/>
      <c r="BX7" s="67"/>
      <c r="BY7" s="69"/>
      <c r="BZ7" s="69"/>
      <c r="CA7" s="97"/>
      <c r="CB7" s="67"/>
      <c r="CC7" s="142">
        <v>3</v>
      </c>
      <c r="CD7" s="151" t="s">
        <v>129</v>
      </c>
      <c r="CE7" s="507"/>
      <c r="CF7" s="60">
        <f t="shared" si="0"/>
        <v>4</v>
      </c>
      <c r="CG7" s="76">
        <f t="shared" si="1"/>
        <v>4</v>
      </c>
      <c r="CH7" s="27"/>
      <c r="CI7" s="28"/>
      <c r="CJ7" s="449"/>
      <c r="CK7" s="450"/>
    </row>
    <row r="8" spans="1:89" ht="15" customHeight="1">
      <c r="A8" s="22">
        <v>4</v>
      </c>
      <c r="B8" s="13" t="s">
        <v>130</v>
      </c>
      <c r="C8" s="507"/>
      <c r="D8" s="16"/>
      <c r="E8" s="17"/>
      <c r="F8" s="16"/>
      <c r="G8" s="17"/>
      <c r="H8" s="16"/>
      <c r="I8" s="17"/>
      <c r="J8" s="16"/>
      <c r="K8" s="17"/>
      <c r="L8" s="16"/>
      <c r="M8" s="17"/>
      <c r="N8" s="16"/>
      <c r="O8" s="59"/>
      <c r="P8" s="16"/>
      <c r="Q8" s="17"/>
      <c r="R8" s="18"/>
      <c r="S8" s="17"/>
      <c r="T8" s="18"/>
      <c r="U8" s="17"/>
      <c r="V8" s="18"/>
      <c r="W8" s="17"/>
      <c r="X8" s="18"/>
      <c r="Y8" s="17"/>
      <c r="Z8" s="16"/>
      <c r="AA8" s="17"/>
      <c r="AB8" s="16"/>
      <c r="AC8" s="17"/>
      <c r="AD8" s="18"/>
      <c r="AE8" s="17"/>
      <c r="AF8" s="16"/>
      <c r="AG8" s="17"/>
      <c r="AH8" s="16"/>
      <c r="AI8" s="17"/>
      <c r="AJ8" s="16"/>
      <c r="AK8" s="17"/>
      <c r="AL8" s="16"/>
      <c r="AM8" s="17"/>
      <c r="AN8" s="16"/>
      <c r="AO8" s="17"/>
      <c r="AP8" s="525" t="s">
        <v>266</v>
      </c>
      <c r="AQ8" s="526"/>
      <c r="AR8" s="104"/>
      <c r="AS8" s="105"/>
      <c r="AT8" s="22">
        <v>4</v>
      </c>
      <c r="AU8" s="13" t="s">
        <v>130</v>
      </c>
      <c r="AV8" s="507"/>
      <c r="AW8" s="16"/>
      <c r="AX8" s="71"/>
      <c r="AY8" s="73"/>
      <c r="AZ8" s="71"/>
      <c r="BA8" s="73"/>
      <c r="BB8" s="73"/>
      <c r="BC8" s="59"/>
      <c r="BD8" s="71"/>
      <c r="BE8" s="16"/>
      <c r="BF8" s="75" t="s">
        <v>34</v>
      </c>
      <c r="BG8" s="68"/>
      <c r="BH8" s="75" t="s">
        <v>34</v>
      </c>
      <c r="BI8" s="68"/>
      <c r="BJ8" s="75" t="s">
        <v>34</v>
      </c>
      <c r="BK8" s="83"/>
      <c r="BL8" s="75" t="s">
        <v>34</v>
      </c>
      <c r="BM8" s="38"/>
      <c r="BN8" s="66" t="s">
        <v>33</v>
      </c>
      <c r="BO8" s="68"/>
      <c r="BP8" s="66" t="s">
        <v>33</v>
      </c>
      <c r="BQ8" s="68"/>
      <c r="BR8" s="73" t="s">
        <v>33</v>
      </c>
      <c r="BS8" s="83"/>
      <c r="BT8" s="71" t="s">
        <v>33</v>
      </c>
      <c r="BU8" s="108"/>
      <c r="BV8" s="66"/>
      <c r="BW8" s="68"/>
      <c r="BX8" s="66"/>
      <c r="BY8" s="68"/>
      <c r="BZ8" s="68"/>
      <c r="CA8" s="83"/>
      <c r="CB8" s="66"/>
      <c r="CC8" s="22">
        <v>4</v>
      </c>
      <c r="CD8" s="13" t="s">
        <v>130</v>
      </c>
      <c r="CE8" s="507"/>
      <c r="CF8" s="60">
        <f t="shared" si="0"/>
        <v>4</v>
      </c>
      <c r="CG8" s="76">
        <f t="shared" si="1"/>
        <v>4</v>
      </c>
      <c r="CH8" s="27"/>
      <c r="CI8" s="28"/>
      <c r="CJ8" s="449"/>
      <c r="CK8" s="450"/>
    </row>
    <row r="9" spans="1:89" ht="15" customHeight="1">
      <c r="A9" s="13">
        <v>5</v>
      </c>
      <c r="B9" s="13" t="s">
        <v>131</v>
      </c>
      <c r="C9" s="508"/>
      <c r="D9" s="16"/>
      <c r="E9" s="17"/>
      <c r="F9" s="16"/>
      <c r="G9" s="17"/>
      <c r="H9" s="16"/>
      <c r="I9" s="17"/>
      <c r="J9" s="16"/>
      <c r="K9" s="17"/>
      <c r="L9" s="16"/>
      <c r="M9" s="17"/>
      <c r="N9" s="16"/>
      <c r="O9" s="59"/>
      <c r="P9" s="16"/>
      <c r="Q9" s="17"/>
      <c r="R9" s="18"/>
      <c r="S9" s="17"/>
      <c r="T9" s="18"/>
      <c r="U9" s="17"/>
      <c r="V9" s="18"/>
      <c r="W9" s="17"/>
      <c r="X9" s="18"/>
      <c r="Y9" s="17"/>
      <c r="Z9" s="16"/>
      <c r="AA9" s="17"/>
      <c r="AB9" s="16"/>
      <c r="AC9" s="17"/>
      <c r="AD9" s="18"/>
      <c r="AE9" s="17"/>
      <c r="AF9" s="16"/>
      <c r="AG9" s="17"/>
      <c r="AH9" s="16"/>
      <c r="AI9" s="17"/>
      <c r="AJ9" s="16"/>
      <c r="AK9" s="17"/>
      <c r="AL9" s="16"/>
      <c r="AM9" s="17"/>
      <c r="AN9" s="16"/>
      <c r="AO9" s="17"/>
      <c r="AP9" s="525" t="s">
        <v>267</v>
      </c>
      <c r="AQ9" s="526"/>
      <c r="AR9" s="104"/>
      <c r="AS9" s="105"/>
      <c r="AT9" s="13">
        <v>5</v>
      </c>
      <c r="AU9" s="13" t="s">
        <v>131</v>
      </c>
      <c r="AV9" s="508"/>
      <c r="AW9" s="16"/>
      <c r="AX9" s="71"/>
      <c r="AY9" s="73"/>
      <c r="AZ9" s="71"/>
      <c r="BA9" s="73"/>
      <c r="BB9" s="73"/>
      <c r="BC9" s="59"/>
      <c r="BD9" s="71"/>
      <c r="BE9" s="16"/>
      <c r="BF9" s="71"/>
      <c r="BG9" s="73"/>
      <c r="BH9" s="71"/>
      <c r="BI9" s="73"/>
      <c r="BJ9" s="73"/>
      <c r="BK9" s="59"/>
      <c r="BL9" s="71"/>
      <c r="BM9" s="38"/>
      <c r="BN9" s="75" t="s">
        <v>34</v>
      </c>
      <c r="BO9" s="68"/>
      <c r="BP9" s="75" t="s">
        <v>34</v>
      </c>
      <c r="BQ9" s="68"/>
      <c r="BR9" s="75" t="s">
        <v>34</v>
      </c>
      <c r="BS9" s="83"/>
      <c r="BT9" s="75" t="s">
        <v>34</v>
      </c>
      <c r="BU9" s="108"/>
      <c r="BV9" s="66"/>
      <c r="BW9" s="68"/>
      <c r="BX9" s="66" t="s">
        <v>33</v>
      </c>
      <c r="BY9" s="68"/>
      <c r="BZ9" s="73" t="s">
        <v>33</v>
      </c>
      <c r="CA9" s="83"/>
      <c r="CB9" s="66" t="s">
        <v>33</v>
      </c>
      <c r="CC9" s="13">
        <v>5</v>
      </c>
      <c r="CD9" s="13" t="s">
        <v>131</v>
      </c>
      <c r="CE9" s="508"/>
      <c r="CF9" s="60">
        <f t="shared" si="0"/>
        <v>3</v>
      </c>
      <c r="CG9" s="76">
        <f t="shared" si="1"/>
        <v>4</v>
      </c>
      <c r="CH9" s="27"/>
      <c r="CI9" s="28"/>
      <c r="CJ9" s="449"/>
      <c r="CK9" s="450"/>
    </row>
    <row r="10" spans="1:89" ht="15" customHeight="1">
      <c r="A10" s="151">
        <v>6</v>
      </c>
      <c r="B10" s="151" t="s">
        <v>132</v>
      </c>
      <c r="C10" s="506">
        <v>49</v>
      </c>
      <c r="D10" s="14"/>
      <c r="E10" s="65"/>
      <c r="F10" s="14"/>
      <c r="G10" s="65"/>
      <c r="H10" s="14"/>
      <c r="I10" s="65"/>
      <c r="J10" s="14"/>
      <c r="K10" s="65"/>
      <c r="L10" s="14"/>
      <c r="M10" s="65"/>
      <c r="N10" s="14"/>
      <c r="O10" s="58"/>
      <c r="P10" s="14"/>
      <c r="Q10" s="65"/>
      <c r="R10" s="15"/>
      <c r="S10" s="65"/>
      <c r="T10" s="15"/>
      <c r="U10" s="65"/>
      <c r="V10" s="15"/>
      <c r="W10" s="65"/>
      <c r="X10" s="15"/>
      <c r="Y10" s="65"/>
      <c r="Z10" s="14"/>
      <c r="AA10" s="65"/>
      <c r="AB10" s="14"/>
      <c r="AC10" s="65"/>
      <c r="AD10" s="15"/>
      <c r="AE10" s="65"/>
      <c r="AF10" s="14"/>
      <c r="AG10" s="65"/>
      <c r="AH10" s="14"/>
      <c r="AI10" s="65"/>
      <c r="AJ10" s="14"/>
      <c r="AK10" s="65"/>
      <c r="AL10" s="14"/>
      <c r="AM10" s="65"/>
      <c r="AN10" s="14"/>
      <c r="AO10" s="65"/>
      <c r="AP10" s="509" t="s">
        <v>268</v>
      </c>
      <c r="AQ10" s="510"/>
      <c r="AR10" s="33"/>
      <c r="AS10" s="34"/>
      <c r="AT10" s="151">
        <v>6</v>
      </c>
      <c r="AU10" s="151" t="s">
        <v>132</v>
      </c>
      <c r="AV10" s="506">
        <v>50</v>
      </c>
      <c r="AW10" s="14"/>
      <c r="AX10" s="67" t="s">
        <v>33</v>
      </c>
      <c r="AY10" s="69"/>
      <c r="AZ10" s="67" t="s">
        <v>33</v>
      </c>
      <c r="BA10" s="69"/>
      <c r="BB10" s="72" t="s">
        <v>33</v>
      </c>
      <c r="BC10" s="97"/>
      <c r="BD10" s="67" t="s">
        <v>33</v>
      </c>
      <c r="BE10" s="14"/>
      <c r="BF10" s="70"/>
      <c r="BG10" s="72"/>
      <c r="BH10" s="70"/>
      <c r="BI10" s="72"/>
      <c r="BJ10" s="72"/>
      <c r="BK10" s="58"/>
      <c r="BL10" s="70"/>
      <c r="BM10" s="37"/>
      <c r="BN10" s="70"/>
      <c r="BO10" s="72"/>
      <c r="BP10" s="70"/>
      <c r="BQ10" s="72"/>
      <c r="BR10" s="72"/>
      <c r="BS10" s="15"/>
      <c r="BT10" s="70"/>
      <c r="BU10" s="96"/>
      <c r="BV10" s="74"/>
      <c r="BW10" s="69"/>
      <c r="BX10" s="74" t="s">
        <v>34</v>
      </c>
      <c r="BY10" s="69"/>
      <c r="BZ10" s="74" t="s">
        <v>34</v>
      </c>
      <c r="CA10" s="97"/>
      <c r="CB10" s="74" t="s">
        <v>34</v>
      </c>
      <c r="CC10" s="151">
        <v>6</v>
      </c>
      <c r="CD10" s="151" t="s">
        <v>132</v>
      </c>
      <c r="CE10" s="506">
        <v>49</v>
      </c>
      <c r="CF10" s="60">
        <f t="shared" si="0"/>
        <v>4</v>
      </c>
      <c r="CG10" s="76">
        <f t="shared" si="1"/>
        <v>3</v>
      </c>
      <c r="CH10" s="27"/>
      <c r="CI10" s="28"/>
      <c r="CJ10" s="449"/>
      <c r="CK10" s="450"/>
    </row>
    <row r="11" spans="1:89" ht="15" customHeight="1">
      <c r="A11" s="142">
        <v>7</v>
      </c>
      <c r="B11" s="151" t="s">
        <v>133</v>
      </c>
      <c r="C11" s="507"/>
      <c r="D11" s="14"/>
      <c r="E11" s="65"/>
      <c r="F11" s="14"/>
      <c r="G11" s="65"/>
      <c r="H11" s="14"/>
      <c r="I11" s="65"/>
      <c r="J11" s="14"/>
      <c r="K11" s="65"/>
      <c r="L11" s="14"/>
      <c r="M11" s="65"/>
      <c r="N11" s="14"/>
      <c r="O11" s="58"/>
      <c r="P11" s="14"/>
      <c r="Q11" s="65"/>
      <c r="R11" s="15"/>
      <c r="S11" s="65"/>
      <c r="T11" s="15"/>
      <c r="U11" s="65"/>
      <c r="V11" s="15"/>
      <c r="W11" s="65"/>
      <c r="X11" s="15"/>
      <c r="Y11" s="65"/>
      <c r="Z11" s="14"/>
      <c r="AA11" s="65"/>
      <c r="AB11" s="14"/>
      <c r="AC11" s="65"/>
      <c r="AD11" s="15"/>
      <c r="AE11" s="65"/>
      <c r="AF11" s="14"/>
      <c r="AG11" s="65"/>
      <c r="AH11" s="14"/>
      <c r="AI11" s="65"/>
      <c r="AJ11" s="14"/>
      <c r="AK11" s="65"/>
      <c r="AL11" s="14"/>
      <c r="AM11" s="65"/>
      <c r="AN11" s="14"/>
      <c r="AO11" s="65"/>
      <c r="AP11" s="509" t="s">
        <v>269</v>
      </c>
      <c r="AQ11" s="510"/>
      <c r="AR11" s="33"/>
      <c r="AS11" s="34"/>
      <c r="AT11" s="142">
        <v>7</v>
      </c>
      <c r="AU11" s="151" t="s">
        <v>133</v>
      </c>
      <c r="AV11" s="507"/>
      <c r="AW11" s="14"/>
      <c r="AX11" s="74" t="s">
        <v>34</v>
      </c>
      <c r="AY11" s="69"/>
      <c r="AZ11" s="74" t="s">
        <v>34</v>
      </c>
      <c r="BA11" s="69"/>
      <c r="BB11" s="74" t="s">
        <v>34</v>
      </c>
      <c r="BC11" s="97"/>
      <c r="BD11" s="74" t="s">
        <v>34</v>
      </c>
      <c r="BE11" s="14"/>
      <c r="BF11" s="67" t="s">
        <v>33</v>
      </c>
      <c r="BG11" s="69"/>
      <c r="BH11" s="67" t="s">
        <v>33</v>
      </c>
      <c r="BI11" s="69"/>
      <c r="BJ11" s="72" t="s">
        <v>33</v>
      </c>
      <c r="BK11" s="97"/>
      <c r="BL11" s="67" t="s">
        <v>33</v>
      </c>
      <c r="BM11" s="37"/>
      <c r="BN11" s="70"/>
      <c r="BO11" s="72"/>
      <c r="BP11" s="70"/>
      <c r="BQ11" s="72"/>
      <c r="BR11" s="72"/>
      <c r="BS11" s="15"/>
      <c r="BT11" s="70"/>
      <c r="BU11" s="96"/>
      <c r="BV11" s="67"/>
      <c r="BW11" s="69"/>
      <c r="BX11" s="67"/>
      <c r="BY11" s="69"/>
      <c r="BZ11" s="69"/>
      <c r="CA11" s="97"/>
      <c r="CB11" s="67"/>
      <c r="CC11" s="142">
        <v>7</v>
      </c>
      <c r="CD11" s="151" t="s">
        <v>133</v>
      </c>
      <c r="CE11" s="507"/>
      <c r="CF11" s="60">
        <f t="shared" si="0"/>
        <v>4</v>
      </c>
      <c r="CG11" s="76">
        <f t="shared" si="1"/>
        <v>4</v>
      </c>
      <c r="CH11" s="27"/>
      <c r="CI11" s="28"/>
      <c r="CJ11" s="449"/>
      <c r="CK11" s="450"/>
    </row>
    <row r="12" spans="1:89" ht="15" customHeight="1">
      <c r="A12" s="142">
        <v>8</v>
      </c>
      <c r="B12" s="151" t="s">
        <v>127</v>
      </c>
      <c r="C12" s="507"/>
      <c r="D12" s="14"/>
      <c r="E12" s="65"/>
      <c r="F12" s="14"/>
      <c r="G12" s="65"/>
      <c r="H12" s="112"/>
      <c r="I12" s="65"/>
      <c r="J12" s="14"/>
      <c r="K12" s="65"/>
      <c r="L12" s="112"/>
      <c r="M12" s="65"/>
      <c r="N12" s="14"/>
      <c r="O12" s="58"/>
      <c r="P12" s="14"/>
      <c r="Q12" s="65"/>
      <c r="R12" s="112"/>
      <c r="S12" s="65"/>
      <c r="T12" s="112"/>
      <c r="U12" s="65"/>
      <c r="V12" s="112"/>
      <c r="W12" s="65"/>
      <c r="X12" s="15"/>
      <c r="Y12" s="65"/>
      <c r="Z12" s="14"/>
      <c r="AA12" s="65"/>
      <c r="AB12" s="14"/>
      <c r="AC12" s="65"/>
      <c r="AD12" s="15"/>
      <c r="AE12" s="65"/>
      <c r="AF12" s="14"/>
      <c r="AG12" s="65"/>
      <c r="AH12" s="14"/>
      <c r="AI12" s="65"/>
      <c r="AJ12" s="14"/>
      <c r="AK12" s="65"/>
      <c r="AL12" s="14"/>
      <c r="AM12" s="65"/>
      <c r="AN12" s="14"/>
      <c r="AO12" s="65"/>
      <c r="AP12" s="509" t="s">
        <v>270</v>
      </c>
      <c r="AQ12" s="510"/>
      <c r="AR12" s="33"/>
      <c r="AS12" s="34"/>
      <c r="AT12" s="142">
        <v>8</v>
      </c>
      <c r="AU12" s="151" t="s">
        <v>127</v>
      </c>
      <c r="AV12" s="507"/>
      <c r="AW12" s="14"/>
      <c r="AX12" s="70"/>
      <c r="AY12" s="72"/>
      <c r="AZ12" s="70"/>
      <c r="BA12" s="72"/>
      <c r="BB12" s="72"/>
      <c r="BC12" s="58"/>
      <c r="BD12" s="70"/>
      <c r="BE12" s="14"/>
      <c r="BF12" s="74" t="s">
        <v>34</v>
      </c>
      <c r="BG12" s="69"/>
      <c r="BH12" s="74" t="s">
        <v>34</v>
      </c>
      <c r="BI12" s="69"/>
      <c r="BJ12" s="74" t="s">
        <v>34</v>
      </c>
      <c r="BK12" s="97"/>
      <c r="BL12" s="74" t="s">
        <v>34</v>
      </c>
      <c r="BM12" s="37"/>
      <c r="BN12" s="67" t="s">
        <v>33</v>
      </c>
      <c r="BO12" s="69"/>
      <c r="BP12" s="67" t="s">
        <v>33</v>
      </c>
      <c r="BQ12" s="69"/>
      <c r="BR12" s="72" t="s">
        <v>33</v>
      </c>
      <c r="BS12" s="97"/>
      <c r="BT12" s="67" t="s">
        <v>33</v>
      </c>
      <c r="BU12" s="96"/>
      <c r="BV12" s="67"/>
      <c r="BW12" s="69"/>
      <c r="BX12" s="67"/>
      <c r="BY12" s="69"/>
      <c r="BZ12" s="69"/>
      <c r="CA12" s="97"/>
      <c r="CB12" s="67"/>
      <c r="CC12" s="142">
        <v>8</v>
      </c>
      <c r="CD12" s="151" t="s">
        <v>127</v>
      </c>
      <c r="CE12" s="507"/>
      <c r="CF12" s="60">
        <f t="shared" si="0"/>
        <v>4</v>
      </c>
      <c r="CG12" s="76">
        <f t="shared" si="1"/>
        <v>4</v>
      </c>
      <c r="CH12" s="27"/>
      <c r="CI12" s="28"/>
      <c r="CJ12" s="449"/>
      <c r="CK12" s="450"/>
    </row>
    <row r="13" spans="1:89" ht="15" customHeight="1">
      <c r="A13" s="142">
        <v>9</v>
      </c>
      <c r="B13" s="151" t="s">
        <v>128</v>
      </c>
      <c r="C13" s="507"/>
      <c r="D13" s="14"/>
      <c r="E13" s="65"/>
      <c r="F13" s="14"/>
      <c r="G13" s="65"/>
      <c r="H13" s="14"/>
      <c r="I13" s="65"/>
      <c r="J13" s="14"/>
      <c r="K13" s="65"/>
      <c r="L13" s="14"/>
      <c r="M13" s="65"/>
      <c r="N13" s="14"/>
      <c r="O13" s="58"/>
      <c r="P13" s="14"/>
      <c r="Q13" s="65"/>
      <c r="R13" s="15"/>
      <c r="S13" s="65"/>
      <c r="T13" s="15"/>
      <c r="U13" s="65"/>
      <c r="V13" s="15"/>
      <c r="W13" s="65"/>
      <c r="X13" s="15"/>
      <c r="Y13" s="65"/>
      <c r="Z13" s="14"/>
      <c r="AA13" s="65"/>
      <c r="AB13" s="14"/>
      <c r="AC13" s="65"/>
      <c r="AD13" s="15"/>
      <c r="AE13" s="65"/>
      <c r="AF13" s="14"/>
      <c r="AG13" s="65"/>
      <c r="AH13" s="14"/>
      <c r="AI13" s="65"/>
      <c r="AJ13" s="14"/>
      <c r="AK13" s="65"/>
      <c r="AL13" s="14"/>
      <c r="AM13" s="65"/>
      <c r="AN13" s="14"/>
      <c r="AO13" s="65"/>
      <c r="AP13" s="509" t="s">
        <v>271</v>
      </c>
      <c r="AQ13" s="510"/>
      <c r="AR13" s="33"/>
      <c r="AS13" s="34"/>
      <c r="AT13" s="142">
        <v>9</v>
      </c>
      <c r="AU13" s="151" t="s">
        <v>128</v>
      </c>
      <c r="AV13" s="507"/>
      <c r="AW13" s="14"/>
      <c r="AX13" s="70"/>
      <c r="AY13" s="72"/>
      <c r="AZ13" s="70"/>
      <c r="BA13" s="72"/>
      <c r="BB13" s="72"/>
      <c r="BC13" s="58"/>
      <c r="BD13" s="70"/>
      <c r="BE13" s="14"/>
      <c r="BF13" s="70"/>
      <c r="BG13" s="72"/>
      <c r="BH13" s="70"/>
      <c r="BI13" s="72"/>
      <c r="BJ13" s="72"/>
      <c r="BK13" s="58"/>
      <c r="BL13" s="70"/>
      <c r="BM13" s="37"/>
      <c r="BN13" s="74" t="s">
        <v>34</v>
      </c>
      <c r="BO13" s="69"/>
      <c r="BP13" s="74" t="s">
        <v>34</v>
      </c>
      <c r="BQ13" s="69"/>
      <c r="BR13" s="74" t="s">
        <v>34</v>
      </c>
      <c r="BS13" s="97"/>
      <c r="BT13" s="74" t="s">
        <v>34</v>
      </c>
      <c r="BU13" s="96"/>
      <c r="BV13" s="67"/>
      <c r="BW13" s="69"/>
      <c r="BX13" s="67" t="s">
        <v>33</v>
      </c>
      <c r="BY13" s="69"/>
      <c r="BZ13" s="72" t="s">
        <v>33</v>
      </c>
      <c r="CA13" s="97"/>
      <c r="CB13" s="67" t="s">
        <v>33</v>
      </c>
      <c r="CC13" s="142">
        <v>9</v>
      </c>
      <c r="CD13" s="151" t="s">
        <v>128</v>
      </c>
      <c r="CE13" s="507"/>
      <c r="CF13" s="60">
        <f t="shared" si="0"/>
        <v>3</v>
      </c>
      <c r="CG13" s="76">
        <f t="shared" si="1"/>
        <v>4</v>
      </c>
      <c r="CH13" s="27"/>
      <c r="CI13" s="28"/>
      <c r="CJ13" s="449"/>
      <c r="CK13" s="450"/>
    </row>
    <row r="14" spans="1:89" ht="15" customHeight="1">
      <c r="A14" s="142">
        <v>10</v>
      </c>
      <c r="B14" s="151" t="s">
        <v>129</v>
      </c>
      <c r="C14" s="507"/>
      <c r="D14" s="14"/>
      <c r="E14" s="65"/>
      <c r="F14" s="14"/>
      <c r="G14" s="65"/>
      <c r="H14" s="112"/>
      <c r="I14" s="65"/>
      <c r="J14" s="14"/>
      <c r="K14" s="65"/>
      <c r="L14" s="112"/>
      <c r="M14" s="65"/>
      <c r="N14" s="14"/>
      <c r="O14" s="58"/>
      <c r="P14" s="14"/>
      <c r="Q14" s="65"/>
      <c r="R14" s="112"/>
      <c r="S14" s="65"/>
      <c r="T14" s="112"/>
      <c r="U14" s="65"/>
      <c r="V14" s="112"/>
      <c r="W14" s="65"/>
      <c r="X14" s="15"/>
      <c r="Y14" s="65"/>
      <c r="Z14" s="14"/>
      <c r="AA14" s="65"/>
      <c r="AB14" s="14"/>
      <c r="AC14" s="65"/>
      <c r="AD14" s="15"/>
      <c r="AE14" s="65"/>
      <c r="AF14" s="14"/>
      <c r="AG14" s="65"/>
      <c r="AH14" s="14"/>
      <c r="AI14" s="65"/>
      <c r="AJ14" s="14"/>
      <c r="AK14" s="65"/>
      <c r="AL14" s="14"/>
      <c r="AM14" s="65"/>
      <c r="AN14" s="14"/>
      <c r="AO14" s="65"/>
      <c r="AP14" s="509" t="s">
        <v>272</v>
      </c>
      <c r="AQ14" s="510"/>
      <c r="AR14" s="33"/>
      <c r="AS14" s="34"/>
      <c r="AT14" s="142">
        <v>10</v>
      </c>
      <c r="AU14" s="151" t="s">
        <v>129</v>
      </c>
      <c r="AV14" s="507"/>
      <c r="AW14" s="14"/>
      <c r="AX14" s="67" t="s">
        <v>33</v>
      </c>
      <c r="AY14" s="69"/>
      <c r="AZ14" s="67" t="s">
        <v>33</v>
      </c>
      <c r="BA14" s="69"/>
      <c r="BB14" s="72" t="s">
        <v>33</v>
      </c>
      <c r="BC14" s="97"/>
      <c r="BD14" s="67" t="s">
        <v>33</v>
      </c>
      <c r="BE14" s="14"/>
      <c r="BF14" s="70"/>
      <c r="BG14" s="72"/>
      <c r="BH14" s="70"/>
      <c r="BI14" s="72"/>
      <c r="BJ14" s="72"/>
      <c r="BK14" s="58"/>
      <c r="BL14" s="70"/>
      <c r="BM14" s="37"/>
      <c r="BN14" s="70"/>
      <c r="BO14" s="72"/>
      <c r="BP14" s="70"/>
      <c r="BQ14" s="72"/>
      <c r="BR14" s="72"/>
      <c r="BS14" s="15"/>
      <c r="BT14" s="70"/>
      <c r="BU14" s="96"/>
      <c r="BV14" s="74"/>
      <c r="BW14" s="69"/>
      <c r="BX14" s="74" t="s">
        <v>34</v>
      </c>
      <c r="BY14" s="69"/>
      <c r="BZ14" s="74" t="s">
        <v>34</v>
      </c>
      <c r="CA14" s="97"/>
      <c r="CB14" s="74" t="s">
        <v>34</v>
      </c>
      <c r="CC14" s="142">
        <v>10</v>
      </c>
      <c r="CD14" s="151" t="s">
        <v>129</v>
      </c>
      <c r="CE14" s="507"/>
      <c r="CF14" s="60">
        <f t="shared" si="0"/>
        <v>4</v>
      </c>
      <c r="CG14" s="76">
        <f t="shared" si="1"/>
        <v>3</v>
      </c>
      <c r="CH14" s="27"/>
      <c r="CI14" s="28"/>
      <c r="CJ14" s="449"/>
      <c r="CK14" s="450"/>
    </row>
    <row r="15" spans="1:89" ht="15" customHeight="1">
      <c r="A15" s="22">
        <v>11</v>
      </c>
      <c r="B15" s="13" t="s">
        <v>130</v>
      </c>
      <c r="C15" s="507"/>
      <c r="D15" s="16"/>
      <c r="E15" s="17"/>
      <c r="F15" s="16"/>
      <c r="G15" s="17"/>
      <c r="H15" s="16"/>
      <c r="I15" s="17"/>
      <c r="J15" s="16"/>
      <c r="K15" s="17"/>
      <c r="L15" s="16"/>
      <c r="M15" s="17"/>
      <c r="N15" s="16"/>
      <c r="O15" s="59"/>
      <c r="P15" s="16"/>
      <c r="Q15" s="17"/>
      <c r="R15" s="18"/>
      <c r="S15" s="17"/>
      <c r="T15" s="18"/>
      <c r="U15" s="17"/>
      <c r="V15" s="18"/>
      <c r="W15" s="17"/>
      <c r="X15" s="18"/>
      <c r="Y15" s="17"/>
      <c r="Z15" s="16"/>
      <c r="AA15" s="17"/>
      <c r="AB15" s="16"/>
      <c r="AC15" s="17"/>
      <c r="AD15" s="18"/>
      <c r="AE15" s="17"/>
      <c r="AF15" s="16"/>
      <c r="AG15" s="17"/>
      <c r="AH15" s="16"/>
      <c r="AI15" s="17"/>
      <c r="AJ15" s="16"/>
      <c r="AK15" s="17"/>
      <c r="AL15" s="16"/>
      <c r="AM15" s="17"/>
      <c r="AN15" s="16"/>
      <c r="AO15" s="17"/>
      <c r="AP15" s="525" t="s">
        <v>273</v>
      </c>
      <c r="AQ15" s="526"/>
      <c r="AR15" s="104"/>
      <c r="AS15" s="105"/>
      <c r="AT15" s="22">
        <v>11</v>
      </c>
      <c r="AU15" s="13" t="s">
        <v>130</v>
      </c>
      <c r="AV15" s="507"/>
      <c r="AW15" s="16"/>
      <c r="AX15" s="75" t="s">
        <v>34</v>
      </c>
      <c r="AY15" s="68"/>
      <c r="AZ15" s="75" t="s">
        <v>34</v>
      </c>
      <c r="BA15" s="68"/>
      <c r="BB15" s="75" t="s">
        <v>34</v>
      </c>
      <c r="BC15" s="83"/>
      <c r="BD15" s="75" t="s">
        <v>34</v>
      </c>
      <c r="BE15" s="16"/>
      <c r="BF15" s="66" t="s">
        <v>33</v>
      </c>
      <c r="BG15" s="68"/>
      <c r="BH15" s="66" t="s">
        <v>33</v>
      </c>
      <c r="BI15" s="68"/>
      <c r="BJ15" s="73" t="s">
        <v>33</v>
      </c>
      <c r="BK15" s="83"/>
      <c r="BL15" s="66" t="s">
        <v>33</v>
      </c>
      <c r="BM15" s="38"/>
      <c r="BN15" s="71"/>
      <c r="BO15" s="73"/>
      <c r="BP15" s="71"/>
      <c r="BQ15" s="73"/>
      <c r="BR15" s="73"/>
      <c r="BS15" s="18"/>
      <c r="BT15" s="71"/>
      <c r="BU15" s="108"/>
      <c r="BV15" s="66"/>
      <c r="BW15" s="68"/>
      <c r="BX15" s="66"/>
      <c r="BY15" s="68"/>
      <c r="BZ15" s="68"/>
      <c r="CA15" s="83"/>
      <c r="CB15" s="66"/>
      <c r="CC15" s="22">
        <v>11</v>
      </c>
      <c r="CD15" s="13" t="s">
        <v>130</v>
      </c>
      <c r="CE15" s="507"/>
      <c r="CF15" s="60">
        <f t="shared" si="0"/>
        <v>4</v>
      </c>
      <c r="CG15" s="76">
        <f t="shared" si="1"/>
        <v>4</v>
      </c>
      <c r="CH15" s="27"/>
      <c r="CI15" s="28"/>
      <c r="CJ15" s="449"/>
      <c r="CK15" s="450"/>
    </row>
    <row r="16" spans="1:89" ht="15" customHeight="1">
      <c r="A16" s="22">
        <v>12</v>
      </c>
      <c r="B16" s="13" t="s">
        <v>131</v>
      </c>
      <c r="C16" s="508"/>
      <c r="D16" s="16"/>
      <c r="E16" s="17"/>
      <c r="F16" s="16"/>
      <c r="G16" s="17"/>
      <c r="H16" s="16"/>
      <c r="I16" s="17"/>
      <c r="J16" s="16"/>
      <c r="K16" s="17"/>
      <c r="L16" s="16"/>
      <c r="M16" s="17"/>
      <c r="N16" s="16"/>
      <c r="O16" s="17"/>
      <c r="P16" s="16"/>
      <c r="Q16" s="17"/>
      <c r="R16" s="18"/>
      <c r="S16" s="17"/>
      <c r="T16" s="18"/>
      <c r="U16" s="17"/>
      <c r="V16" s="18"/>
      <c r="W16" s="17"/>
      <c r="X16" s="18"/>
      <c r="Y16" s="17"/>
      <c r="Z16" s="16"/>
      <c r="AA16" s="17"/>
      <c r="AB16" s="16"/>
      <c r="AC16" s="17"/>
      <c r="AD16" s="18"/>
      <c r="AE16" s="17"/>
      <c r="AF16" s="16"/>
      <c r="AG16" s="17"/>
      <c r="AH16" s="16"/>
      <c r="AI16" s="17"/>
      <c r="AJ16" s="16"/>
      <c r="AK16" s="17"/>
      <c r="AL16" s="16"/>
      <c r="AM16" s="17"/>
      <c r="AN16" s="16"/>
      <c r="AO16" s="17"/>
      <c r="AP16" s="529"/>
      <c r="AQ16" s="530"/>
      <c r="AR16" s="104"/>
      <c r="AS16" s="105"/>
      <c r="AT16" s="22">
        <v>12</v>
      </c>
      <c r="AU16" s="13" t="s">
        <v>131</v>
      </c>
      <c r="AV16" s="508"/>
      <c r="AW16" s="16"/>
      <c r="AX16" s="71"/>
      <c r="AY16" s="73"/>
      <c r="AZ16" s="71"/>
      <c r="BA16" s="73"/>
      <c r="BB16" s="73"/>
      <c r="BC16" s="59"/>
      <c r="BD16" s="71"/>
      <c r="BE16" s="16"/>
      <c r="BF16" s="75" t="s">
        <v>34</v>
      </c>
      <c r="BG16" s="68"/>
      <c r="BH16" s="75" t="s">
        <v>34</v>
      </c>
      <c r="BI16" s="68"/>
      <c r="BJ16" s="75" t="s">
        <v>34</v>
      </c>
      <c r="BK16" s="83"/>
      <c r="BL16" s="75" t="s">
        <v>34</v>
      </c>
      <c r="BM16" s="38"/>
      <c r="BN16" s="66" t="s">
        <v>33</v>
      </c>
      <c r="BO16" s="68"/>
      <c r="BP16" s="66" t="s">
        <v>33</v>
      </c>
      <c r="BQ16" s="68"/>
      <c r="BR16" s="73" t="s">
        <v>33</v>
      </c>
      <c r="BS16" s="83"/>
      <c r="BT16" s="70" t="s">
        <v>61</v>
      </c>
      <c r="BU16" s="108"/>
      <c r="BV16" s="66"/>
      <c r="BW16" s="68"/>
      <c r="BX16" s="66"/>
      <c r="BY16" s="68"/>
      <c r="BZ16" s="68"/>
      <c r="CA16" s="83"/>
      <c r="CB16" s="66"/>
      <c r="CC16" s="22">
        <v>12</v>
      </c>
      <c r="CD16" s="13" t="s">
        <v>131</v>
      </c>
      <c r="CE16" s="508"/>
      <c r="CF16" s="60">
        <f t="shared" si="0"/>
        <v>3</v>
      </c>
      <c r="CG16" s="76">
        <f t="shared" si="1"/>
        <v>4</v>
      </c>
      <c r="CH16" s="27"/>
      <c r="CI16" s="28"/>
      <c r="CJ16" s="449"/>
      <c r="CK16" s="450"/>
    </row>
    <row r="17" spans="1:89" ht="15" customHeight="1">
      <c r="A17" s="142">
        <v>13</v>
      </c>
      <c r="B17" s="151" t="s">
        <v>132</v>
      </c>
      <c r="C17" s="506">
        <v>50</v>
      </c>
      <c r="D17" s="14"/>
      <c r="E17" s="65"/>
      <c r="F17" s="14"/>
      <c r="G17" s="65"/>
      <c r="H17" s="14"/>
      <c r="I17" s="65"/>
      <c r="J17" s="14"/>
      <c r="K17" s="65"/>
      <c r="L17" s="14"/>
      <c r="M17" s="65"/>
      <c r="N17" s="14"/>
      <c r="O17" s="65"/>
      <c r="P17" s="14"/>
      <c r="Q17" s="65"/>
      <c r="R17" s="15"/>
      <c r="S17" s="65"/>
      <c r="T17" s="15"/>
      <c r="U17" s="65"/>
      <c r="V17" s="15"/>
      <c r="W17" s="65"/>
      <c r="X17" s="15"/>
      <c r="Y17" s="65"/>
      <c r="Z17" s="14"/>
      <c r="AA17" s="65"/>
      <c r="AB17" s="14"/>
      <c r="AC17" s="65"/>
      <c r="AD17" s="15"/>
      <c r="AE17" s="65"/>
      <c r="AF17" s="14"/>
      <c r="AG17" s="65"/>
      <c r="AH17" s="14"/>
      <c r="AI17" s="65"/>
      <c r="AJ17" s="14"/>
      <c r="AK17" s="65"/>
      <c r="AL17" s="14"/>
      <c r="AM17" s="65"/>
      <c r="AN17" s="14"/>
      <c r="AO17" s="65"/>
      <c r="AP17" s="509"/>
      <c r="AQ17" s="510"/>
      <c r="AR17" s="33"/>
      <c r="AS17" s="34"/>
      <c r="AT17" s="142">
        <v>13</v>
      </c>
      <c r="AU17" s="151" t="s">
        <v>132</v>
      </c>
      <c r="AV17" s="506">
        <v>51</v>
      </c>
      <c r="AW17" s="14"/>
      <c r="AX17" s="70"/>
      <c r="AY17" s="72"/>
      <c r="AZ17" s="70"/>
      <c r="BA17" s="72"/>
      <c r="BB17" s="72"/>
      <c r="BC17" s="58"/>
      <c r="BD17" s="70"/>
      <c r="BE17" s="14"/>
      <c r="BF17" s="70"/>
      <c r="BG17" s="72"/>
      <c r="BH17" s="70"/>
      <c r="BI17" s="72"/>
      <c r="BJ17" s="72"/>
      <c r="BK17" s="58"/>
      <c r="BL17" s="70"/>
      <c r="BM17" s="37"/>
      <c r="BN17" s="74" t="s">
        <v>34</v>
      </c>
      <c r="BO17" s="69"/>
      <c r="BP17" s="74" t="s">
        <v>34</v>
      </c>
      <c r="BQ17" s="69"/>
      <c r="BR17" s="74" t="s">
        <v>34</v>
      </c>
      <c r="BS17" s="97"/>
      <c r="BT17" s="74" t="s">
        <v>34</v>
      </c>
      <c r="BU17" s="96"/>
      <c r="BV17" s="67"/>
      <c r="BW17" s="69"/>
      <c r="BX17" s="67" t="s">
        <v>33</v>
      </c>
      <c r="BY17" s="69"/>
      <c r="BZ17" s="72" t="s">
        <v>33</v>
      </c>
      <c r="CA17" s="97"/>
      <c r="CB17" s="67" t="s">
        <v>33</v>
      </c>
      <c r="CC17" s="142">
        <v>13</v>
      </c>
      <c r="CD17" s="151" t="s">
        <v>132</v>
      </c>
      <c r="CE17" s="506">
        <v>50</v>
      </c>
      <c r="CF17" s="60">
        <f t="shared" si="0"/>
        <v>3</v>
      </c>
      <c r="CG17" s="76">
        <f t="shared" si="1"/>
        <v>4</v>
      </c>
      <c r="CH17" s="27"/>
      <c r="CI17" s="28"/>
      <c r="CJ17" s="449"/>
      <c r="CK17" s="450"/>
    </row>
    <row r="18" spans="1:89" ht="15" customHeight="1">
      <c r="A18" s="142">
        <v>14</v>
      </c>
      <c r="B18" s="151" t="s">
        <v>133</v>
      </c>
      <c r="C18" s="507"/>
      <c r="D18" s="14"/>
      <c r="E18" s="65"/>
      <c r="F18" s="14"/>
      <c r="G18" s="65"/>
      <c r="H18" s="14"/>
      <c r="I18" s="65"/>
      <c r="J18" s="14"/>
      <c r="K18" s="65"/>
      <c r="L18" s="14"/>
      <c r="M18" s="65"/>
      <c r="N18" s="14"/>
      <c r="O18" s="58"/>
      <c r="P18" s="14"/>
      <c r="Q18" s="65"/>
      <c r="R18" s="15"/>
      <c r="S18" s="65"/>
      <c r="T18" s="15"/>
      <c r="U18" s="65"/>
      <c r="V18" s="15"/>
      <c r="W18" s="65"/>
      <c r="X18" s="15"/>
      <c r="Y18" s="65"/>
      <c r="Z18" s="14"/>
      <c r="AA18" s="65"/>
      <c r="AB18" s="14"/>
      <c r="AC18" s="65"/>
      <c r="AD18" s="15"/>
      <c r="AE18" s="65"/>
      <c r="AF18" s="14"/>
      <c r="AG18" s="65"/>
      <c r="AH18" s="14"/>
      <c r="AI18" s="65"/>
      <c r="AJ18" s="14"/>
      <c r="AK18" s="65"/>
      <c r="AL18" s="14"/>
      <c r="AM18" s="65"/>
      <c r="AN18" s="14"/>
      <c r="AO18" s="65"/>
      <c r="AP18" s="509"/>
      <c r="AQ18" s="510"/>
      <c r="AR18" s="33"/>
      <c r="AS18" s="34"/>
      <c r="AT18" s="142">
        <v>14</v>
      </c>
      <c r="AU18" s="151" t="s">
        <v>133</v>
      </c>
      <c r="AV18" s="507"/>
      <c r="AW18" s="14"/>
      <c r="AX18" s="67" t="s">
        <v>33</v>
      </c>
      <c r="AY18" s="69"/>
      <c r="AZ18" s="67" t="s">
        <v>33</v>
      </c>
      <c r="BA18" s="69"/>
      <c r="BB18" s="72" t="s">
        <v>33</v>
      </c>
      <c r="BC18" s="97"/>
      <c r="BD18" s="67" t="s">
        <v>33</v>
      </c>
      <c r="BE18" s="14"/>
      <c r="BF18" s="70"/>
      <c r="BG18" s="72"/>
      <c r="BH18" s="70"/>
      <c r="BI18" s="72"/>
      <c r="BJ18" s="72"/>
      <c r="BK18" s="58"/>
      <c r="BL18" s="70"/>
      <c r="BM18" s="37"/>
      <c r="BN18" s="70"/>
      <c r="BO18" s="72"/>
      <c r="BP18" s="70"/>
      <c r="BQ18" s="72"/>
      <c r="BR18" s="72"/>
      <c r="BS18" s="15"/>
      <c r="BT18" s="70"/>
      <c r="BU18" s="96"/>
      <c r="BV18" s="74"/>
      <c r="BW18" s="69"/>
      <c r="BX18" s="74" t="s">
        <v>34</v>
      </c>
      <c r="BY18" s="69"/>
      <c r="BZ18" s="74" t="s">
        <v>34</v>
      </c>
      <c r="CA18" s="97"/>
      <c r="CB18" s="74" t="s">
        <v>34</v>
      </c>
      <c r="CC18" s="142">
        <v>14</v>
      </c>
      <c r="CD18" s="151" t="s">
        <v>133</v>
      </c>
      <c r="CE18" s="507"/>
      <c r="CF18" s="60">
        <f t="shared" si="0"/>
        <v>4</v>
      </c>
      <c r="CG18" s="76">
        <f t="shared" si="1"/>
        <v>3</v>
      </c>
      <c r="CH18" s="27"/>
      <c r="CI18" s="28"/>
      <c r="CJ18" s="449"/>
      <c r="CK18" s="450"/>
    </row>
    <row r="19" spans="1:89" ht="15" customHeight="1">
      <c r="A19" s="142">
        <v>15</v>
      </c>
      <c r="B19" s="151" t="s">
        <v>127</v>
      </c>
      <c r="C19" s="507"/>
      <c r="D19" s="14"/>
      <c r="E19" s="65"/>
      <c r="F19" s="14"/>
      <c r="G19" s="65"/>
      <c r="H19" s="14"/>
      <c r="I19" s="65"/>
      <c r="J19" s="14"/>
      <c r="K19" s="65"/>
      <c r="L19" s="14"/>
      <c r="M19" s="65"/>
      <c r="N19" s="14"/>
      <c r="O19" s="58"/>
      <c r="P19" s="14"/>
      <c r="Q19" s="65"/>
      <c r="R19" s="15"/>
      <c r="S19" s="65"/>
      <c r="T19" s="15"/>
      <c r="U19" s="65"/>
      <c r="V19" s="15"/>
      <c r="W19" s="65"/>
      <c r="X19" s="15"/>
      <c r="Y19" s="65"/>
      <c r="Z19" s="14"/>
      <c r="AA19" s="65"/>
      <c r="AB19" s="14"/>
      <c r="AC19" s="65"/>
      <c r="AD19" s="15"/>
      <c r="AE19" s="65"/>
      <c r="AF19" s="14"/>
      <c r="AG19" s="65"/>
      <c r="AH19" s="14"/>
      <c r="AI19" s="65"/>
      <c r="AJ19" s="14"/>
      <c r="AK19" s="65"/>
      <c r="AL19" s="14"/>
      <c r="AM19" s="65"/>
      <c r="AN19" s="14"/>
      <c r="AO19" s="65"/>
      <c r="AP19" s="509"/>
      <c r="AQ19" s="510"/>
      <c r="AR19" s="33"/>
      <c r="AS19" s="34"/>
      <c r="AT19" s="142">
        <v>15</v>
      </c>
      <c r="AU19" s="151" t="s">
        <v>127</v>
      </c>
      <c r="AV19" s="507"/>
      <c r="AW19" s="14"/>
      <c r="AX19" s="74" t="s">
        <v>34</v>
      </c>
      <c r="AY19" s="69"/>
      <c r="AZ19" s="74" t="s">
        <v>34</v>
      </c>
      <c r="BA19" s="69"/>
      <c r="BB19" s="74" t="s">
        <v>34</v>
      </c>
      <c r="BC19" s="97"/>
      <c r="BD19" s="74" t="s">
        <v>34</v>
      </c>
      <c r="BE19" s="14"/>
      <c r="BF19" s="67" t="s">
        <v>33</v>
      </c>
      <c r="BG19" s="69"/>
      <c r="BH19" s="67" t="s">
        <v>33</v>
      </c>
      <c r="BI19" s="69"/>
      <c r="BJ19" s="72" t="s">
        <v>33</v>
      </c>
      <c r="BK19" s="97"/>
      <c r="BL19" s="67" t="s">
        <v>33</v>
      </c>
      <c r="BM19" s="37"/>
      <c r="BN19" s="70"/>
      <c r="BO19" s="72"/>
      <c r="BP19" s="70"/>
      <c r="BQ19" s="72"/>
      <c r="BR19" s="72"/>
      <c r="BS19" s="15"/>
      <c r="BT19" s="70"/>
      <c r="BU19" s="96"/>
      <c r="BV19" s="67"/>
      <c r="BW19" s="69"/>
      <c r="BX19" s="67"/>
      <c r="BY19" s="69"/>
      <c r="BZ19" s="69"/>
      <c r="CA19" s="97"/>
      <c r="CB19" s="67"/>
      <c r="CC19" s="142">
        <v>15</v>
      </c>
      <c r="CD19" s="151" t="s">
        <v>127</v>
      </c>
      <c r="CE19" s="507"/>
      <c r="CF19" s="60">
        <f t="shared" si="0"/>
        <v>4</v>
      </c>
      <c r="CG19" s="76">
        <f t="shared" si="1"/>
        <v>4</v>
      </c>
      <c r="CH19" s="27"/>
      <c r="CI19" s="28"/>
      <c r="CJ19" s="449"/>
      <c r="CK19" s="450"/>
    </row>
    <row r="20" spans="1:89" ht="15" customHeight="1">
      <c r="A20" s="142">
        <v>16</v>
      </c>
      <c r="B20" s="151" t="s">
        <v>128</v>
      </c>
      <c r="C20" s="507"/>
      <c r="D20" s="14"/>
      <c r="E20" s="65"/>
      <c r="F20" s="14"/>
      <c r="G20" s="65"/>
      <c r="H20" s="14"/>
      <c r="I20" s="65"/>
      <c r="J20" s="14"/>
      <c r="K20" s="65"/>
      <c r="L20" s="14"/>
      <c r="M20" s="65"/>
      <c r="N20" s="14"/>
      <c r="O20" s="58"/>
      <c r="P20" s="14"/>
      <c r="Q20" s="65"/>
      <c r="R20" s="15"/>
      <c r="S20" s="65"/>
      <c r="T20" s="15"/>
      <c r="U20" s="65"/>
      <c r="V20" s="15"/>
      <c r="W20" s="65"/>
      <c r="X20" s="15"/>
      <c r="Y20" s="65"/>
      <c r="Z20" s="14"/>
      <c r="AA20" s="65"/>
      <c r="AB20" s="14"/>
      <c r="AC20" s="65"/>
      <c r="AD20" s="15"/>
      <c r="AE20" s="65"/>
      <c r="AF20" s="14"/>
      <c r="AG20" s="65"/>
      <c r="AH20" s="14"/>
      <c r="AI20" s="65"/>
      <c r="AJ20" s="14"/>
      <c r="AK20" s="65"/>
      <c r="AL20" s="14"/>
      <c r="AM20" s="65"/>
      <c r="AN20" s="14"/>
      <c r="AO20" s="65"/>
      <c r="AP20" s="509"/>
      <c r="AQ20" s="510"/>
      <c r="AR20" s="33"/>
      <c r="AS20" s="34"/>
      <c r="AT20" s="142">
        <v>16</v>
      </c>
      <c r="AU20" s="151" t="s">
        <v>128</v>
      </c>
      <c r="AV20" s="507"/>
      <c r="AW20" s="14"/>
      <c r="AX20" s="70"/>
      <c r="AY20" s="72"/>
      <c r="AZ20" s="70"/>
      <c r="BA20" s="72"/>
      <c r="BB20" s="72"/>
      <c r="BC20" s="58"/>
      <c r="BD20" s="70"/>
      <c r="BE20" s="14"/>
      <c r="BF20" s="74" t="s">
        <v>34</v>
      </c>
      <c r="BG20" s="69"/>
      <c r="BH20" s="74" t="s">
        <v>34</v>
      </c>
      <c r="BI20" s="69"/>
      <c r="BJ20" s="74" t="s">
        <v>34</v>
      </c>
      <c r="BK20" s="97"/>
      <c r="BL20" s="74" t="s">
        <v>34</v>
      </c>
      <c r="BM20" s="37"/>
      <c r="BN20" s="67" t="s">
        <v>33</v>
      </c>
      <c r="BO20" s="69"/>
      <c r="BP20" s="67" t="s">
        <v>33</v>
      </c>
      <c r="BQ20" s="69"/>
      <c r="BR20" s="72" t="s">
        <v>33</v>
      </c>
      <c r="BS20" s="97"/>
      <c r="BT20" s="67" t="s">
        <v>33</v>
      </c>
      <c r="BU20" s="96"/>
      <c r="BV20" s="67"/>
      <c r="BW20" s="69"/>
      <c r="BX20" s="67"/>
      <c r="BY20" s="69"/>
      <c r="BZ20" s="69"/>
      <c r="CA20" s="97"/>
      <c r="CB20" s="67"/>
      <c r="CC20" s="142">
        <v>16</v>
      </c>
      <c r="CD20" s="151" t="s">
        <v>128</v>
      </c>
      <c r="CE20" s="507"/>
      <c r="CF20" s="60">
        <f t="shared" si="0"/>
        <v>4</v>
      </c>
      <c r="CG20" s="76">
        <f t="shared" si="1"/>
        <v>4</v>
      </c>
      <c r="CH20" s="27"/>
      <c r="CI20" s="28"/>
      <c r="CJ20" s="449"/>
      <c r="CK20" s="450"/>
    </row>
    <row r="21" spans="1:89" ht="15" customHeight="1">
      <c r="A21" s="142">
        <v>17</v>
      </c>
      <c r="B21" s="151" t="s">
        <v>129</v>
      </c>
      <c r="C21" s="507"/>
      <c r="D21" s="14"/>
      <c r="E21" s="65"/>
      <c r="F21" s="14"/>
      <c r="G21" s="65"/>
      <c r="H21" s="14"/>
      <c r="I21" s="65"/>
      <c r="J21" s="14"/>
      <c r="K21" s="65"/>
      <c r="L21" s="14"/>
      <c r="M21" s="65"/>
      <c r="N21" s="14"/>
      <c r="O21" s="58"/>
      <c r="P21" s="14"/>
      <c r="Q21" s="65"/>
      <c r="R21" s="15"/>
      <c r="S21" s="65"/>
      <c r="T21" s="14"/>
      <c r="U21" s="65"/>
      <c r="V21" s="15"/>
      <c r="W21" s="65"/>
      <c r="X21" s="14"/>
      <c r="Y21" s="65"/>
      <c r="Z21" s="14"/>
      <c r="AA21" s="65"/>
      <c r="AB21" s="14"/>
      <c r="AC21" s="65"/>
      <c r="AD21" s="15"/>
      <c r="AE21" s="65"/>
      <c r="AF21" s="14"/>
      <c r="AG21" s="65"/>
      <c r="AH21" s="14"/>
      <c r="AI21" s="65"/>
      <c r="AJ21" s="14"/>
      <c r="AK21" s="65"/>
      <c r="AL21" s="14"/>
      <c r="AM21" s="65"/>
      <c r="AN21" s="14"/>
      <c r="AO21" s="65"/>
      <c r="AP21" s="509"/>
      <c r="AQ21" s="510"/>
      <c r="AR21" s="33"/>
      <c r="AS21" s="34"/>
      <c r="AT21" s="142">
        <v>17</v>
      </c>
      <c r="AU21" s="151" t="s">
        <v>129</v>
      </c>
      <c r="AV21" s="507"/>
      <c r="AW21" s="14"/>
      <c r="AX21" s="70"/>
      <c r="AY21" s="72"/>
      <c r="AZ21" s="70"/>
      <c r="BA21" s="72"/>
      <c r="BB21" s="72"/>
      <c r="BC21" s="58"/>
      <c r="BD21" s="70"/>
      <c r="BE21" s="14"/>
      <c r="BF21" s="70"/>
      <c r="BG21" s="72"/>
      <c r="BH21" s="70"/>
      <c r="BI21" s="72"/>
      <c r="BJ21" s="72"/>
      <c r="BK21" s="58"/>
      <c r="BL21" s="70"/>
      <c r="BM21" s="37"/>
      <c r="BN21" s="74" t="s">
        <v>34</v>
      </c>
      <c r="BO21" s="69"/>
      <c r="BP21" s="74" t="s">
        <v>34</v>
      </c>
      <c r="BQ21" s="69"/>
      <c r="BR21" s="74" t="s">
        <v>34</v>
      </c>
      <c r="BS21" s="97"/>
      <c r="BT21" s="74" t="s">
        <v>34</v>
      </c>
      <c r="BU21" s="96"/>
      <c r="BV21" s="67"/>
      <c r="BW21" s="69"/>
      <c r="BX21" s="67" t="s">
        <v>33</v>
      </c>
      <c r="BY21" s="69"/>
      <c r="BZ21" s="72" t="s">
        <v>33</v>
      </c>
      <c r="CA21" s="97"/>
      <c r="CB21" s="67" t="s">
        <v>33</v>
      </c>
      <c r="CC21" s="142">
        <v>17</v>
      </c>
      <c r="CD21" s="151" t="s">
        <v>129</v>
      </c>
      <c r="CE21" s="507"/>
      <c r="CF21" s="60">
        <f t="shared" si="0"/>
        <v>3</v>
      </c>
      <c r="CG21" s="76">
        <f t="shared" si="1"/>
        <v>4</v>
      </c>
      <c r="CH21" s="27"/>
      <c r="CI21" s="28"/>
      <c r="CJ21" s="449"/>
      <c r="CK21" s="450"/>
    </row>
    <row r="22" spans="1:89" ht="15" customHeight="1">
      <c r="A22" s="22">
        <v>18</v>
      </c>
      <c r="B22" s="13" t="s">
        <v>130</v>
      </c>
      <c r="C22" s="507"/>
      <c r="D22" s="16"/>
      <c r="E22" s="17"/>
      <c r="F22" s="16"/>
      <c r="G22" s="17"/>
      <c r="H22" s="16"/>
      <c r="I22" s="17"/>
      <c r="J22" s="16"/>
      <c r="K22" s="17"/>
      <c r="L22" s="16"/>
      <c r="M22" s="17"/>
      <c r="N22" s="16"/>
      <c r="O22" s="59"/>
      <c r="P22" s="16"/>
      <c r="Q22" s="17"/>
      <c r="R22" s="18"/>
      <c r="S22" s="17"/>
      <c r="T22" s="18"/>
      <c r="U22" s="17"/>
      <c r="V22" s="18"/>
      <c r="W22" s="17"/>
      <c r="X22" s="18"/>
      <c r="Y22" s="17"/>
      <c r="Z22" s="16"/>
      <c r="AA22" s="17"/>
      <c r="AB22" s="16"/>
      <c r="AC22" s="17"/>
      <c r="AD22" s="18"/>
      <c r="AE22" s="17"/>
      <c r="AF22" s="16"/>
      <c r="AG22" s="17"/>
      <c r="AH22" s="16"/>
      <c r="AI22" s="17"/>
      <c r="AJ22" s="16"/>
      <c r="AK22" s="17"/>
      <c r="AL22" s="16"/>
      <c r="AM22" s="17"/>
      <c r="AN22" s="16"/>
      <c r="AO22" s="17"/>
      <c r="AP22" s="525"/>
      <c r="AQ22" s="526"/>
      <c r="AR22" s="104"/>
      <c r="AS22" s="105"/>
      <c r="AT22" s="22">
        <v>18</v>
      </c>
      <c r="AU22" s="13" t="s">
        <v>130</v>
      </c>
      <c r="AV22" s="507"/>
      <c r="AW22" s="16"/>
      <c r="AX22" s="66" t="s">
        <v>33</v>
      </c>
      <c r="AY22" s="68"/>
      <c r="AZ22" s="66" t="s">
        <v>33</v>
      </c>
      <c r="BA22" s="68"/>
      <c r="BB22" s="73" t="s">
        <v>33</v>
      </c>
      <c r="BC22" s="83"/>
      <c r="BD22" s="66" t="s">
        <v>33</v>
      </c>
      <c r="BE22" s="16"/>
      <c r="BF22" s="71"/>
      <c r="BG22" s="73"/>
      <c r="BH22" s="71"/>
      <c r="BI22" s="73"/>
      <c r="BJ22" s="73"/>
      <c r="BK22" s="59"/>
      <c r="BL22" s="71"/>
      <c r="BM22" s="38"/>
      <c r="BN22" s="71"/>
      <c r="BO22" s="73"/>
      <c r="BP22" s="71"/>
      <c r="BQ22" s="73"/>
      <c r="BR22" s="73"/>
      <c r="BS22" s="18"/>
      <c r="BT22" s="71"/>
      <c r="BU22" s="108"/>
      <c r="BV22" s="75"/>
      <c r="BW22" s="68"/>
      <c r="BX22" s="75" t="s">
        <v>34</v>
      </c>
      <c r="BY22" s="68"/>
      <c r="BZ22" s="75" t="s">
        <v>34</v>
      </c>
      <c r="CA22" s="83"/>
      <c r="CB22" s="75" t="s">
        <v>34</v>
      </c>
      <c r="CC22" s="22">
        <v>18</v>
      </c>
      <c r="CD22" s="13" t="s">
        <v>130</v>
      </c>
      <c r="CE22" s="507"/>
      <c r="CF22" s="60">
        <f t="shared" si="0"/>
        <v>4</v>
      </c>
      <c r="CG22" s="76">
        <f t="shared" si="1"/>
        <v>3</v>
      </c>
      <c r="CH22" s="27"/>
      <c r="CI22" s="28"/>
      <c r="CJ22" s="449"/>
      <c r="CK22" s="450"/>
    </row>
    <row r="23" spans="1:89" ht="15" customHeight="1">
      <c r="A23" s="22">
        <v>19</v>
      </c>
      <c r="B23" s="13" t="s">
        <v>131</v>
      </c>
      <c r="C23" s="508"/>
      <c r="D23" s="16"/>
      <c r="E23" s="17"/>
      <c r="F23" s="16"/>
      <c r="G23" s="17"/>
      <c r="H23" s="16"/>
      <c r="I23" s="17"/>
      <c r="J23" s="16"/>
      <c r="K23" s="17"/>
      <c r="L23" s="16"/>
      <c r="M23" s="17"/>
      <c r="N23" s="16"/>
      <c r="O23" s="59"/>
      <c r="P23" s="16"/>
      <c r="Q23" s="17"/>
      <c r="R23" s="18"/>
      <c r="S23" s="17"/>
      <c r="T23" s="18"/>
      <c r="U23" s="17"/>
      <c r="V23" s="18"/>
      <c r="W23" s="17"/>
      <c r="X23" s="18"/>
      <c r="Y23" s="17"/>
      <c r="Z23" s="16"/>
      <c r="AA23" s="17"/>
      <c r="AB23" s="16"/>
      <c r="AC23" s="17"/>
      <c r="AD23" s="18"/>
      <c r="AE23" s="17"/>
      <c r="AF23" s="16"/>
      <c r="AG23" s="17"/>
      <c r="AH23" s="16"/>
      <c r="AI23" s="17"/>
      <c r="AJ23" s="16"/>
      <c r="AK23" s="17"/>
      <c r="AL23" s="16"/>
      <c r="AM23" s="17"/>
      <c r="AN23" s="16"/>
      <c r="AO23" s="17"/>
      <c r="AP23" s="525"/>
      <c r="AQ23" s="526"/>
      <c r="AR23" s="104"/>
      <c r="AS23" s="105"/>
      <c r="AT23" s="22">
        <v>19</v>
      </c>
      <c r="AU23" s="13" t="s">
        <v>131</v>
      </c>
      <c r="AV23" s="508"/>
      <c r="AW23" s="16"/>
      <c r="AX23" s="75" t="s">
        <v>34</v>
      </c>
      <c r="AY23" s="68"/>
      <c r="AZ23" s="75" t="s">
        <v>34</v>
      </c>
      <c r="BA23" s="68"/>
      <c r="BB23" s="75" t="s">
        <v>34</v>
      </c>
      <c r="BC23" s="83"/>
      <c r="BD23" s="75" t="s">
        <v>34</v>
      </c>
      <c r="BE23" s="16"/>
      <c r="BF23" s="66" t="s">
        <v>33</v>
      </c>
      <c r="BG23" s="68"/>
      <c r="BH23" s="66" t="s">
        <v>33</v>
      </c>
      <c r="BI23" s="68"/>
      <c r="BJ23" s="73" t="s">
        <v>33</v>
      </c>
      <c r="BK23" s="83"/>
      <c r="BL23" s="66" t="s">
        <v>33</v>
      </c>
      <c r="BM23" s="38"/>
      <c r="BN23" s="71"/>
      <c r="BO23" s="73"/>
      <c r="BP23" s="71"/>
      <c r="BQ23" s="73"/>
      <c r="BR23" s="73"/>
      <c r="BS23" s="18"/>
      <c r="BT23" s="71"/>
      <c r="BU23" s="108"/>
      <c r="BV23" s="66"/>
      <c r="BW23" s="68"/>
      <c r="BX23" s="66"/>
      <c r="BY23" s="68"/>
      <c r="BZ23" s="68"/>
      <c r="CA23" s="83"/>
      <c r="CB23" s="66"/>
      <c r="CC23" s="22">
        <v>19</v>
      </c>
      <c r="CD23" s="13" t="s">
        <v>131</v>
      </c>
      <c r="CE23" s="508"/>
      <c r="CF23" s="60">
        <f t="shared" si="0"/>
        <v>4</v>
      </c>
      <c r="CG23" s="76">
        <f t="shared" si="1"/>
        <v>4</v>
      </c>
      <c r="CH23" s="27"/>
      <c r="CI23" s="28"/>
      <c r="CJ23" s="545"/>
      <c r="CK23" s="546"/>
    </row>
    <row r="24" spans="1:89" ht="15" customHeight="1">
      <c r="A24" s="142">
        <v>20</v>
      </c>
      <c r="B24" s="151" t="s">
        <v>132</v>
      </c>
      <c r="C24" s="506">
        <v>51</v>
      </c>
      <c r="D24" s="14"/>
      <c r="E24" s="65"/>
      <c r="F24" s="14"/>
      <c r="G24" s="65"/>
      <c r="H24" s="14"/>
      <c r="I24" s="65"/>
      <c r="J24" s="14"/>
      <c r="K24" s="65"/>
      <c r="L24" s="14"/>
      <c r="M24" s="65"/>
      <c r="N24" s="14"/>
      <c r="O24" s="58"/>
      <c r="P24" s="14"/>
      <c r="Q24" s="65"/>
      <c r="R24" s="15"/>
      <c r="S24" s="65"/>
      <c r="T24" s="15"/>
      <c r="U24" s="65"/>
      <c r="V24" s="15"/>
      <c r="W24" s="65"/>
      <c r="X24" s="15"/>
      <c r="Y24" s="65"/>
      <c r="Z24" s="14"/>
      <c r="AA24" s="65"/>
      <c r="AB24" s="14"/>
      <c r="AC24" s="65"/>
      <c r="AD24" s="15"/>
      <c r="AE24" s="65"/>
      <c r="AF24" s="14"/>
      <c r="AG24" s="65"/>
      <c r="AH24" s="14"/>
      <c r="AI24" s="65"/>
      <c r="AJ24" s="14"/>
      <c r="AK24" s="65"/>
      <c r="AL24" s="14"/>
      <c r="AM24" s="65"/>
      <c r="AN24" s="14"/>
      <c r="AO24" s="65"/>
      <c r="AP24" s="509" t="s">
        <v>299</v>
      </c>
      <c r="AQ24" s="510"/>
      <c r="AR24" s="33"/>
      <c r="AS24" s="34"/>
      <c r="AT24" s="142">
        <v>20</v>
      </c>
      <c r="AU24" s="151" t="s">
        <v>132</v>
      </c>
      <c r="AV24" s="506">
        <v>52</v>
      </c>
      <c r="AW24" s="14"/>
      <c r="AX24" s="70"/>
      <c r="AY24" s="72"/>
      <c r="AZ24" s="70"/>
      <c r="BA24" s="72"/>
      <c r="BB24" s="72"/>
      <c r="BC24" s="58"/>
      <c r="BD24" s="70"/>
      <c r="BE24" s="14"/>
      <c r="BF24" s="74" t="s">
        <v>34</v>
      </c>
      <c r="BG24" s="69"/>
      <c r="BH24" s="74" t="s">
        <v>34</v>
      </c>
      <c r="BI24" s="69"/>
      <c r="BJ24" s="74" t="s">
        <v>34</v>
      </c>
      <c r="BK24" s="97"/>
      <c r="BL24" s="74" t="s">
        <v>34</v>
      </c>
      <c r="BM24" s="37"/>
      <c r="BN24" s="67" t="s">
        <v>33</v>
      </c>
      <c r="BO24" s="69"/>
      <c r="BP24" s="67" t="s">
        <v>33</v>
      </c>
      <c r="BQ24" s="69"/>
      <c r="BR24" s="72" t="s">
        <v>33</v>
      </c>
      <c r="BS24" s="97"/>
      <c r="BT24" s="67" t="s">
        <v>33</v>
      </c>
      <c r="BU24" s="96"/>
      <c r="BV24" s="67"/>
      <c r="BW24" s="69"/>
      <c r="BX24" s="67"/>
      <c r="BY24" s="69"/>
      <c r="BZ24" s="69"/>
      <c r="CA24" s="97"/>
      <c r="CB24" s="67"/>
      <c r="CC24" s="142">
        <v>20</v>
      </c>
      <c r="CD24" s="151" t="s">
        <v>132</v>
      </c>
      <c r="CE24" s="506">
        <v>51</v>
      </c>
      <c r="CF24" s="60">
        <f t="shared" si="0"/>
        <v>4</v>
      </c>
      <c r="CG24" s="76">
        <f t="shared" si="1"/>
        <v>4</v>
      </c>
      <c r="CH24" s="27"/>
      <c r="CI24" s="28"/>
      <c r="CJ24" s="449"/>
      <c r="CK24" s="450"/>
    </row>
    <row r="25" spans="1:89" ht="15" customHeight="1">
      <c r="A25" s="142">
        <v>21</v>
      </c>
      <c r="B25" s="151" t="s">
        <v>133</v>
      </c>
      <c r="C25" s="507"/>
      <c r="D25" s="14"/>
      <c r="E25" s="65"/>
      <c r="F25" s="14"/>
      <c r="G25" s="65"/>
      <c r="H25" s="14"/>
      <c r="I25" s="65"/>
      <c r="J25" s="14"/>
      <c r="K25" s="65"/>
      <c r="L25" s="14"/>
      <c r="M25" s="65"/>
      <c r="N25" s="14"/>
      <c r="O25" s="58"/>
      <c r="P25" s="14"/>
      <c r="Q25" s="65"/>
      <c r="R25" s="15"/>
      <c r="S25" s="65"/>
      <c r="T25" s="15"/>
      <c r="U25" s="65"/>
      <c r="V25" s="15"/>
      <c r="W25" s="65"/>
      <c r="X25" s="15"/>
      <c r="Y25" s="65"/>
      <c r="Z25" s="14"/>
      <c r="AA25" s="65"/>
      <c r="AB25" s="14"/>
      <c r="AC25" s="65"/>
      <c r="AD25" s="15"/>
      <c r="AE25" s="65"/>
      <c r="AF25" s="14"/>
      <c r="AG25" s="65"/>
      <c r="AH25" s="14"/>
      <c r="AI25" s="65"/>
      <c r="AJ25" s="14"/>
      <c r="AK25" s="65"/>
      <c r="AL25" s="14"/>
      <c r="AM25" s="65"/>
      <c r="AN25" s="14"/>
      <c r="AO25" s="65"/>
      <c r="AP25" s="509"/>
      <c r="AQ25" s="510"/>
      <c r="AR25" s="33"/>
      <c r="AS25" s="34"/>
      <c r="AT25" s="142">
        <v>21</v>
      </c>
      <c r="AU25" s="151" t="s">
        <v>133</v>
      </c>
      <c r="AV25" s="507"/>
      <c r="AW25" s="14"/>
      <c r="AX25" s="70"/>
      <c r="AY25" s="72"/>
      <c r="AZ25" s="70"/>
      <c r="BA25" s="72"/>
      <c r="BB25" s="72"/>
      <c r="BC25" s="58"/>
      <c r="BD25" s="70"/>
      <c r="BE25" s="14"/>
      <c r="BF25" s="70"/>
      <c r="BG25" s="72"/>
      <c r="BH25" s="70"/>
      <c r="BI25" s="72"/>
      <c r="BJ25" s="72"/>
      <c r="BK25" s="58"/>
      <c r="BL25" s="70"/>
      <c r="BM25" s="37"/>
      <c r="BN25" s="74" t="s">
        <v>34</v>
      </c>
      <c r="BO25" s="69"/>
      <c r="BP25" s="74" t="s">
        <v>34</v>
      </c>
      <c r="BQ25" s="69"/>
      <c r="BR25" s="74" t="s">
        <v>34</v>
      </c>
      <c r="BS25" s="97"/>
      <c r="BT25" s="74" t="s">
        <v>34</v>
      </c>
      <c r="BU25" s="96"/>
      <c r="BV25" s="67"/>
      <c r="BW25" s="69"/>
      <c r="BX25" s="67" t="s">
        <v>33</v>
      </c>
      <c r="BY25" s="69"/>
      <c r="BZ25" s="72" t="s">
        <v>33</v>
      </c>
      <c r="CA25" s="97"/>
      <c r="CB25" s="67" t="s">
        <v>33</v>
      </c>
      <c r="CC25" s="142">
        <v>21</v>
      </c>
      <c r="CD25" s="151" t="s">
        <v>133</v>
      </c>
      <c r="CE25" s="507"/>
      <c r="CF25" s="60">
        <f t="shared" si="0"/>
        <v>3</v>
      </c>
      <c r="CG25" s="76">
        <f t="shared" si="1"/>
        <v>4</v>
      </c>
      <c r="CH25" s="27"/>
      <c r="CI25" s="28"/>
      <c r="CJ25" s="449"/>
      <c r="CK25" s="450"/>
    </row>
    <row r="26" spans="1:89" ht="15" customHeight="1">
      <c r="A26" s="142">
        <v>22</v>
      </c>
      <c r="B26" s="151" t="s">
        <v>127</v>
      </c>
      <c r="C26" s="507"/>
      <c r="D26" s="14"/>
      <c r="E26" s="65"/>
      <c r="F26" s="14"/>
      <c r="G26" s="65"/>
      <c r="H26" s="112"/>
      <c r="I26" s="65"/>
      <c r="J26" s="14"/>
      <c r="K26" s="65"/>
      <c r="L26" s="112"/>
      <c r="M26" s="65"/>
      <c r="N26" s="14"/>
      <c r="O26" s="58"/>
      <c r="P26" s="14"/>
      <c r="Q26" s="65"/>
      <c r="R26" s="112"/>
      <c r="S26" s="65"/>
      <c r="T26" s="15"/>
      <c r="U26" s="65"/>
      <c r="V26" s="112"/>
      <c r="W26" s="65"/>
      <c r="X26" s="15"/>
      <c r="Y26" s="65"/>
      <c r="Z26" s="14"/>
      <c r="AA26" s="65"/>
      <c r="AB26" s="14"/>
      <c r="AC26" s="65"/>
      <c r="AD26" s="15"/>
      <c r="AE26" s="65"/>
      <c r="AF26" s="14"/>
      <c r="AG26" s="65"/>
      <c r="AH26" s="14"/>
      <c r="AI26" s="65"/>
      <c r="AJ26" s="14"/>
      <c r="AK26" s="65"/>
      <c r="AL26" s="14"/>
      <c r="AM26" s="65"/>
      <c r="AN26" s="14"/>
      <c r="AO26" s="65"/>
      <c r="AP26" s="523"/>
      <c r="AQ26" s="524"/>
      <c r="AR26" s="33"/>
      <c r="AS26" s="34"/>
      <c r="AT26" s="142">
        <v>22</v>
      </c>
      <c r="AU26" s="151" t="s">
        <v>127</v>
      </c>
      <c r="AV26" s="507"/>
      <c r="AW26" s="14"/>
      <c r="AX26" s="67" t="s">
        <v>33</v>
      </c>
      <c r="AY26" s="69"/>
      <c r="AZ26" s="67" t="s">
        <v>33</v>
      </c>
      <c r="BA26" s="69"/>
      <c r="BB26" s="72" t="s">
        <v>33</v>
      </c>
      <c r="BC26" s="97"/>
      <c r="BD26" s="67" t="s">
        <v>33</v>
      </c>
      <c r="BE26" s="14"/>
      <c r="BF26" s="70"/>
      <c r="BG26" s="72"/>
      <c r="BH26" s="70"/>
      <c r="BI26" s="72"/>
      <c r="BJ26" s="72"/>
      <c r="BK26" s="58"/>
      <c r="BL26" s="70"/>
      <c r="BM26" s="37"/>
      <c r="BN26" s="70"/>
      <c r="BO26" s="72"/>
      <c r="BP26" s="70"/>
      <c r="BQ26" s="72"/>
      <c r="BR26" s="72"/>
      <c r="BS26" s="15"/>
      <c r="BT26" s="70"/>
      <c r="BU26" s="96"/>
      <c r="BV26" s="74"/>
      <c r="BW26" s="69"/>
      <c r="BX26" s="74" t="s">
        <v>34</v>
      </c>
      <c r="BY26" s="69"/>
      <c r="BZ26" s="74" t="s">
        <v>34</v>
      </c>
      <c r="CA26" s="97"/>
      <c r="CB26" s="74" t="s">
        <v>34</v>
      </c>
      <c r="CC26" s="142">
        <v>22</v>
      </c>
      <c r="CD26" s="151" t="s">
        <v>127</v>
      </c>
      <c r="CE26" s="507"/>
      <c r="CF26" s="60">
        <f t="shared" si="0"/>
        <v>4</v>
      </c>
      <c r="CG26" s="76">
        <f t="shared" si="1"/>
        <v>3</v>
      </c>
      <c r="CH26" s="27"/>
      <c r="CI26" s="28"/>
      <c r="CJ26" s="449"/>
      <c r="CK26" s="450"/>
    </row>
    <row r="27" spans="1:89" ht="15" customHeight="1">
      <c r="A27" s="142">
        <v>23</v>
      </c>
      <c r="B27" s="151" t="s">
        <v>128</v>
      </c>
      <c r="C27" s="507"/>
      <c r="D27" s="14"/>
      <c r="E27" s="65"/>
      <c r="F27" s="14"/>
      <c r="G27" s="65"/>
      <c r="H27" s="14"/>
      <c r="I27" s="65"/>
      <c r="J27" s="14"/>
      <c r="K27" s="65"/>
      <c r="L27" s="14"/>
      <c r="M27" s="65"/>
      <c r="N27" s="14"/>
      <c r="O27" s="58"/>
      <c r="P27" s="14"/>
      <c r="Q27" s="65"/>
      <c r="R27" s="15"/>
      <c r="S27" s="65"/>
      <c r="T27" s="15"/>
      <c r="U27" s="65"/>
      <c r="V27" s="15"/>
      <c r="W27" s="65"/>
      <c r="X27" s="15"/>
      <c r="Y27" s="65"/>
      <c r="Z27" s="14"/>
      <c r="AA27" s="65"/>
      <c r="AB27" s="14"/>
      <c r="AC27" s="65"/>
      <c r="AD27" s="15"/>
      <c r="AE27" s="65"/>
      <c r="AF27" s="14"/>
      <c r="AG27" s="65"/>
      <c r="AH27" s="14"/>
      <c r="AI27" s="65"/>
      <c r="AJ27" s="14"/>
      <c r="AK27" s="65"/>
      <c r="AL27" s="14"/>
      <c r="AM27" s="65"/>
      <c r="AN27" s="14"/>
      <c r="AO27" s="65"/>
      <c r="AP27" s="523"/>
      <c r="AQ27" s="524"/>
      <c r="AR27" s="33"/>
      <c r="AS27" s="34"/>
      <c r="AT27" s="142">
        <v>23</v>
      </c>
      <c r="AU27" s="151" t="s">
        <v>128</v>
      </c>
      <c r="AV27" s="507"/>
      <c r="AW27" s="14"/>
      <c r="AX27" s="74" t="s">
        <v>34</v>
      </c>
      <c r="AY27" s="69"/>
      <c r="AZ27" s="74" t="s">
        <v>34</v>
      </c>
      <c r="BA27" s="69"/>
      <c r="BB27" s="74" t="s">
        <v>34</v>
      </c>
      <c r="BC27" s="97"/>
      <c r="BD27" s="74" t="s">
        <v>34</v>
      </c>
      <c r="BE27" s="14"/>
      <c r="BF27" s="67" t="s">
        <v>33</v>
      </c>
      <c r="BG27" s="69"/>
      <c r="BH27" s="67" t="s">
        <v>33</v>
      </c>
      <c r="BI27" s="69"/>
      <c r="BJ27" s="72" t="s">
        <v>33</v>
      </c>
      <c r="BK27" s="97"/>
      <c r="BL27" s="67" t="s">
        <v>33</v>
      </c>
      <c r="BM27" s="37"/>
      <c r="BN27" s="70"/>
      <c r="BO27" s="72"/>
      <c r="BP27" s="70"/>
      <c r="BQ27" s="72"/>
      <c r="BR27" s="72"/>
      <c r="BS27" s="15"/>
      <c r="BT27" s="70"/>
      <c r="BU27" s="96"/>
      <c r="BV27" s="67"/>
      <c r="BW27" s="69"/>
      <c r="BX27" s="67"/>
      <c r="BY27" s="69"/>
      <c r="BZ27" s="69"/>
      <c r="CA27" s="97"/>
      <c r="CB27" s="67"/>
      <c r="CC27" s="142">
        <v>23</v>
      </c>
      <c r="CD27" s="151" t="s">
        <v>128</v>
      </c>
      <c r="CE27" s="507"/>
      <c r="CF27" s="60">
        <f t="shared" si="0"/>
        <v>4</v>
      </c>
      <c r="CG27" s="76">
        <f t="shared" si="1"/>
        <v>4</v>
      </c>
      <c r="CH27" s="27"/>
      <c r="CI27" s="28"/>
      <c r="CJ27" s="449"/>
      <c r="CK27" s="450"/>
    </row>
    <row r="28" spans="1:89" ht="15" customHeight="1">
      <c r="A28" s="142">
        <v>24</v>
      </c>
      <c r="B28" s="151" t="s">
        <v>129</v>
      </c>
      <c r="C28" s="507"/>
      <c r="D28" s="14"/>
      <c r="E28" s="65"/>
      <c r="F28" s="14"/>
      <c r="G28" s="65"/>
      <c r="H28" s="14"/>
      <c r="I28" s="65"/>
      <c r="J28" s="14"/>
      <c r="K28" s="65"/>
      <c r="L28" s="14"/>
      <c r="M28" s="65"/>
      <c r="N28" s="14"/>
      <c r="O28" s="58"/>
      <c r="P28" s="14"/>
      <c r="Q28" s="65"/>
      <c r="R28" s="15"/>
      <c r="S28" s="65"/>
      <c r="T28" s="15"/>
      <c r="U28" s="65"/>
      <c r="V28" s="15"/>
      <c r="W28" s="65"/>
      <c r="X28" s="15"/>
      <c r="Y28" s="65"/>
      <c r="Z28" s="14"/>
      <c r="AA28" s="65"/>
      <c r="AB28" s="14"/>
      <c r="AC28" s="65"/>
      <c r="AD28" s="15"/>
      <c r="AE28" s="65"/>
      <c r="AF28" s="14"/>
      <c r="AG28" s="65"/>
      <c r="AH28" s="14"/>
      <c r="AI28" s="65"/>
      <c r="AJ28" s="14"/>
      <c r="AK28" s="65"/>
      <c r="AL28" s="14"/>
      <c r="AM28" s="65"/>
      <c r="AN28" s="14"/>
      <c r="AO28" s="65"/>
      <c r="AP28" s="523"/>
      <c r="AQ28" s="524"/>
      <c r="AR28" s="33"/>
      <c r="AS28" s="34"/>
      <c r="AT28" s="142">
        <v>24</v>
      </c>
      <c r="AU28" s="151" t="s">
        <v>129</v>
      </c>
      <c r="AV28" s="507"/>
      <c r="AW28" s="14"/>
      <c r="AX28" s="70"/>
      <c r="AY28" s="72"/>
      <c r="AZ28" s="70"/>
      <c r="BA28" s="72"/>
      <c r="BB28" s="72"/>
      <c r="BC28" s="58"/>
      <c r="BD28" s="70"/>
      <c r="BE28" s="14"/>
      <c r="BF28" s="74" t="s">
        <v>34</v>
      </c>
      <c r="BG28" s="69"/>
      <c r="BH28" s="74" t="s">
        <v>34</v>
      </c>
      <c r="BI28" s="69"/>
      <c r="BJ28" s="74" t="s">
        <v>34</v>
      </c>
      <c r="BK28" s="97"/>
      <c r="BL28" s="74" t="s">
        <v>34</v>
      </c>
      <c r="BM28" s="37"/>
      <c r="BN28" s="67" t="s">
        <v>33</v>
      </c>
      <c r="BO28" s="69"/>
      <c r="BP28" s="67" t="s">
        <v>33</v>
      </c>
      <c r="BQ28" s="69"/>
      <c r="BR28" s="72" t="s">
        <v>33</v>
      </c>
      <c r="BS28" s="97"/>
      <c r="BT28" s="67" t="s">
        <v>33</v>
      </c>
      <c r="BU28" s="96"/>
      <c r="BV28" s="67"/>
      <c r="BW28" s="69"/>
      <c r="BX28" s="67"/>
      <c r="BY28" s="69"/>
      <c r="BZ28" s="69"/>
      <c r="CA28" s="97"/>
      <c r="CB28" s="67"/>
      <c r="CC28" s="142">
        <v>24</v>
      </c>
      <c r="CD28" s="151" t="s">
        <v>129</v>
      </c>
      <c r="CE28" s="507"/>
      <c r="CF28" s="60">
        <f t="shared" si="0"/>
        <v>4</v>
      </c>
      <c r="CG28" s="76">
        <f t="shared" si="1"/>
        <v>4</v>
      </c>
      <c r="CH28" s="27"/>
      <c r="CI28" s="28"/>
      <c r="CJ28" s="449"/>
      <c r="CK28" s="450"/>
    </row>
    <row r="29" spans="1:89" ht="15" customHeight="1">
      <c r="A29" s="22">
        <v>25</v>
      </c>
      <c r="B29" s="13" t="s">
        <v>130</v>
      </c>
      <c r="C29" s="507"/>
      <c r="D29" s="16"/>
      <c r="E29" s="17"/>
      <c r="F29" s="16"/>
      <c r="G29" s="17"/>
      <c r="H29" s="16"/>
      <c r="I29" s="17"/>
      <c r="J29" s="16"/>
      <c r="K29" s="17"/>
      <c r="L29" s="16"/>
      <c r="M29" s="17"/>
      <c r="N29" s="16"/>
      <c r="O29" s="59"/>
      <c r="P29" s="16"/>
      <c r="Q29" s="17"/>
      <c r="R29" s="18"/>
      <c r="S29" s="17"/>
      <c r="T29" s="18"/>
      <c r="U29" s="17"/>
      <c r="V29" s="18"/>
      <c r="W29" s="17"/>
      <c r="X29" s="18"/>
      <c r="Y29" s="17"/>
      <c r="Z29" s="16"/>
      <c r="AA29" s="17"/>
      <c r="AB29" s="16"/>
      <c r="AC29" s="17"/>
      <c r="AD29" s="18"/>
      <c r="AE29" s="17"/>
      <c r="AF29" s="16"/>
      <c r="AG29" s="17"/>
      <c r="AH29" s="16"/>
      <c r="AI29" s="17"/>
      <c r="AJ29" s="16"/>
      <c r="AK29" s="17"/>
      <c r="AL29" s="16"/>
      <c r="AM29" s="17"/>
      <c r="AN29" s="16"/>
      <c r="AO29" s="17"/>
      <c r="AP29" s="529"/>
      <c r="AQ29" s="530"/>
      <c r="AR29" s="104"/>
      <c r="AS29" s="105"/>
      <c r="AT29" s="22">
        <v>25</v>
      </c>
      <c r="AU29" s="13" t="s">
        <v>130</v>
      </c>
      <c r="AV29" s="507"/>
      <c r="AW29" s="16"/>
      <c r="AX29" s="71"/>
      <c r="AY29" s="73"/>
      <c r="AZ29" s="71"/>
      <c r="BA29" s="73"/>
      <c r="BB29" s="73"/>
      <c r="BC29" s="59"/>
      <c r="BD29" s="71"/>
      <c r="BE29" s="16"/>
      <c r="BF29" s="71"/>
      <c r="BG29" s="73"/>
      <c r="BH29" s="71"/>
      <c r="BI29" s="73"/>
      <c r="BJ29" s="73"/>
      <c r="BK29" s="59"/>
      <c r="BL29" s="71"/>
      <c r="BM29" s="38"/>
      <c r="BN29" s="75" t="s">
        <v>34</v>
      </c>
      <c r="BO29" s="68"/>
      <c r="BP29" s="75" t="s">
        <v>34</v>
      </c>
      <c r="BQ29" s="68"/>
      <c r="BR29" s="75" t="s">
        <v>34</v>
      </c>
      <c r="BS29" s="83"/>
      <c r="BT29" s="70" t="s">
        <v>61</v>
      </c>
      <c r="BU29" s="108"/>
      <c r="BV29" s="66"/>
      <c r="BW29" s="68"/>
      <c r="BX29" s="66" t="s">
        <v>33</v>
      </c>
      <c r="BY29" s="68"/>
      <c r="BZ29" s="73" t="s">
        <v>33</v>
      </c>
      <c r="CA29" s="83"/>
      <c r="CB29" s="66" t="s">
        <v>33</v>
      </c>
      <c r="CC29" s="22">
        <v>25</v>
      </c>
      <c r="CD29" s="13" t="s">
        <v>130</v>
      </c>
      <c r="CE29" s="507"/>
      <c r="CF29" s="60">
        <f t="shared" si="0"/>
        <v>3</v>
      </c>
      <c r="CG29" s="76">
        <f t="shared" si="1"/>
        <v>3</v>
      </c>
      <c r="CH29" s="27"/>
      <c r="CI29" s="28"/>
      <c r="CJ29" s="449"/>
      <c r="CK29" s="450"/>
    </row>
    <row r="30" spans="1:89" ht="15" customHeight="1">
      <c r="A30" s="22">
        <v>26</v>
      </c>
      <c r="B30" s="13" t="s">
        <v>131</v>
      </c>
      <c r="C30" s="508"/>
      <c r="D30" s="111"/>
      <c r="E30" s="17"/>
      <c r="F30" s="111"/>
      <c r="G30" s="17"/>
      <c r="H30" s="111"/>
      <c r="I30" s="17"/>
      <c r="J30" s="111"/>
      <c r="K30" s="17"/>
      <c r="L30" s="111"/>
      <c r="M30" s="17"/>
      <c r="N30" s="16"/>
      <c r="O30" s="59"/>
      <c r="P30" s="16"/>
      <c r="Q30" s="17"/>
      <c r="R30" s="111"/>
      <c r="S30" s="17"/>
      <c r="T30" s="111"/>
      <c r="U30" s="17"/>
      <c r="V30" s="18"/>
      <c r="W30" s="17"/>
      <c r="X30" s="111"/>
      <c r="Y30" s="17"/>
      <c r="Z30" s="111"/>
      <c r="AA30" s="17"/>
      <c r="AB30" s="111"/>
      <c r="AC30" s="17"/>
      <c r="AD30" s="111"/>
      <c r="AE30" s="17"/>
      <c r="AF30" s="111"/>
      <c r="AG30" s="17"/>
      <c r="AH30" s="111"/>
      <c r="AI30" s="17"/>
      <c r="AJ30" s="16"/>
      <c r="AK30" s="17"/>
      <c r="AL30" s="111"/>
      <c r="AM30" s="17"/>
      <c r="AN30" s="111"/>
      <c r="AO30" s="17"/>
      <c r="AP30" s="529"/>
      <c r="AQ30" s="530"/>
      <c r="AR30" s="104"/>
      <c r="AS30" s="105"/>
      <c r="AT30" s="22">
        <v>26</v>
      </c>
      <c r="AU30" s="13" t="s">
        <v>131</v>
      </c>
      <c r="AV30" s="508"/>
      <c r="AW30" s="16"/>
      <c r="AX30" s="66" t="s">
        <v>33</v>
      </c>
      <c r="AY30" s="68"/>
      <c r="AZ30" s="66" t="s">
        <v>33</v>
      </c>
      <c r="BA30" s="68"/>
      <c r="BB30" s="73" t="s">
        <v>33</v>
      </c>
      <c r="BC30" s="83"/>
      <c r="BD30" s="66" t="s">
        <v>33</v>
      </c>
      <c r="BE30" s="16"/>
      <c r="BF30" s="71"/>
      <c r="BG30" s="73"/>
      <c r="BH30" s="71"/>
      <c r="BI30" s="73"/>
      <c r="BJ30" s="73"/>
      <c r="BK30" s="59"/>
      <c r="BL30" s="71"/>
      <c r="BM30" s="38"/>
      <c r="BN30" s="71"/>
      <c r="BO30" s="73"/>
      <c r="BP30" s="71"/>
      <c r="BQ30" s="73"/>
      <c r="BR30" s="73"/>
      <c r="BS30" s="18"/>
      <c r="BT30" s="71"/>
      <c r="BU30" s="108"/>
      <c r="BV30" s="75"/>
      <c r="BW30" s="68"/>
      <c r="BX30" s="75" t="s">
        <v>34</v>
      </c>
      <c r="BY30" s="68"/>
      <c r="BZ30" s="75" t="s">
        <v>34</v>
      </c>
      <c r="CA30" s="83"/>
      <c r="CB30" s="75" t="s">
        <v>34</v>
      </c>
      <c r="CC30" s="22">
        <v>26</v>
      </c>
      <c r="CD30" s="13" t="s">
        <v>131</v>
      </c>
      <c r="CE30" s="508"/>
      <c r="CF30" s="60">
        <f t="shared" si="0"/>
        <v>4</v>
      </c>
      <c r="CG30" s="76">
        <f t="shared" si="1"/>
        <v>3</v>
      </c>
      <c r="CH30" s="27"/>
      <c r="CI30" s="28"/>
      <c r="CJ30" s="449"/>
      <c r="CK30" s="450"/>
    </row>
    <row r="31" spans="1:89" ht="15" customHeight="1">
      <c r="A31" s="142">
        <v>27</v>
      </c>
      <c r="B31" s="151" t="s">
        <v>132</v>
      </c>
      <c r="C31" s="506">
        <v>52</v>
      </c>
      <c r="D31" s="14"/>
      <c r="E31" s="65"/>
      <c r="F31" s="14"/>
      <c r="G31" s="65"/>
      <c r="H31" s="14"/>
      <c r="I31" s="65"/>
      <c r="J31" s="14"/>
      <c r="K31" s="65"/>
      <c r="L31" s="14"/>
      <c r="M31" s="65"/>
      <c r="N31" s="14"/>
      <c r="O31" s="58"/>
      <c r="P31" s="14"/>
      <c r="Q31" s="65"/>
      <c r="R31" s="15"/>
      <c r="S31" s="65"/>
      <c r="T31" s="15"/>
      <c r="U31" s="65"/>
      <c r="V31" s="15"/>
      <c r="W31" s="65"/>
      <c r="X31" s="15"/>
      <c r="Y31" s="65"/>
      <c r="Z31" s="14"/>
      <c r="AA31" s="65"/>
      <c r="AB31" s="14"/>
      <c r="AC31" s="65"/>
      <c r="AD31" s="15"/>
      <c r="AE31" s="65"/>
      <c r="AF31" s="14"/>
      <c r="AG31" s="65"/>
      <c r="AH31" s="14"/>
      <c r="AI31" s="65"/>
      <c r="AJ31" s="14"/>
      <c r="AK31" s="65"/>
      <c r="AL31" s="14"/>
      <c r="AM31" s="65"/>
      <c r="AN31" s="14"/>
      <c r="AO31" s="65"/>
      <c r="AP31" s="523"/>
      <c r="AQ31" s="524"/>
      <c r="AR31" s="33"/>
      <c r="AS31" s="34"/>
      <c r="AT31" s="142">
        <v>27</v>
      </c>
      <c r="AU31" s="151" t="s">
        <v>132</v>
      </c>
      <c r="AV31" s="506">
        <v>53</v>
      </c>
      <c r="AW31" s="14"/>
      <c r="AX31" s="74" t="s">
        <v>34</v>
      </c>
      <c r="AY31" s="69"/>
      <c r="AZ31" s="74" t="s">
        <v>34</v>
      </c>
      <c r="BA31" s="69"/>
      <c r="BB31" s="74" t="s">
        <v>34</v>
      </c>
      <c r="BC31" s="97"/>
      <c r="BD31" s="74" t="s">
        <v>34</v>
      </c>
      <c r="BE31" s="14"/>
      <c r="BF31" s="67" t="s">
        <v>33</v>
      </c>
      <c r="BG31" s="69"/>
      <c r="BH31" s="67" t="s">
        <v>33</v>
      </c>
      <c r="BI31" s="69"/>
      <c r="BJ31" s="72" t="s">
        <v>33</v>
      </c>
      <c r="BK31" s="97"/>
      <c r="BL31" s="67" t="s">
        <v>33</v>
      </c>
      <c r="BM31" s="37"/>
      <c r="BN31" s="70"/>
      <c r="BO31" s="72"/>
      <c r="BP31" s="70"/>
      <c r="BQ31" s="72"/>
      <c r="BR31" s="72"/>
      <c r="BS31" s="15"/>
      <c r="BT31" s="70"/>
      <c r="BU31" s="96"/>
      <c r="BV31" s="67"/>
      <c r="BW31" s="69"/>
      <c r="BX31" s="67"/>
      <c r="BY31" s="69"/>
      <c r="BZ31" s="69"/>
      <c r="CA31" s="97"/>
      <c r="CB31" s="67"/>
      <c r="CC31" s="142">
        <v>27</v>
      </c>
      <c r="CD31" s="151" t="s">
        <v>132</v>
      </c>
      <c r="CE31" s="506">
        <v>52</v>
      </c>
      <c r="CF31" s="60">
        <f t="shared" si="0"/>
        <v>4</v>
      </c>
      <c r="CG31" s="76">
        <f t="shared" si="1"/>
        <v>4</v>
      </c>
      <c r="CH31" s="27"/>
      <c r="CI31" s="28"/>
      <c r="CJ31" s="449"/>
      <c r="CK31" s="450"/>
    </row>
    <row r="32" spans="1:89" ht="15" customHeight="1">
      <c r="A32" s="142">
        <v>28</v>
      </c>
      <c r="B32" s="151" t="s">
        <v>133</v>
      </c>
      <c r="C32" s="507"/>
      <c r="D32" s="14"/>
      <c r="E32" s="65"/>
      <c r="F32" s="14"/>
      <c r="G32" s="65"/>
      <c r="H32" s="14"/>
      <c r="I32" s="65"/>
      <c r="J32" s="14"/>
      <c r="K32" s="65"/>
      <c r="L32" s="14"/>
      <c r="M32" s="65"/>
      <c r="N32" s="14"/>
      <c r="O32" s="58"/>
      <c r="P32" s="14"/>
      <c r="Q32" s="65"/>
      <c r="R32" s="15"/>
      <c r="S32" s="65"/>
      <c r="T32" s="15"/>
      <c r="U32" s="65"/>
      <c r="V32" s="15"/>
      <c r="W32" s="65"/>
      <c r="X32" s="15"/>
      <c r="Y32" s="65"/>
      <c r="Z32" s="14"/>
      <c r="AA32" s="65"/>
      <c r="AB32" s="14"/>
      <c r="AC32" s="65"/>
      <c r="AD32" s="15"/>
      <c r="AE32" s="65"/>
      <c r="AF32" s="14"/>
      <c r="AG32" s="65"/>
      <c r="AH32" s="14"/>
      <c r="AI32" s="65"/>
      <c r="AJ32" s="14"/>
      <c r="AK32" s="65"/>
      <c r="AL32" s="14"/>
      <c r="AM32" s="65"/>
      <c r="AN32" s="14"/>
      <c r="AO32" s="65"/>
      <c r="AP32" s="509"/>
      <c r="AQ32" s="510"/>
      <c r="AR32" s="33"/>
      <c r="AS32" s="34"/>
      <c r="AT32" s="142">
        <v>28</v>
      </c>
      <c r="AU32" s="151" t="s">
        <v>133</v>
      </c>
      <c r="AV32" s="507"/>
      <c r="AW32" s="14"/>
      <c r="AX32" s="70"/>
      <c r="AY32" s="72"/>
      <c r="AZ32" s="70"/>
      <c r="BA32" s="72"/>
      <c r="BB32" s="72"/>
      <c r="BC32" s="58"/>
      <c r="BD32" s="70"/>
      <c r="BE32" s="14"/>
      <c r="BF32" s="74" t="s">
        <v>34</v>
      </c>
      <c r="BG32" s="69"/>
      <c r="BH32" s="74" t="s">
        <v>34</v>
      </c>
      <c r="BI32" s="69"/>
      <c r="BJ32" s="74" t="s">
        <v>34</v>
      </c>
      <c r="BK32" s="97"/>
      <c r="BL32" s="74" t="s">
        <v>34</v>
      </c>
      <c r="BM32" s="37"/>
      <c r="BN32" s="67" t="s">
        <v>33</v>
      </c>
      <c r="BO32" s="69"/>
      <c r="BP32" s="67" t="s">
        <v>33</v>
      </c>
      <c r="BQ32" s="69"/>
      <c r="BR32" s="72" t="s">
        <v>33</v>
      </c>
      <c r="BS32" s="97"/>
      <c r="BT32" s="67" t="s">
        <v>33</v>
      </c>
      <c r="BU32" s="96"/>
      <c r="BV32" s="67"/>
      <c r="BW32" s="69"/>
      <c r="BX32" s="67"/>
      <c r="BY32" s="69"/>
      <c r="BZ32" s="69"/>
      <c r="CA32" s="97"/>
      <c r="CB32" s="67"/>
      <c r="CC32" s="142">
        <v>28</v>
      </c>
      <c r="CD32" s="151" t="s">
        <v>133</v>
      </c>
      <c r="CE32" s="507"/>
      <c r="CF32" s="60">
        <f t="shared" si="0"/>
        <v>4</v>
      </c>
      <c r="CG32" s="76">
        <f t="shared" si="1"/>
        <v>4</v>
      </c>
      <c r="CH32" s="27"/>
      <c r="CI32" s="28"/>
      <c r="CJ32" s="449"/>
      <c r="CK32" s="450"/>
    </row>
    <row r="33" spans="1:89" ht="15" customHeight="1">
      <c r="A33" s="142">
        <v>29</v>
      </c>
      <c r="B33" s="151" t="s">
        <v>127</v>
      </c>
      <c r="C33" s="507"/>
      <c r="D33" s="14"/>
      <c r="E33" s="65"/>
      <c r="F33" s="14"/>
      <c r="G33" s="65"/>
      <c r="H33" s="14"/>
      <c r="I33" s="65"/>
      <c r="J33" s="14"/>
      <c r="K33" s="65"/>
      <c r="L33" s="14"/>
      <c r="M33" s="65"/>
      <c r="N33" s="14"/>
      <c r="O33" s="58"/>
      <c r="P33" s="14"/>
      <c r="Q33" s="65"/>
      <c r="R33" s="15"/>
      <c r="S33" s="65"/>
      <c r="T33" s="15"/>
      <c r="U33" s="65"/>
      <c r="V33" s="15"/>
      <c r="W33" s="65"/>
      <c r="X33" s="15"/>
      <c r="Y33" s="65"/>
      <c r="Z33" s="14"/>
      <c r="AA33" s="65"/>
      <c r="AB33" s="14"/>
      <c r="AC33" s="65"/>
      <c r="AD33" s="15"/>
      <c r="AE33" s="65"/>
      <c r="AF33" s="14"/>
      <c r="AG33" s="65"/>
      <c r="AH33" s="14"/>
      <c r="AI33" s="65"/>
      <c r="AJ33" s="14"/>
      <c r="AK33" s="65"/>
      <c r="AL33" s="14"/>
      <c r="AM33" s="65"/>
      <c r="AN33" s="14"/>
      <c r="AO33" s="65"/>
      <c r="AP33" s="509"/>
      <c r="AQ33" s="510"/>
      <c r="AR33" s="33"/>
      <c r="AS33" s="34"/>
      <c r="AT33" s="142">
        <v>29</v>
      </c>
      <c r="AU33" s="151" t="s">
        <v>127</v>
      </c>
      <c r="AV33" s="507"/>
      <c r="AW33" s="14"/>
      <c r="AX33" s="70"/>
      <c r="AY33" s="72"/>
      <c r="AZ33" s="70"/>
      <c r="BA33" s="72"/>
      <c r="BB33" s="72"/>
      <c r="BC33" s="58"/>
      <c r="BD33" s="70"/>
      <c r="BE33" s="14"/>
      <c r="BF33" s="70"/>
      <c r="BG33" s="72"/>
      <c r="BH33" s="70"/>
      <c r="BI33" s="72"/>
      <c r="BJ33" s="72"/>
      <c r="BK33" s="58"/>
      <c r="BL33" s="70"/>
      <c r="BM33" s="37"/>
      <c r="BN33" s="74" t="s">
        <v>34</v>
      </c>
      <c r="BO33" s="69"/>
      <c r="BP33" s="74" t="s">
        <v>34</v>
      </c>
      <c r="BQ33" s="69"/>
      <c r="BR33" s="74" t="s">
        <v>34</v>
      </c>
      <c r="BS33" s="97"/>
      <c r="BT33" s="74" t="s">
        <v>34</v>
      </c>
      <c r="BU33" s="96"/>
      <c r="BV33" s="67"/>
      <c r="BW33" s="69"/>
      <c r="BX33" s="67" t="s">
        <v>33</v>
      </c>
      <c r="BY33" s="69"/>
      <c r="BZ33" s="72" t="s">
        <v>33</v>
      </c>
      <c r="CA33" s="97"/>
      <c r="CB33" s="67" t="s">
        <v>33</v>
      </c>
      <c r="CC33" s="142">
        <v>29</v>
      </c>
      <c r="CD33" s="151" t="s">
        <v>127</v>
      </c>
      <c r="CE33" s="507"/>
      <c r="CF33" s="60">
        <f t="shared" si="0"/>
        <v>3</v>
      </c>
      <c r="CG33" s="76">
        <f t="shared" si="1"/>
        <v>4</v>
      </c>
      <c r="CH33" s="27"/>
      <c r="CI33" s="28"/>
      <c r="CJ33" s="449"/>
      <c r="CK33" s="450"/>
    </row>
    <row r="34" spans="1:89" ht="15" customHeight="1">
      <c r="A34" s="142">
        <v>30</v>
      </c>
      <c r="B34" s="151" t="s">
        <v>128</v>
      </c>
      <c r="C34" s="507"/>
      <c r="D34" s="14"/>
      <c r="E34" s="65"/>
      <c r="F34" s="14"/>
      <c r="G34" s="65"/>
      <c r="H34" s="14"/>
      <c r="I34" s="65"/>
      <c r="J34" s="14"/>
      <c r="K34" s="65"/>
      <c r="L34" s="14"/>
      <c r="M34" s="65"/>
      <c r="N34" s="14"/>
      <c r="O34" s="58"/>
      <c r="P34" s="14"/>
      <c r="Q34" s="65"/>
      <c r="R34" s="15"/>
      <c r="S34" s="65"/>
      <c r="T34" s="15"/>
      <c r="U34" s="65"/>
      <c r="V34" s="15"/>
      <c r="W34" s="65"/>
      <c r="X34" s="15"/>
      <c r="Y34" s="65"/>
      <c r="Z34" s="14"/>
      <c r="AA34" s="65"/>
      <c r="AB34" s="14"/>
      <c r="AC34" s="65"/>
      <c r="AD34" s="15"/>
      <c r="AE34" s="65"/>
      <c r="AF34" s="14"/>
      <c r="AG34" s="65"/>
      <c r="AH34" s="14"/>
      <c r="AI34" s="65"/>
      <c r="AJ34" s="14"/>
      <c r="AK34" s="65"/>
      <c r="AL34" s="14"/>
      <c r="AM34" s="65"/>
      <c r="AN34" s="14"/>
      <c r="AO34" s="65"/>
      <c r="AP34" s="523"/>
      <c r="AQ34" s="524"/>
      <c r="AR34" s="100"/>
      <c r="AS34" s="101"/>
      <c r="AT34" s="142">
        <v>30</v>
      </c>
      <c r="AU34" s="151" t="s">
        <v>128</v>
      </c>
      <c r="AV34" s="507"/>
      <c r="AW34" s="14"/>
      <c r="AX34" s="67" t="s">
        <v>33</v>
      </c>
      <c r="AY34" s="69"/>
      <c r="AZ34" s="67" t="s">
        <v>33</v>
      </c>
      <c r="BA34" s="69"/>
      <c r="BB34" s="72" t="s">
        <v>33</v>
      </c>
      <c r="BC34" s="97"/>
      <c r="BD34" s="67" t="s">
        <v>33</v>
      </c>
      <c r="BE34" s="14"/>
      <c r="BF34" s="70"/>
      <c r="BG34" s="72"/>
      <c r="BH34" s="70"/>
      <c r="BI34" s="72"/>
      <c r="BJ34" s="72"/>
      <c r="BK34" s="58"/>
      <c r="BL34" s="70"/>
      <c r="BM34" s="37"/>
      <c r="BN34" s="70"/>
      <c r="BO34" s="72"/>
      <c r="BP34" s="70"/>
      <c r="BQ34" s="72"/>
      <c r="BR34" s="72"/>
      <c r="BS34" s="15"/>
      <c r="BT34" s="70"/>
      <c r="BU34" s="96"/>
      <c r="BV34" s="74"/>
      <c r="BW34" s="69"/>
      <c r="BX34" s="74" t="s">
        <v>34</v>
      </c>
      <c r="BY34" s="69"/>
      <c r="BZ34" s="74" t="s">
        <v>34</v>
      </c>
      <c r="CA34" s="97"/>
      <c r="CB34" s="74" t="s">
        <v>34</v>
      </c>
      <c r="CC34" s="142">
        <v>30</v>
      </c>
      <c r="CD34" s="151" t="s">
        <v>128</v>
      </c>
      <c r="CE34" s="507"/>
      <c r="CF34" s="60">
        <f>COUNTIF(AX34:CB34,"י")+COUNTIF(AX34:CB34,"Y")+COUNTIF(AX34:CB34,"2")</f>
        <v>4</v>
      </c>
      <c r="CG34" s="76">
        <f>COUNTIF(AW34:CB34,"ל")+COUNTIF(AW34:CB34,"L")+COUNTIF(AW34:CB34,"ל2")</f>
        <v>3</v>
      </c>
      <c r="CH34" s="102"/>
      <c r="CI34" s="103"/>
      <c r="CJ34" s="551"/>
      <c r="CK34" s="552"/>
    </row>
    <row r="35" spans="1:89" ht="15" customHeight="1" thickBot="1">
      <c r="A35" s="142">
        <v>31</v>
      </c>
      <c r="B35" s="151" t="s">
        <v>129</v>
      </c>
      <c r="C35" s="508"/>
      <c r="D35" s="14"/>
      <c r="E35" s="65"/>
      <c r="F35" s="14"/>
      <c r="G35" s="65"/>
      <c r="H35" s="14"/>
      <c r="I35" s="65"/>
      <c r="J35" s="14"/>
      <c r="K35" s="65"/>
      <c r="L35" s="14"/>
      <c r="M35" s="65"/>
      <c r="N35" s="14"/>
      <c r="O35" s="58"/>
      <c r="P35" s="14"/>
      <c r="Q35" s="65"/>
      <c r="R35" s="15"/>
      <c r="S35" s="65"/>
      <c r="T35" s="15"/>
      <c r="U35" s="65"/>
      <c r="V35" s="15"/>
      <c r="W35" s="65"/>
      <c r="X35" s="15"/>
      <c r="Y35" s="65"/>
      <c r="Z35" s="14"/>
      <c r="AA35" s="65"/>
      <c r="AB35" s="14"/>
      <c r="AC35" s="65"/>
      <c r="AD35" s="15"/>
      <c r="AE35" s="65"/>
      <c r="AF35" s="14"/>
      <c r="AG35" s="65"/>
      <c r="AH35" s="14"/>
      <c r="AI35" s="65"/>
      <c r="AJ35" s="14"/>
      <c r="AK35" s="65"/>
      <c r="AL35" s="14"/>
      <c r="AM35" s="65"/>
      <c r="AN35" s="14"/>
      <c r="AO35" s="65"/>
      <c r="AP35" s="547"/>
      <c r="AQ35" s="548"/>
      <c r="AR35" s="35"/>
      <c r="AS35" s="36"/>
      <c r="AT35" s="142">
        <v>31</v>
      </c>
      <c r="AU35" s="151" t="s">
        <v>129</v>
      </c>
      <c r="AV35" s="508"/>
      <c r="AW35" s="14"/>
      <c r="AX35" s="74" t="s">
        <v>34</v>
      </c>
      <c r="AY35" s="69"/>
      <c r="AZ35" s="74" t="s">
        <v>34</v>
      </c>
      <c r="BA35" s="69"/>
      <c r="BB35" s="74" t="s">
        <v>34</v>
      </c>
      <c r="BC35" s="97"/>
      <c r="BD35" s="74" t="s">
        <v>34</v>
      </c>
      <c r="BE35" s="14"/>
      <c r="BF35" s="67" t="s">
        <v>33</v>
      </c>
      <c r="BG35" s="69"/>
      <c r="BH35" s="67" t="s">
        <v>33</v>
      </c>
      <c r="BI35" s="69"/>
      <c r="BJ35" s="72" t="s">
        <v>33</v>
      </c>
      <c r="BK35" s="97"/>
      <c r="BL35" s="67" t="s">
        <v>33</v>
      </c>
      <c r="BM35" s="37"/>
      <c r="BN35" s="70"/>
      <c r="BO35" s="72"/>
      <c r="BP35" s="70"/>
      <c r="BQ35" s="72"/>
      <c r="BR35" s="72"/>
      <c r="BS35" s="15"/>
      <c r="BT35" s="70"/>
      <c r="BU35" s="96"/>
      <c r="BV35" s="67"/>
      <c r="BW35" s="69"/>
      <c r="BX35" s="67"/>
      <c r="BY35" s="69"/>
      <c r="BZ35" s="69"/>
      <c r="CA35" s="97"/>
      <c r="CB35" s="67"/>
      <c r="CC35" s="142">
        <v>31</v>
      </c>
      <c r="CD35" s="151" t="s">
        <v>129</v>
      </c>
      <c r="CE35" s="508"/>
      <c r="CF35" s="25">
        <f t="shared" si="0"/>
        <v>4</v>
      </c>
      <c r="CG35" s="77">
        <f t="shared" si="1"/>
        <v>4</v>
      </c>
      <c r="CH35" s="26"/>
      <c r="CI35" s="21"/>
      <c r="CJ35" s="549"/>
      <c r="CK35" s="550"/>
    </row>
    <row r="36" spans="1:89" ht="15" customHeight="1" thickBot="1">
      <c r="D36" s="8">
        <f>(COUNTIF(D1:D35,"הרצליה")+COUNTIF(D1:D35,"חיפה")+COUNTIF(D1:D35,"רמון")+COUNTIF(D1:D35,"ראש פינה")+COUNTIF(D1:D35,"ה.ב"))</f>
        <v>0</v>
      </c>
      <c r="E36" s="9">
        <f>(COUNTIF(E1:E35,"כ")+COUNTIF(E1:E35,"כמ"))*6+(COUNTIF(E1:E35,"כש")+COUNTIF(E1:E35,"כמש"))*10</f>
        <v>0</v>
      </c>
      <c r="F36" s="8">
        <f t="shared" ref="F36" si="2">(COUNTIF(F1:F35,"הרצליה")+COUNTIF(F1:F35,"חיפה")+COUNTIF(F1:F35,"רמון")+COUNTIF(F1:F35,"ראש פינה")+COUNTIF(F1:F35,"ה.ב"))</f>
        <v>0</v>
      </c>
      <c r="G36" s="9">
        <f t="shared" ref="G36" si="3">(COUNTIF(G1:G35,"כ")+COUNTIF(G1:G35,"כמ"))*6+(COUNTIF(G1:G35,"כש")+COUNTIF(G1:G35,"כמש"))*10</f>
        <v>0</v>
      </c>
      <c r="H36" s="8">
        <f t="shared" ref="H36" si="4">(COUNTIF(H1:H35,"הרצליה")+COUNTIF(H1:H35,"חיפה")+COUNTIF(H1:H35,"רמון")+COUNTIF(H1:H35,"ראש פינה")+COUNTIF(H1:H35,"ה.ב"))</f>
        <v>0</v>
      </c>
      <c r="I36" s="9">
        <f t="shared" ref="I36" si="5">(COUNTIF(I1:I35,"כ")+COUNTIF(I1:I35,"כמ"))*6+(COUNTIF(I1:I35,"כש")+COUNTIF(I1:I35,"כמש"))*10</f>
        <v>0</v>
      </c>
      <c r="J36" s="8">
        <f t="shared" ref="J36" si="6">(COUNTIF(J1:J35,"הרצליה")+COUNTIF(J1:J35,"חיפה")+COUNTIF(J1:J35,"רמון")+COUNTIF(J1:J35,"ראש פינה")+COUNTIF(J1:J35,"ה.ב"))</f>
        <v>0</v>
      </c>
      <c r="K36" s="9">
        <f t="shared" ref="K36" si="7">(COUNTIF(K1:K35,"כ")+COUNTIF(K1:K35,"כמ"))*6+(COUNTIF(K1:K35,"כש")+COUNTIF(K1:K35,"כמש"))*10</f>
        <v>0</v>
      </c>
      <c r="L36" s="8">
        <f t="shared" ref="L36" si="8">(COUNTIF(L1:L35,"הרצליה")+COUNTIF(L1:L35,"חיפה")+COUNTIF(L1:L35,"רמון")+COUNTIF(L1:L35,"ראש פינה")+COUNTIF(L1:L35,"ה.ב"))</f>
        <v>0</v>
      </c>
      <c r="M36" s="9">
        <f t="shared" ref="M36" si="9">(COUNTIF(M1:M35,"כ")+COUNTIF(M1:M35,"כמ"))*6+(COUNTIF(M1:M35,"כש")+COUNTIF(M1:M35,"כמש"))*10</f>
        <v>0</v>
      </c>
      <c r="N36" s="8">
        <f t="shared" ref="N36" si="10">(COUNTIF(N1:N35,"הרצליה")+COUNTIF(N1:N35,"חיפה")+COUNTIF(N1:N35,"רמון")+COUNTIF(N1:N35,"ראש פינה")+COUNTIF(N1:N35,"ה.ב"))</f>
        <v>0</v>
      </c>
      <c r="O36" s="9">
        <f t="shared" ref="O36" si="11">(COUNTIF(O1:O35,"כ")+COUNTIF(O1:O35,"כמ"))*6+(COUNTIF(O1:O35,"כש")+COUNTIF(O1:O35,"כמש"))*10</f>
        <v>0</v>
      </c>
      <c r="P36" s="8">
        <f t="shared" ref="P36" si="12">(COUNTIF(P1:P35,"הרצליה")+COUNTIF(P1:P35,"חיפה")+COUNTIF(P1:P35,"רמון")+COUNTIF(P1:P35,"ראש פינה")+COUNTIF(P1:P35,"ה.ב"))</f>
        <v>0</v>
      </c>
      <c r="Q36" s="9">
        <f t="shared" ref="Q36" si="13">(COUNTIF(Q1:Q35,"כ")+COUNTIF(Q1:Q35,"כמ"))*6+(COUNTIF(Q1:Q35,"כש")+COUNTIF(Q1:Q35,"כמש"))*10</f>
        <v>0</v>
      </c>
      <c r="R36" s="8">
        <f t="shared" ref="R36" si="14">(COUNTIF(R1:R35,"הרצליה")+COUNTIF(R1:R35,"חיפה")+COUNTIF(R1:R35,"רמון")+COUNTIF(R1:R35,"ראש פינה")+COUNTIF(R1:R35,"ה.ב"))</f>
        <v>0</v>
      </c>
      <c r="S36" s="9">
        <f t="shared" ref="S36" si="15">(COUNTIF(S1:S35,"כ")+COUNTIF(S1:S35,"כמ"))*6+(COUNTIF(S1:S35,"כש")+COUNTIF(S1:S35,"כמש"))*10</f>
        <v>0</v>
      </c>
      <c r="T36" s="8">
        <f t="shared" ref="T36" si="16">(COUNTIF(T1:T35,"הרצליה")+COUNTIF(T1:T35,"חיפה")+COUNTIF(T1:T35,"רמון")+COUNTIF(T1:T35,"ראש פינה")+COUNTIF(T1:T35,"ה.ב"))</f>
        <v>0</v>
      </c>
      <c r="U36" s="9">
        <f t="shared" ref="U36" si="17">(COUNTIF(U1:U35,"כ")+COUNTIF(U1:U35,"כמ"))*6+(COUNTIF(U1:U35,"כש")+COUNTIF(U1:U35,"כמש"))*10</f>
        <v>0</v>
      </c>
      <c r="V36" s="8">
        <f t="shared" ref="V36" si="18">(COUNTIF(V1:V35,"הרצליה")+COUNTIF(V1:V35,"חיפה")+COUNTIF(V1:V35,"רמון")+COUNTIF(V1:V35,"ראש פינה")+COUNTIF(V1:V35,"ה.ב"))</f>
        <v>0</v>
      </c>
      <c r="W36" s="9">
        <f t="shared" ref="W36" si="19">(COUNTIF(W1:W35,"כ")+COUNTIF(W1:W35,"כמ"))*6+(COUNTIF(W1:W35,"כש")+COUNTIF(W1:W35,"כמש"))*10</f>
        <v>0</v>
      </c>
      <c r="X36" s="8">
        <f t="shared" ref="X36" si="20">(COUNTIF(X1:X35,"הרצליה")+COUNTIF(X1:X35,"חיפה")+COUNTIF(X1:X35,"רמון")+COUNTIF(X1:X35,"ראש פינה")+COUNTIF(X1:X35,"ה.ב"))</f>
        <v>1</v>
      </c>
      <c r="Y36" s="9">
        <f t="shared" ref="Y36" si="21">(COUNTIF(Y1:Y35,"כ")+COUNTIF(Y1:Y35,"כמ"))*6+(COUNTIF(Y1:Y35,"כש")+COUNTIF(Y1:Y35,"כמש"))*10</f>
        <v>0</v>
      </c>
      <c r="Z36" s="8">
        <f t="shared" ref="Z36" si="22">(COUNTIF(Z1:Z35,"הרצליה")+COUNTIF(Z1:Z35,"חיפה")+COUNTIF(Z1:Z35,"רמון")+COUNTIF(Z1:Z35,"ראש פינה")+COUNTIF(Z1:Z35,"ה.ב"))</f>
        <v>0</v>
      </c>
      <c r="AA36" s="9">
        <f t="shared" ref="AA36" si="23">(COUNTIF(AA1:AA35,"כ")+COUNTIF(AA1:AA35,"כמ"))*6+(COUNTIF(AA1:AA35,"כש")+COUNTIF(AA1:AA35,"כמש"))*10</f>
        <v>0</v>
      </c>
      <c r="AB36" s="8">
        <f t="shared" ref="AB36" si="24">(COUNTIF(AB1:AB35,"הרצליה")+COUNTIF(AB1:AB35,"חיפה")+COUNTIF(AB1:AB35,"רמון")+COUNTIF(AB1:AB35,"ראש פינה")+COUNTIF(AB1:AB35,"ה.ב"))</f>
        <v>0</v>
      </c>
      <c r="AC36" s="9">
        <f t="shared" ref="AC36" si="25">(COUNTIF(AC1:AC35,"כ")+COUNTIF(AC1:AC35,"כמ"))*6+(COUNTIF(AC1:AC35,"כש")+COUNTIF(AC1:AC35,"כמש"))*10</f>
        <v>0</v>
      </c>
      <c r="AD36" s="8">
        <f t="shared" ref="AD36" si="26">(COUNTIF(AD1:AD35,"הרצליה")+COUNTIF(AD1:AD35,"חיפה")+COUNTIF(AD1:AD35,"רמון")+COUNTIF(AD1:AD35,"ראש פינה")+COUNTIF(AD1:AD35,"ה.ב"))</f>
        <v>0</v>
      </c>
      <c r="AE36" s="9">
        <f t="shared" ref="AE36" si="27">(COUNTIF(AE1:AE35,"כ")+COUNTIF(AE1:AE35,"כמ"))*6+(COUNTIF(AE1:AE35,"כש")+COUNTIF(AE1:AE35,"כמש"))*10</f>
        <v>0</v>
      </c>
      <c r="AF36" s="8">
        <f t="shared" ref="AF36" si="28">(COUNTIF(AF1:AF35,"הרצליה")+COUNTIF(AF1:AF35,"חיפה")+COUNTIF(AF1:AF35,"רמון")+COUNTIF(AF1:AF35,"ראש פינה")+COUNTIF(AF1:AF35,"ה.ב"))</f>
        <v>0</v>
      </c>
      <c r="AG36" s="9">
        <f t="shared" ref="AG36" si="29">(COUNTIF(AG1:AG35,"כ")+COUNTIF(AG1:AG35,"כמ"))*6+(COUNTIF(AG1:AG35,"כש")+COUNTIF(AG1:AG35,"כמש"))*10</f>
        <v>0</v>
      </c>
      <c r="AH36" s="8">
        <f t="shared" ref="AH36" si="30">(COUNTIF(AH1:AH35,"הרצליה")+COUNTIF(AH1:AH35,"חיפה")+COUNTIF(AH1:AH35,"רמון")+COUNTIF(AH1:AH35,"ראש פינה")+COUNTIF(AH1:AH35,"ה.ב"))</f>
        <v>0</v>
      </c>
      <c r="AI36" s="9">
        <f t="shared" ref="AI36" si="31">(COUNTIF(AI1:AI35,"כ")+COUNTIF(AI1:AI35,"כמ"))*6+(COUNTIF(AI1:AI35,"כש")+COUNTIF(AI1:AI35,"כמש"))*10</f>
        <v>0</v>
      </c>
      <c r="AJ36" s="8">
        <f t="shared" ref="AJ36" si="32">(COUNTIF(AJ1:AJ35,"הרצליה")+COUNTIF(AJ1:AJ35,"חיפה")+COUNTIF(AJ1:AJ35,"רמון")+COUNTIF(AJ1:AJ35,"ראש פינה")+COUNTIF(AJ1:AJ35,"ה.ב"))</f>
        <v>0</v>
      </c>
      <c r="AK36" s="9">
        <f t="shared" ref="AK36" si="33">(COUNTIF(AK1:AK35,"כ")+COUNTIF(AK1:AK35,"כמ"))*6+(COUNTIF(AK1:AK35,"כש")+COUNTIF(AK1:AK35,"כמש"))*10</f>
        <v>0</v>
      </c>
      <c r="AL36" s="8">
        <f t="shared" ref="AL36" si="34">(COUNTIF(AL1:AL35,"הרצליה")+COUNTIF(AL1:AL35,"חיפה")+COUNTIF(AL1:AL35,"רמון")+COUNTIF(AL1:AL35,"ראש פינה")+COUNTIF(AL1:AL35,"ה.ב"))</f>
        <v>0</v>
      </c>
      <c r="AM36" s="9">
        <f t="shared" ref="AM36" si="35">(COUNTIF(AM1:AM35,"כ")+COUNTIF(AM1:AM35,"כמ"))*6+(COUNTIF(AM1:AM35,"כש")+COUNTIF(AM1:AM35,"כמש"))*10</f>
        <v>0</v>
      </c>
      <c r="AN36" s="8">
        <f t="shared" ref="AN36" si="36">(COUNTIF(AN1:AN35,"הרצליה")+COUNTIF(AN1:AN35,"חיפה")+COUNTIF(AN1:AN35,"רמון")+COUNTIF(AN1:AN35,"ראש פינה")+COUNTIF(AN1:AN35,"ה.ב"))</f>
        <v>0</v>
      </c>
      <c r="AO36" s="9">
        <f t="shared" ref="AO36" si="37">(COUNTIF(AO1:AO35,"כ")+COUNTIF(AO1:AO35,"כמ"))*6+(COUNTIF(AO1:AO35,"כש")+COUNTIF(AO1:AO35,"כמש"))*10</f>
        <v>0</v>
      </c>
      <c r="AT36" s="482" t="s">
        <v>38</v>
      </c>
      <c r="AU36" s="483"/>
      <c r="AV36" s="484"/>
      <c r="AW36" s="485">
        <f>COUNTIF(AX4:AX35,"י")+COUNTIF(AX4:AX35,"Y")+COUNTIF(AX4:AX35,"2")</f>
        <v>8</v>
      </c>
      <c r="AX36" s="465"/>
      <c r="AY36" s="464">
        <f>COUNTIF(AZ4:AZ35,"י")+COUNTIF(AZ4:AZ35,"Y")+COUNTIF(AZ4:AZ35,"2")</f>
        <v>8</v>
      </c>
      <c r="AZ36" s="465"/>
      <c r="BA36" s="464">
        <f>COUNTIF(BB4:BB35,"י")+COUNTIF(BB4:BB35,"Y")+COUNTIF(BB4:BB35,"2")</f>
        <v>8</v>
      </c>
      <c r="BB36" s="465"/>
      <c r="BC36" s="464">
        <f>COUNTIF(BD4:BD35,"י")+COUNTIF(BD4:BD35,"Y")+COUNTIF(BD4:BD35,"2")</f>
        <v>8</v>
      </c>
      <c r="BD36" s="465"/>
      <c r="BE36" s="464">
        <f>COUNTIF(BF4:BF35,"י")+COUNTIF(BF4:BF35,"Y")+COUNTIF(BF4:BF35,"2")</f>
        <v>8</v>
      </c>
      <c r="BF36" s="465"/>
      <c r="BG36" s="464">
        <f>COUNTIF(BH4:BH35,"י")+COUNTIF(BH4:BH35,"Y")+COUNTIF(BH4:BH35,"2")</f>
        <v>8</v>
      </c>
      <c r="BH36" s="465"/>
      <c r="BI36" s="464">
        <f>COUNTIF(BJ4:BJ35,"י")+COUNTIF(BJ4:BJ35,"Y")+COUNTIF(BJ4:BJ35,"2")</f>
        <v>8</v>
      </c>
      <c r="BJ36" s="465"/>
      <c r="BK36" s="464">
        <f>COUNTIF(BL4:BL35,"י")+COUNTIF(BL4:BL35,"Y")+COUNTIF(BL4:BL35,"2")</f>
        <v>8</v>
      </c>
      <c r="BL36" s="465"/>
      <c r="BM36" s="464">
        <f>COUNTIF(BN4:BN35,"י")+COUNTIF(BN4:BN35,"Y")+COUNTIF(BN4:BN35,"2")</f>
        <v>7</v>
      </c>
      <c r="BN36" s="465"/>
      <c r="BO36" s="464">
        <f>COUNTIF(BP4:BP35,"י")+COUNTIF(BP4:BP35,"Y")+COUNTIF(BP4:BP35,"2")</f>
        <v>7</v>
      </c>
      <c r="BP36" s="465"/>
      <c r="BQ36" s="464">
        <f>COUNTIF(BR4:BR35,"י")+COUNTIF(BR4:BR35,"Y")+COUNTIF(BR4:BR35,"2")</f>
        <v>7</v>
      </c>
      <c r="BR36" s="465"/>
      <c r="BS36" s="464">
        <f>COUNTIF(BT4:BT35,"י")+COUNTIF(BT4:BT35,"Y")+COUNTIF(BT4:BT35,"2")</f>
        <v>6</v>
      </c>
      <c r="BT36" s="465"/>
      <c r="BU36" s="464">
        <f>COUNTIF(BV4:BV35,"י")+COUNTIF(BV4:BV35,"Y")+COUNTIF(BV4:BV35,"2")</f>
        <v>0</v>
      </c>
      <c r="BV36" s="465"/>
      <c r="BW36" s="464">
        <f>COUNTIF(BX4:BX35,"י")+COUNTIF(BX4:BX35,"Y")+COUNTIF(BX4:BX35,"2")</f>
        <v>8</v>
      </c>
      <c r="BX36" s="465"/>
      <c r="BY36" s="464">
        <f>COUNTIF(BZ4:BZ35,"י")+COUNTIF(BZ4:BZ35,"Y")+COUNTIF(BZ4:BZ35,"2")</f>
        <v>8</v>
      </c>
      <c r="BZ36" s="465"/>
      <c r="CA36" s="466">
        <f>COUNTIF(CB4:CB35,"י")+COUNTIF(CB4:CB35,"Y")+COUNTIF(CB4:CB35,"2")</f>
        <v>8</v>
      </c>
      <c r="CB36" s="467"/>
      <c r="CC36" s="468" t="s">
        <v>140</v>
      </c>
      <c r="CD36" s="469"/>
      <c r="CE36" s="470"/>
    </row>
    <row r="37" spans="1:89" ht="15" customHeight="1" thickBot="1">
      <c r="C37" t="s">
        <v>322</v>
      </c>
      <c r="D37" s="234">
        <f>D36+נובמבר!D36</f>
        <v>8</v>
      </c>
      <c r="E37" s="234">
        <f>E36+נובמבר!E36</f>
        <v>94</v>
      </c>
      <c r="F37" s="234">
        <f>F36+נובמבר!F36</f>
        <v>9</v>
      </c>
      <c r="G37" s="234">
        <f>G36+נובמבר!G36</f>
        <v>108</v>
      </c>
      <c r="H37" s="234">
        <f>H36+נובמבר!H36</f>
        <v>7</v>
      </c>
      <c r="I37" s="234">
        <f>I36+נובמבר!I36</f>
        <v>98</v>
      </c>
      <c r="J37" s="234">
        <f>J36+נובמבר!J36</f>
        <v>6</v>
      </c>
      <c r="K37" s="234">
        <f>K36+נובמבר!K36</f>
        <v>54</v>
      </c>
      <c r="L37" s="234">
        <f>L36+נובמבר!L36</f>
        <v>5</v>
      </c>
      <c r="M37" s="234">
        <f>M36+נובמבר!M36</f>
        <v>110</v>
      </c>
      <c r="N37" s="234">
        <f>N36+נובמבר!N36</f>
        <v>12</v>
      </c>
      <c r="O37" s="234">
        <f>O36+נובמבר!O36</f>
        <v>178</v>
      </c>
      <c r="P37" s="234">
        <f>P36+נובמבר!P36</f>
        <v>9</v>
      </c>
      <c r="Q37" s="234">
        <f>Q36+נובמבר!Q36</f>
        <v>104</v>
      </c>
      <c r="R37" s="234">
        <f>R36+נובמבר!R36</f>
        <v>4</v>
      </c>
      <c r="S37" s="234">
        <f>S36+נובמבר!S36</f>
        <v>90</v>
      </c>
      <c r="T37" s="234">
        <f>T36+נובמבר!T36</f>
        <v>9</v>
      </c>
      <c r="U37" s="234">
        <f>U36+נובמבר!U36</f>
        <v>94</v>
      </c>
      <c r="V37" s="234">
        <f>V36+נובמבר!V36</f>
        <v>2</v>
      </c>
      <c r="W37" s="234">
        <f>W36+נובמבר!W36</f>
        <v>90</v>
      </c>
      <c r="X37" s="234">
        <f>X36+נובמבר!X36</f>
        <v>21</v>
      </c>
      <c r="Y37" s="234">
        <f>Y36+נובמבר!Y36</f>
        <v>246</v>
      </c>
      <c r="Z37" s="234">
        <f>Z36+נובמבר!Z36</f>
        <v>2</v>
      </c>
      <c r="AA37" s="234">
        <f>AA36+נובמבר!AA36</f>
        <v>0</v>
      </c>
      <c r="AB37" s="234">
        <f>AB36+נובמבר!AB36</f>
        <v>4</v>
      </c>
      <c r="AC37" s="234">
        <f>AC36+נובמבר!AC36</f>
        <v>164</v>
      </c>
      <c r="AD37" s="234">
        <f>AD36+נובמבר!AD36</f>
        <v>1</v>
      </c>
      <c r="AE37" s="234">
        <f>AE36+נובמבר!AE36</f>
        <v>180</v>
      </c>
      <c r="AF37" s="234">
        <f>AF36+נובמבר!AF36</f>
        <v>10</v>
      </c>
      <c r="AG37" s="234">
        <f>AG36+נובמבר!AG36</f>
        <v>200</v>
      </c>
      <c r="AH37" s="234">
        <f>AH36+נובמבר!AH36</f>
        <v>2</v>
      </c>
      <c r="AI37" s="234">
        <f>AI36+נובמבר!AI36</f>
        <v>168</v>
      </c>
      <c r="AJ37" s="234">
        <f>AJ36+נובמבר!AJ36</f>
        <v>6</v>
      </c>
      <c r="AK37" s="234">
        <f>AK36+נובמבר!AK36</f>
        <v>102</v>
      </c>
      <c r="AL37" s="234">
        <f>AL36+נובמבר!AL36</f>
        <v>9</v>
      </c>
      <c r="AM37" s="234">
        <f>AM36+נובמבר!AM36</f>
        <v>90</v>
      </c>
      <c r="AN37" s="234">
        <f>AN36+נובמבר!AN36</f>
        <v>1</v>
      </c>
      <c r="AO37" s="234">
        <f>AO36+נובמבר!AO36</f>
        <v>42</v>
      </c>
      <c r="AT37" s="478" t="s">
        <v>39</v>
      </c>
      <c r="AU37" s="479"/>
      <c r="AV37" s="480"/>
      <c r="AW37" s="481">
        <f>COUNTIF(AX4:AX35,"ל")+COUNTIF(AX4:AX35,"L")+COUNTIF(AX4:AX35,"ל2")</f>
        <v>8</v>
      </c>
      <c r="AX37" s="475"/>
      <c r="AY37" s="474">
        <f>COUNTIF(AZ4:AZ35,"ל")+COUNTIF(AZ4:AZ35,"L")+COUNTIF(AZ4:AZ35,"ל2")</f>
        <v>8</v>
      </c>
      <c r="AZ37" s="475"/>
      <c r="BA37" s="474">
        <f>COUNTIF(BB4:BB35,"ל")+COUNTIF(BB4:BB35,"L")+COUNTIF(BB4:BB35,"ל2")</f>
        <v>8</v>
      </c>
      <c r="BB37" s="475"/>
      <c r="BC37" s="474">
        <f>COUNTIF(BD4:BD35,"ל")+COUNTIF(BD4:BD35,"L")+COUNTIF(BD4:BD35,"ל2")</f>
        <v>8</v>
      </c>
      <c r="BD37" s="475"/>
      <c r="BE37" s="474">
        <f>COUNTIF(BF4:BF35,"ל")+COUNTIF(BF4:BF35,"L")+COUNTIF(BF4:BF35,"ל2")</f>
        <v>7</v>
      </c>
      <c r="BF37" s="475"/>
      <c r="BG37" s="474">
        <f>COUNTIF(BH4:BH35,"ל")+COUNTIF(BH4:BH35,"L")+COUNTIF(BH4:BH35,"ל2")</f>
        <v>7</v>
      </c>
      <c r="BH37" s="475"/>
      <c r="BI37" s="474">
        <f>COUNTIF(BJ4:BJ35,"ל")+COUNTIF(BJ4:BJ35,"L")+COUNTIF(BJ4:BJ35,"ל2")</f>
        <v>7</v>
      </c>
      <c r="BJ37" s="475"/>
      <c r="BK37" s="474">
        <f>COUNTIF(BL4:BL35,"ל")+COUNTIF(BL4:BL35,"L")+COUNTIF(BL4:BL35,"ל2")</f>
        <v>7</v>
      </c>
      <c r="BL37" s="475"/>
      <c r="BM37" s="474">
        <f>COUNTIF(BN4:BN35,"ל")+COUNTIF(BN4:BN35,"L")+COUNTIF(BN4:BN35,"ל2")</f>
        <v>8</v>
      </c>
      <c r="BN37" s="475"/>
      <c r="BO37" s="474">
        <f>COUNTIF(BP4:BP35,"ל")+COUNTIF(BP4:BP35,"L")+COUNTIF(BP4:BP35,"ל2")</f>
        <v>8</v>
      </c>
      <c r="BP37" s="475"/>
      <c r="BQ37" s="474">
        <f>COUNTIF(BR4:BR35,"ל")+COUNTIF(BR4:BR35,"L")+COUNTIF(BR4:BR35,"ל2")</f>
        <v>8</v>
      </c>
      <c r="BR37" s="475"/>
      <c r="BS37" s="474">
        <f>COUNTIF(BT4:BT35,"ל")+COUNTIF(BT4:BT35,"L")+COUNTIF(BT4:BT35,"ל2")</f>
        <v>7</v>
      </c>
      <c r="BT37" s="475"/>
      <c r="BU37" s="474">
        <f>COUNTIF(BV4:BV35,"ל")+COUNTIF(BV4:BV35,"L")+COUNTIF(BV4:BV35,"ל2")</f>
        <v>0</v>
      </c>
      <c r="BV37" s="475"/>
      <c r="BW37" s="474">
        <f>COUNTIF(BX4:BX35,"ל")+COUNTIF(BX4:BX35,"L")+COUNTIF(BX4:BX35,"ל2")</f>
        <v>8</v>
      </c>
      <c r="BX37" s="475"/>
      <c r="BY37" s="474">
        <f>COUNTIF(BZ4:BZ35,"ל")+COUNTIF(BZ4:BZ35,"L")+COUNTIF(BZ4:BZ35,"ל2")</f>
        <v>8</v>
      </c>
      <c r="BZ37" s="475"/>
      <c r="CA37" s="476">
        <f>COUNTIF(CB4:CB35,"ל")+COUNTIF(CB4:CB35,"L")+COUNTIF(CB4:CB35,"ל2")</f>
        <v>8</v>
      </c>
      <c r="CB37" s="477"/>
      <c r="CC37" s="471"/>
      <c r="CD37" s="472"/>
      <c r="CE37" s="473"/>
    </row>
    <row r="38" spans="1:89" s="63" customFormat="1" ht="15" customHeight="1" thickBot="1">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W38" s="488">
        <f>(AW36*12)+(AW37*12)+(COUNTIF(AX4:AX35,"ק")*8)+(COUNTIF(AX4:AX35,"ח")*8)+(COUNTIF(AX4:AX35,"מ")*8)+(COUNTIF(AX4:AX35,"מיל")*8)</f>
        <v>192</v>
      </c>
      <c r="AX38" s="487"/>
      <c r="AY38" s="486">
        <f>(AY36*12)+(AY37*12)+(COUNTIF(AZ4:AZ35,"ק")*8)+(COUNTIF(AZ4:AZ35,"ח")*8)+(COUNTIF(AZ4:AZ35,"מ")*8)+(COUNTIF(AZ4:AZ35,"מיל")*8)</f>
        <v>192</v>
      </c>
      <c r="AZ38" s="487"/>
      <c r="BA38" s="486">
        <f>(BA36*12)+(BA37*12)+(COUNTIF(BB4:BB35,"ק")*8)+(COUNTIF(BB4:BB35,"ח")*8)+(COUNTIF(BB4:BB35,"מ")*8)+(COUNTIF(BB4:BB35,"מיל")*8)</f>
        <v>192</v>
      </c>
      <c r="BB38" s="487"/>
      <c r="BC38" s="486">
        <f>(BC36*12)+(BC37*12)+(COUNTIF(BD4:BD35,"ק")*8)+(COUNTIF(BD4:BD35,"ח")*8)+(COUNTIF(BD4:BD35,"מ")*8)+(COUNTIF(BD4:BD35,"מיל")*8)</f>
        <v>192</v>
      </c>
      <c r="BD38" s="487"/>
      <c r="BE38" s="486">
        <f>(BE36*12)+(BE37*12)+(COUNTIF(BF4:BF35,"ק")*8)+(COUNTIF(BF4:BF35,"ח")*8)+(COUNTIF(BF4:BF35,"מ")*8)+(COUNTIF(BF4:BF35,"מיל")*8)</f>
        <v>180</v>
      </c>
      <c r="BF38" s="487"/>
      <c r="BG38" s="486">
        <f>(BG36*12)+(BG37*12)+(COUNTIF(BH4:BH35,"ק")*8)+(COUNTIF(BH4:BH35,"ח")*8)+(COUNTIF(BH4:BH35,"מ")*8)+(COUNTIF(BH4:BH35,"מיל")*8)</f>
        <v>180</v>
      </c>
      <c r="BH38" s="487"/>
      <c r="BI38" s="486">
        <f>(BI36*12)+(BI37*12)+(COUNTIF(BJ4:BJ35,"ק")*8)+(COUNTIF(BJ4:BJ35,"ח")*8)+(COUNTIF(BJ4:BJ35,"מ")*8)+(COUNTIF(BJ4:BJ35,"מיל")*8)</f>
        <v>180</v>
      </c>
      <c r="BJ38" s="487"/>
      <c r="BK38" s="486">
        <f>(BK36*12)+(BK37*12)+(COUNTIF(BL4:BL35,"ק")*8)+(COUNTIF(BL4:BL35,"ח")*8)+(COUNTIF(BL4:BL35,"מ")*8)+(COUNTIF(BL4:BL35,"מיל")*8)</f>
        <v>180</v>
      </c>
      <c r="BL38" s="487"/>
      <c r="BM38" s="486">
        <f>(BM36*12)+(BM37*12)+(COUNTIF(BN4:BN35,"ק")*8)+(COUNTIF(BN4:BN35,"ח")*8)+(COUNTIF(BN4:BN35,"מ")*8)+(COUNTIF(BN4:BN35,"מיל")*8)</f>
        <v>180</v>
      </c>
      <c r="BN38" s="487"/>
      <c r="BO38" s="486">
        <f>(BO36*12)+(BO37*12)+(COUNTIF(BP4:BP35,"ק")*8)+(COUNTIF(BP4:BP35,"ח")*8)+(COUNTIF(BP4:BP35,"מ")*8)+(COUNTIF(BP4:BP35,"מיל")*8)</f>
        <v>180</v>
      </c>
      <c r="BP38" s="487"/>
      <c r="BQ38" s="486">
        <f>(BQ36*12)+(BQ37*12)+(COUNTIF(BR4:BR35,"ק")*8)+(COUNTIF(BR4:BR35,"ח")*8)+(COUNTIF(BR4:BR35,"מ")*8)+(COUNTIF(BR4:BR35,"מיל")*8)</f>
        <v>180</v>
      </c>
      <c r="BR38" s="487"/>
      <c r="BS38" s="486">
        <f>(BS36*12)+(BS37*12)+(COUNTIF(BT4:BT35,"ק")*8)+(COUNTIF(BT4:BT35,"ח")*8)+(COUNTIF(BT4:BT35,"מ")*8)+(COUNTIF(BT4:BT35,"מיל")*8)</f>
        <v>156</v>
      </c>
      <c r="BT38" s="487"/>
      <c r="BU38" s="486">
        <f>(BU36*12)+(BU37*12)+(COUNTIF(BV4:BV35,"ק")*8)+(COUNTIF(BV4:BV35,"ח")*8)+(COUNTIF(BV4:BV35,"מ")*8)+(COUNTIF(BV4:BV35,"מיל")*8)</f>
        <v>0</v>
      </c>
      <c r="BV38" s="487"/>
      <c r="BW38" s="486">
        <f>(BW36*12)+(BW37*12)+(COUNTIF(BX4:BX35,"ק")*8)+(COUNTIF(BX4:BX35,"ח")*8)+(COUNTIF(BX4:BX35,"מ")*8)+(COUNTIF(BX4:BX35,"מיל")*8)</f>
        <v>192</v>
      </c>
      <c r="BX38" s="487"/>
      <c r="BY38" s="486">
        <f>(BY36*12)+(BY37*12)+(COUNTIF(BZ4:BZ35,"ק")*8)+(COUNTIF(BZ4:BZ35,"ח")*8)+(COUNTIF(BZ4:BZ35,"מ")*8)+(COUNTIF(BZ4:BZ35,"מיל")*8)</f>
        <v>192</v>
      </c>
      <c r="BZ38" s="487"/>
      <c r="CA38" s="486">
        <f>(CA36*12)+(CA37*12)+(COUNTIF(CB4:CB35,"ק")*8)+(COUNTIF(CB4:CB35,"ח")*8)+(COUNTIF(CB4:CB35,"מ")*8)+(COUNTIF(CB4:CB35,"מיל")*8)</f>
        <v>192</v>
      </c>
      <c r="CB38" s="496"/>
      <c r="CC38" s="497">
        <v>184</v>
      </c>
      <c r="CD38" s="498"/>
      <c r="CE38" s="499"/>
    </row>
    <row r="39" spans="1:89" ht="15" customHeight="1" thickBot="1">
      <c r="AW39" s="500">
        <f>AW38-CC38</f>
        <v>8</v>
      </c>
      <c r="AX39" s="491"/>
      <c r="AY39" s="490">
        <f>AY38-CC38</f>
        <v>8</v>
      </c>
      <c r="AZ39" s="491"/>
      <c r="BA39" s="490">
        <f>BA38-CC38</f>
        <v>8</v>
      </c>
      <c r="BB39" s="491"/>
      <c r="BC39" s="490">
        <f>BC38-CC38</f>
        <v>8</v>
      </c>
      <c r="BD39" s="491"/>
      <c r="BE39" s="490">
        <f>BE38-CC38</f>
        <v>-4</v>
      </c>
      <c r="BF39" s="491"/>
      <c r="BG39" s="490">
        <f>BG38-CC38</f>
        <v>-4</v>
      </c>
      <c r="BH39" s="491"/>
      <c r="BI39" s="490">
        <f>BI38-CC38</f>
        <v>-4</v>
      </c>
      <c r="BJ39" s="491"/>
      <c r="BK39" s="490">
        <f>BK38-CC38</f>
        <v>-4</v>
      </c>
      <c r="BL39" s="491"/>
      <c r="BM39" s="490">
        <f>BM38-CC38</f>
        <v>-4</v>
      </c>
      <c r="BN39" s="491"/>
      <c r="BO39" s="490">
        <f>BO38-CC38</f>
        <v>-4</v>
      </c>
      <c r="BP39" s="491"/>
      <c r="BQ39" s="490">
        <f>BQ38-CC38</f>
        <v>-4</v>
      </c>
      <c r="BR39" s="491"/>
      <c r="BS39" s="490">
        <f>BS38-CC38</f>
        <v>-28</v>
      </c>
      <c r="BT39" s="491"/>
      <c r="BU39" s="490">
        <f>BU38-CC38</f>
        <v>-184</v>
      </c>
      <c r="BV39" s="491"/>
      <c r="BW39" s="490">
        <f>BW38-CC38</f>
        <v>8</v>
      </c>
      <c r="BX39" s="491"/>
      <c r="BY39" s="490">
        <f>BY38-CC38</f>
        <v>8</v>
      </c>
      <c r="BZ39" s="491"/>
      <c r="CA39" s="492">
        <f>CA38-CC38</f>
        <v>8</v>
      </c>
      <c r="CB39" s="493"/>
      <c r="CC39" s="494" t="s">
        <v>222</v>
      </c>
      <c r="CD39" s="494"/>
      <c r="CE39" s="495"/>
    </row>
    <row r="44" spans="1:89" ht="15" customHeight="1">
      <c r="BL44" s="313"/>
    </row>
    <row r="45" spans="1:89" ht="15" customHeight="1">
      <c r="BL45" s="313"/>
    </row>
  </sheetData>
  <customSheetViews>
    <customSheetView guid="{C6961C98-214A-4770-9A2D-B399A95C6C8B}" scale="80">
      <pane ySplit="4" topLeftCell="A5" activePane="bottomLeft" state="frozen"/>
      <selection pane="bottomLeft" activeCell="D5" sqref="D5"/>
      <pageMargins left="0.7" right="0.7" top="0.75" bottom="0.75" header="0.3" footer="0.3"/>
      <pageSetup paperSize="9" orientation="portrait" r:id="rId1"/>
    </customSheetView>
    <customSheetView guid="{A704065A-5B6F-476C-AE5F-F67C013164B0}" scale="80">
      <pane ySplit="4" topLeftCell="A5" activePane="bottomLeft" state="frozen"/>
      <selection pane="bottomLeft" activeCell="Z42" sqref="Z42"/>
      <pageMargins left="0.7" right="0.7" top="0.75" bottom="0.75" header="0.3" footer="0.3"/>
      <pageSetup paperSize="9" orientation="portrait" r:id="rId2"/>
    </customSheetView>
    <customSheetView guid="{319CE2B6-D20C-48B8-B7D9-15D19162A7CD}" scale="80">
      <pane ySplit="4" topLeftCell="A5" activePane="bottomLeft" state="frozen"/>
      <selection pane="bottomLeft" activeCell="D5" sqref="D5"/>
      <pageMargins left="0.7" right="0.7" top="0.75" bottom="0.75" header="0.3" footer="0.3"/>
      <pageSetup paperSize="9" orientation="portrait" r:id="rId3"/>
    </customSheetView>
    <customSheetView guid="{C5360886-767B-4F33-B24F-A6512AA390CC}" scale="80" topLeftCell="AP1">
      <pane ySplit="4" topLeftCell="A5" activePane="bottomLeft" state="frozen"/>
      <selection pane="bottomLeft" activeCell="BF43" sqref="BF43"/>
      <pageMargins left="0.7" right="0.7" top="0.75" bottom="0.75" header="0.3" footer="0.3"/>
      <pageSetup paperSize="9" orientation="portrait" r:id="rId4"/>
    </customSheetView>
    <customSheetView guid="{9C777CA9-4E1C-4A90-9032-5D0586052FC8}" scale="80">
      <pane ySplit="4" topLeftCell="A5" activePane="bottomLeft" state="frozen"/>
      <selection pane="bottomLeft" activeCell="D5" sqref="D5"/>
      <pageMargins left="0.7" right="0.7" top="0.75" bottom="0.75" header="0.3" footer="0.3"/>
      <pageSetup paperSize="9" orientation="portrait" r:id="rId5"/>
    </customSheetView>
    <customSheetView guid="{FEBD343F-EB1E-4B3A-B093-25A74DB60DAB}" scale="80">
      <selection activeCell="D5" sqref="D5"/>
      <pageMargins left="0.7" right="0.7" top="0.75" bottom="0.75" header="0.3" footer="0.3"/>
      <pageSetup paperSize="9" orientation="portrait" r:id="rId6"/>
    </customSheetView>
    <customSheetView guid="{1D39CB39-D8E6-4DA4-ABBA-40E2E6F11928}" scale="80">
      <pane ySplit="3" topLeftCell="A5" activePane="bottomLeft" state="frozen"/>
      <selection pane="bottomLeft" activeCell="D5" sqref="D5"/>
      <pageMargins left="0.7" right="0.7" top="0.75" bottom="0.75" header="0.3" footer="0.3"/>
      <pageSetup paperSize="9" orientation="portrait" r:id="rId7"/>
    </customSheetView>
    <customSheetView guid="{CC86EB9B-590B-4DCB-8154-1EBCE97DCC27}" scale="80">
      <pane ySplit="4" topLeftCell="A5" activePane="bottomLeft" state="frozen"/>
      <selection pane="bottomLeft" activeCell="D5" sqref="D5"/>
      <pageMargins left="0.7" right="0.7" top="0.75" bottom="0.75" header="0.3" footer="0.3"/>
      <pageSetup paperSize="9" orientation="portrait" r:id="rId8"/>
    </customSheetView>
    <customSheetView guid="{03543009-41DE-4C7D-B8BE-69526021AF29}" scale="80">
      <pane ySplit="4" topLeftCell="A5" activePane="bottomLeft" state="frozen"/>
      <selection pane="bottomLeft" activeCell="D5" sqref="D5"/>
      <pageMargins left="0.7" right="0.7" top="0.75" bottom="0.75" header="0.3" footer="0.3"/>
      <pageSetup paperSize="9" orientation="portrait" r:id="rId9"/>
    </customSheetView>
    <customSheetView guid="{03CD1AFD-FDA7-4904-966E-FB90CD2C490F}" scale="80">
      <pane ySplit="2" topLeftCell="A4" activePane="bottomLeft" state="frozen"/>
      <selection pane="bottomLeft" activeCell="AB4" sqref="AB4:AC4"/>
      <pageMargins left="0.7" right="0.7" top="0.75" bottom="0.75" header="0.3" footer="0.3"/>
      <pageSetup paperSize="9" orientation="portrait" r:id="rId10"/>
    </customSheetView>
  </customSheetViews>
  <mergeCells count="235">
    <mergeCell ref="AP30:AQ30"/>
    <mergeCell ref="C5:C9"/>
    <mergeCell ref="C10:C16"/>
    <mergeCell ref="C17:C23"/>
    <mergeCell ref="C24:C30"/>
    <mergeCell ref="C31:C35"/>
    <mergeCell ref="CC38:CE38"/>
    <mergeCell ref="AW39:AX39"/>
    <mergeCell ref="AY39:AZ39"/>
    <mergeCell ref="BA39:BB39"/>
    <mergeCell ref="BC39:BD39"/>
    <mergeCell ref="BE39:BF39"/>
    <mergeCell ref="BG39:BH39"/>
    <mergeCell ref="BI39:BJ39"/>
    <mergeCell ref="BK39:BL39"/>
    <mergeCell ref="BO38:BP38"/>
    <mergeCell ref="BQ38:BR38"/>
    <mergeCell ref="BS38:BT38"/>
    <mergeCell ref="BU38:BV38"/>
    <mergeCell ref="BW38:BX38"/>
    <mergeCell ref="BY38:BZ38"/>
    <mergeCell ref="BY39:BZ39"/>
    <mergeCell ref="CA39:CB39"/>
    <mergeCell ref="CC39:CE39"/>
    <mergeCell ref="BM39:BN39"/>
    <mergeCell ref="BO39:BP39"/>
    <mergeCell ref="BQ39:BR39"/>
    <mergeCell ref="BS39:BT39"/>
    <mergeCell ref="BU39:BV39"/>
    <mergeCell ref="BW39:BX39"/>
    <mergeCell ref="AT36:AV36"/>
    <mergeCell ref="AW36:AX36"/>
    <mergeCell ref="AY36:AZ36"/>
    <mergeCell ref="BA36:BB36"/>
    <mergeCell ref="BC36:BD36"/>
    <mergeCell ref="BE36:BF36"/>
    <mergeCell ref="BG36:BH36"/>
    <mergeCell ref="BI36:BJ36"/>
    <mergeCell ref="AT37:AV37"/>
    <mergeCell ref="AW37:AX37"/>
    <mergeCell ref="AY37:AZ37"/>
    <mergeCell ref="BA37:BB37"/>
    <mergeCell ref="BC37:BD37"/>
    <mergeCell ref="BE37:BF37"/>
    <mergeCell ref="BG37:BH37"/>
    <mergeCell ref="BI37:BJ37"/>
    <mergeCell ref="BK37:BL37"/>
    <mergeCell ref="BM37:BN37"/>
    <mergeCell ref="BK36:BL36"/>
    <mergeCell ref="CA38:CB38"/>
    <mergeCell ref="AW38:AX38"/>
    <mergeCell ref="AY38:AZ38"/>
    <mergeCell ref="BA38:BB38"/>
    <mergeCell ref="BC38:BD38"/>
    <mergeCell ref="BE38:BF38"/>
    <mergeCell ref="BG38:BH38"/>
    <mergeCell ref="BI38:BJ38"/>
    <mergeCell ref="BK38:BL38"/>
    <mergeCell ref="BM38:BN38"/>
    <mergeCell ref="BO37:BP37"/>
    <mergeCell ref="BQ37:BR37"/>
    <mergeCell ref="BY36:BZ36"/>
    <mergeCell ref="CA36:CB36"/>
    <mergeCell ref="BM36:BN36"/>
    <mergeCell ref="CC36:CE37"/>
    <mergeCell ref="BS37:BT37"/>
    <mergeCell ref="BU37:BV37"/>
    <mergeCell ref="BW37:BX37"/>
    <mergeCell ref="BY37:BZ37"/>
    <mergeCell ref="BO36:BP36"/>
    <mergeCell ref="BQ36:BR36"/>
    <mergeCell ref="CA37:CB37"/>
    <mergeCell ref="BS36:BT36"/>
    <mergeCell ref="BU36:BV36"/>
    <mergeCell ref="BW36:BX36"/>
    <mergeCell ref="CJ31:CK31"/>
    <mergeCell ref="AP32:AQ32"/>
    <mergeCell ref="CJ32:CK32"/>
    <mergeCell ref="AP33:AQ33"/>
    <mergeCell ref="CJ33:CK33"/>
    <mergeCell ref="AP35:AQ35"/>
    <mergeCell ref="CJ35:CK35"/>
    <mergeCell ref="AP26:AQ26"/>
    <mergeCell ref="CJ26:CK26"/>
    <mergeCell ref="CJ27:CK27"/>
    <mergeCell ref="CJ28:CK28"/>
    <mergeCell ref="CJ29:CK29"/>
    <mergeCell ref="CJ30:CK30"/>
    <mergeCell ref="AP31:AQ31"/>
    <mergeCell ref="CJ34:CK34"/>
    <mergeCell ref="AV24:AV30"/>
    <mergeCell ref="AV31:AV35"/>
    <mergeCell ref="CE24:CE30"/>
    <mergeCell ref="CE31:CE35"/>
    <mergeCell ref="AP34:AQ34"/>
    <mergeCell ref="AP24:AQ24"/>
    <mergeCell ref="AP27:AQ27"/>
    <mergeCell ref="AP28:AQ28"/>
    <mergeCell ref="AP29:AQ29"/>
    <mergeCell ref="CJ24:CK24"/>
    <mergeCell ref="AP25:AQ25"/>
    <mergeCell ref="CJ25:CK25"/>
    <mergeCell ref="AP18:AQ18"/>
    <mergeCell ref="CJ18:CK18"/>
    <mergeCell ref="AP19:AQ19"/>
    <mergeCell ref="CJ19:CK19"/>
    <mergeCell ref="AP20:AQ20"/>
    <mergeCell ref="CJ20:CK20"/>
    <mergeCell ref="AP21:AQ21"/>
    <mergeCell ref="CE17:CE23"/>
    <mergeCell ref="AP22:AQ22"/>
    <mergeCell ref="AP14:AQ14"/>
    <mergeCell ref="CJ14:CK14"/>
    <mergeCell ref="CJ15:CK15"/>
    <mergeCell ref="CJ16:CK16"/>
    <mergeCell ref="AP17:AQ17"/>
    <mergeCell ref="CJ17:CK17"/>
    <mergeCell ref="CJ21:CK21"/>
    <mergeCell ref="AV10:AV16"/>
    <mergeCell ref="AV17:AV23"/>
    <mergeCell ref="CJ10:CK10"/>
    <mergeCell ref="AP11:AQ11"/>
    <mergeCell ref="CJ11:CK11"/>
    <mergeCell ref="AP12:AQ12"/>
    <mergeCell ref="CJ12:CK12"/>
    <mergeCell ref="AP13:AQ13"/>
    <mergeCell ref="CJ13:CK13"/>
    <mergeCell ref="CE10:CE16"/>
    <mergeCell ref="CJ22:CK22"/>
    <mergeCell ref="AP23:AQ23"/>
    <mergeCell ref="CJ23:CK23"/>
    <mergeCell ref="AP15:AQ15"/>
    <mergeCell ref="AP16:AQ16"/>
    <mergeCell ref="CJ5:CK5"/>
    <mergeCell ref="AP6:AQ6"/>
    <mergeCell ref="CJ6:CK6"/>
    <mergeCell ref="AP7:AQ7"/>
    <mergeCell ref="CJ7:CK7"/>
    <mergeCell ref="AP8:AQ8"/>
    <mergeCell ref="CJ8:CK8"/>
    <mergeCell ref="AP9:AQ9"/>
    <mergeCell ref="CJ9:CK9"/>
    <mergeCell ref="AV5:AV9"/>
    <mergeCell ref="CE5:CE9"/>
    <mergeCell ref="BS4:BT4"/>
    <mergeCell ref="BU4:BV4"/>
    <mergeCell ref="BW4:BX4"/>
    <mergeCell ref="BY4:BZ4"/>
    <mergeCell ref="CA4:CB4"/>
    <mergeCell ref="AP5:AQ5"/>
    <mergeCell ref="AP10:AQ10"/>
    <mergeCell ref="BG4:BH4"/>
    <mergeCell ref="BI4:BJ4"/>
    <mergeCell ref="BK4:BL4"/>
    <mergeCell ref="BM4:BN4"/>
    <mergeCell ref="BO4:BP4"/>
    <mergeCell ref="BQ4:BR4"/>
    <mergeCell ref="AN4:AO4"/>
    <mergeCell ref="AW4:AX4"/>
    <mergeCell ref="AY4:AZ4"/>
    <mergeCell ref="BA4:BB4"/>
    <mergeCell ref="BC4:BD4"/>
    <mergeCell ref="BE4:BF4"/>
    <mergeCell ref="Z4:AA4"/>
    <mergeCell ref="AB4:AC4"/>
    <mergeCell ref="AF4:AG4"/>
    <mergeCell ref="AH4:AI4"/>
    <mergeCell ref="AJ4:AK4"/>
    <mergeCell ref="AL4:AM4"/>
    <mergeCell ref="N4:O4"/>
    <mergeCell ref="P4:Q4"/>
    <mergeCell ref="R4:S4"/>
    <mergeCell ref="T4:U4"/>
    <mergeCell ref="V4:W4"/>
    <mergeCell ref="X4:Y4"/>
    <mergeCell ref="AB3:AC3"/>
    <mergeCell ref="AF3:AG3"/>
    <mergeCell ref="AH3:AI3"/>
    <mergeCell ref="AJ3:AK3"/>
    <mergeCell ref="AL3:AM3"/>
    <mergeCell ref="AN3:AO3"/>
    <mergeCell ref="P3:Q3"/>
    <mergeCell ref="R3:S3"/>
    <mergeCell ref="T3:U3"/>
    <mergeCell ref="V3:W3"/>
    <mergeCell ref="X3:Y3"/>
    <mergeCell ref="Z3:AA3"/>
    <mergeCell ref="CF2:CG3"/>
    <mergeCell ref="CH2:CI3"/>
    <mergeCell ref="CJ2:CK4"/>
    <mergeCell ref="AD3:AE3"/>
    <mergeCell ref="D3:E3"/>
    <mergeCell ref="F3:G3"/>
    <mergeCell ref="H3:I3"/>
    <mergeCell ref="J3:K3"/>
    <mergeCell ref="L3:M3"/>
    <mergeCell ref="N3:O3"/>
    <mergeCell ref="AP2:AQ4"/>
    <mergeCell ref="AR2:AS3"/>
    <mergeCell ref="AW2:BD2"/>
    <mergeCell ref="BE2:BL2"/>
    <mergeCell ref="BM2:BT2"/>
    <mergeCell ref="BU2:CB2"/>
    <mergeCell ref="AW3:AX3"/>
    <mergeCell ref="AY3:AZ3"/>
    <mergeCell ref="BA3:BB3"/>
    <mergeCell ref="BC3:BD3"/>
    <mergeCell ref="BW3:BX3"/>
    <mergeCell ref="BY3:BZ3"/>
    <mergeCell ref="CA3:CB3"/>
    <mergeCell ref="BE3:BF3"/>
    <mergeCell ref="A1:C4"/>
    <mergeCell ref="D1:AS1"/>
    <mergeCell ref="AT1:AV4"/>
    <mergeCell ref="AW1:CB1"/>
    <mergeCell ref="CC1:CE4"/>
    <mergeCell ref="D2:W2"/>
    <mergeCell ref="X2:Y2"/>
    <mergeCell ref="Z2:AA2"/>
    <mergeCell ref="AF2:AG2"/>
    <mergeCell ref="AH2:AO2"/>
    <mergeCell ref="BG3:BH3"/>
    <mergeCell ref="BI3:BJ3"/>
    <mergeCell ref="BK3:BL3"/>
    <mergeCell ref="BM3:BN3"/>
    <mergeCell ref="BO3:BP3"/>
    <mergeCell ref="AD4:AE4"/>
    <mergeCell ref="D4:E4"/>
    <mergeCell ref="F4:G4"/>
    <mergeCell ref="H4:I4"/>
    <mergeCell ref="J4:K4"/>
    <mergeCell ref="L4:M4"/>
    <mergeCell ref="BQ3:BR3"/>
    <mergeCell ref="BS3:BT3"/>
    <mergeCell ref="BU3:BV3"/>
  </mergeCells>
  <phoneticPr fontId="27" type="noConversion"/>
  <conditionalFormatting sqref="A1:C4 X2:AH2 AP2 AR2 AR4:AS4 C5 AH5:AS7 D5:X13 A5:B35 Y5:AG35 D14:P15 R14:X15 D16:X35 AH17:AO17 AI18:AO18 AH19:AH20 AJ19:AO20 AH21:AO23 AI24:AO25 AH26:AP31 AH32:AQ32 AH33:AS33 AH34:AP34 AR34:AS34 AH35:AS35">
    <cfRule type="cellIs" dxfId="1461" priority="1934" operator="equal">
      <formula>"כ"</formula>
    </cfRule>
    <cfRule type="cellIs" dxfId="1460" priority="1926" operator="equal">
      <formula>"כמש"</formula>
    </cfRule>
    <cfRule type="cellIs" dxfId="1459" priority="1927" operator="equal">
      <formula>"כמ"</formula>
    </cfRule>
    <cfRule type="cellIs" dxfId="1458" priority="1928" operator="equal">
      <formula>"ק"</formula>
    </cfRule>
    <cfRule type="cellIs" dxfId="1457" priority="1929" operator="equal">
      <formula>"מ"</formula>
    </cfRule>
    <cfRule type="cellIs" dxfId="1456" priority="1930" operator="equal">
      <formula>"מנוחה"</formula>
    </cfRule>
    <cfRule type="cellIs" dxfId="1455" priority="1933" operator="equal">
      <formula>"כש"</formula>
    </cfRule>
    <cfRule type="cellIs" dxfId="1454" priority="1931" operator="equal">
      <formula>"מיל"</formula>
    </cfRule>
  </conditionalFormatting>
  <conditionalFormatting sqref="D3:N3 D4:S4 AD3:AE4">
    <cfRule type="cellIs" dxfId="1453" priority="1664" operator="equal">
      <formula>"ח"</formula>
    </cfRule>
  </conditionalFormatting>
  <conditionalFormatting sqref="D3:N3 P3:Q3 D4:Q4">
    <cfRule type="cellIs" dxfId="1452" priority="1658" operator="equal">
      <formula>"כמש"</formula>
    </cfRule>
    <cfRule type="cellIs" dxfId="1451" priority="1659" operator="equal">
      <formula>"כמ"</formula>
    </cfRule>
    <cfRule type="cellIs" dxfId="1450" priority="1660" operator="equal">
      <formula>"ק"</formula>
    </cfRule>
    <cfRule type="cellIs" dxfId="1449" priority="1662" operator="equal">
      <formula>"מנוחה"</formula>
    </cfRule>
    <cfRule type="cellIs" dxfId="1448" priority="1663" operator="equal">
      <formula>"מיל"</formula>
    </cfRule>
    <cfRule type="cellIs" dxfId="1447" priority="1665" operator="equal">
      <formula>"כש"</formula>
    </cfRule>
    <cfRule type="cellIs" dxfId="1446" priority="1661" operator="equal">
      <formula>"מ"</formula>
    </cfRule>
    <cfRule type="cellIs" dxfId="1445" priority="1666" operator="equal">
      <formula>"כ"</formula>
    </cfRule>
  </conditionalFormatting>
  <conditionalFormatting sqref="P3:Q3 D3:N3 D4:Q4 AD3:AE4">
    <cfRule type="cellIs" dxfId="1444" priority="1656" operator="equal">
      <formula>"ל"</formula>
    </cfRule>
    <cfRule type="cellIs" dxfId="1443" priority="1657" operator="equal">
      <formula>"י"</formula>
    </cfRule>
  </conditionalFormatting>
  <conditionalFormatting sqref="P3:W3">
    <cfRule type="cellIs" dxfId="1442" priority="1631" operator="equal">
      <formula>"ח"</formula>
    </cfRule>
  </conditionalFormatting>
  <conditionalFormatting sqref="R3:AO4">
    <cfRule type="cellIs" dxfId="1441" priority="1545" operator="equal">
      <formula>"כ"</formula>
    </cfRule>
    <cfRule type="cellIs" dxfId="1440" priority="1542" operator="equal">
      <formula>"מיל"</formula>
    </cfRule>
    <cfRule type="cellIs" dxfId="1439" priority="1541" operator="equal">
      <formula>"מנוחה"</formula>
    </cfRule>
    <cfRule type="cellIs" dxfId="1438" priority="1539" operator="equal">
      <formula>"ק"</formula>
    </cfRule>
    <cfRule type="cellIs" dxfId="1437" priority="1540" operator="equal">
      <formula>"מ"</formula>
    </cfRule>
    <cfRule type="cellIs" dxfId="1436" priority="1538" operator="equal">
      <formula>"כמ"</formula>
    </cfRule>
    <cfRule type="cellIs" dxfId="1435" priority="1537" operator="equal">
      <formula>"כמש"</formula>
    </cfRule>
    <cfRule type="cellIs" dxfId="1434" priority="1536" operator="equal">
      <formula>"י"</formula>
    </cfRule>
    <cfRule type="cellIs" dxfId="1433" priority="1535" operator="equal">
      <formula>"ל"</formula>
    </cfRule>
    <cfRule type="cellIs" dxfId="1432" priority="1544" operator="equal">
      <formula>"כש"</formula>
    </cfRule>
  </conditionalFormatting>
  <conditionalFormatting sqref="T4:W4">
    <cfRule type="cellIs" dxfId="1431" priority="1565" operator="equal">
      <formula>"ח"</formula>
    </cfRule>
  </conditionalFormatting>
  <conditionalFormatting sqref="X4:Y4">
    <cfRule type="cellIs" dxfId="1430" priority="1675" operator="equal">
      <formula>"ח"</formula>
    </cfRule>
  </conditionalFormatting>
  <conditionalFormatting sqref="X2:AH2 AP2 AR2 A1:C4 AR4:AS4 C5 R14:X15 AI18:AO18 AH19:AH20 AJ19:AO20 AI24:AO25 AH26:AP31 AH32:AQ32 AH33:AS33 AH34:AP34 AR34:AS34 AH35:AS35 AR8:AS11 A5:B35 AH8:AO11 AH21:AO23 AH17:AO17 AH5:AS7 D5:X13 D14:P15 D16:X35 Y5:AG35">
    <cfRule type="cellIs" dxfId="1429" priority="1924" operator="equal">
      <formula>"י"</formula>
    </cfRule>
    <cfRule type="cellIs" dxfId="1428" priority="1923" operator="equal">
      <formula>"ל"</formula>
    </cfRule>
  </conditionalFormatting>
  <conditionalFormatting sqref="X3:AO3 Z4:AK4 A1:C4 X2:AH2 AP2 AR2 AR4:AS4 C5 AY5 BG5:BG6 AH5:AS7 D5:X13 A5:B35 Y5:AG35 AW5:AW35 BE5:BE35 AY8:AY9 AR8:AS13 AH8:AO17 BG9:BG10 AY12:AY13 BG13:BG14 D14:P15 R14:X15 AY16:AY17 D16:X35 BG17:BG18 AI18:AO18 AR18:AS32 AH19:AH20 AJ19:AO20 AY20:AY21 BG21:BG22 AH21:AO23 AI24:AO25 AY24:AY25 BG25:BG26 AH26:AP31 AY28:AY29 BG29:BG30 AH32:AQ32 AY32:AY33 AH33:AS33 BG33:BG34 AH34:AP34 AR34:AS34 AH35:AS35">
    <cfRule type="cellIs" dxfId="1427" priority="1932" operator="equal">
      <formula>"ח"</formula>
    </cfRule>
  </conditionalFormatting>
  <conditionalFormatting sqref="AH16:AP16 AR12:AS32 AH12:AO15">
    <cfRule type="cellIs" dxfId="1426" priority="1911" operator="equal">
      <formula>"ל"</formula>
    </cfRule>
    <cfRule type="cellIs" dxfId="1425" priority="1912" operator="equal">
      <formula>"י"</formula>
    </cfRule>
  </conditionalFormatting>
  <conditionalFormatting sqref="AH8:AQ15">
    <cfRule type="cellIs" dxfId="1424" priority="1511" operator="equal">
      <formula>"כש"</formula>
    </cfRule>
    <cfRule type="cellIs" dxfId="1423" priority="1506" operator="equal">
      <formula>"ק"</formula>
    </cfRule>
    <cfRule type="cellIs" dxfId="1422" priority="1507" operator="equal">
      <formula>"מ"</formula>
    </cfRule>
    <cfRule type="cellIs" dxfId="1421" priority="1508" operator="equal">
      <formula>"מנוחה"</formula>
    </cfRule>
    <cfRule type="cellIs" dxfId="1420" priority="1505" operator="equal">
      <formula>"כמ"</formula>
    </cfRule>
    <cfRule type="cellIs" dxfId="1419" priority="1504" operator="equal">
      <formula>"כמש"</formula>
    </cfRule>
    <cfRule type="cellIs" dxfId="1418" priority="1512" operator="equal">
      <formula>"כ"</formula>
    </cfRule>
    <cfRule type="cellIs" dxfId="1417" priority="1509" operator="equal">
      <formula>"מיל"</formula>
    </cfRule>
  </conditionalFormatting>
  <conditionalFormatting sqref="AL4:AO4">
    <cfRule type="cellIs" dxfId="1416" priority="1543" operator="equal">
      <formula>"ח"</formula>
    </cfRule>
  </conditionalFormatting>
  <conditionalFormatting sqref="AP16 AR14:AS17">
    <cfRule type="cellIs" dxfId="1415" priority="1920" operator="equal">
      <formula>"ח"</formula>
    </cfRule>
  </conditionalFormatting>
  <conditionalFormatting sqref="AP8:AQ15">
    <cfRule type="cellIs" dxfId="1414" priority="1510" operator="equal">
      <formula>"ח"</formula>
    </cfRule>
    <cfRule type="cellIs" dxfId="1413" priority="1503" operator="equal">
      <formula>"י"</formula>
    </cfRule>
    <cfRule type="cellIs" dxfId="1412" priority="1502" operator="equal">
      <formula>"ל"</formula>
    </cfRule>
  </conditionalFormatting>
  <conditionalFormatting sqref="AP17:AQ25">
    <cfRule type="cellIs" dxfId="1411" priority="1905" operator="equal">
      <formula>"מ"</formula>
    </cfRule>
    <cfRule type="cellIs" dxfId="1410" priority="1903" operator="equal">
      <formula>"כמ"</formula>
    </cfRule>
    <cfRule type="cellIs" dxfId="1409" priority="1902" operator="equal">
      <formula>"כמש"</formula>
    </cfRule>
    <cfRule type="cellIs" dxfId="1408" priority="1904" operator="equal">
      <formula>"ק"</formula>
    </cfRule>
    <cfRule type="cellIs" dxfId="1407" priority="1901" operator="equal">
      <formula>"י"</formula>
    </cfRule>
    <cfRule type="cellIs" dxfId="1406" priority="1906" operator="equal">
      <formula>"מנוחה"</formula>
    </cfRule>
    <cfRule type="cellIs" dxfId="1405" priority="1900" operator="equal">
      <formula>"ל"</formula>
    </cfRule>
    <cfRule type="cellIs" dxfId="1404" priority="1907" operator="equal">
      <formula>"מיל"</formula>
    </cfRule>
    <cfRule type="cellIs" dxfId="1403" priority="1908" operator="equal">
      <formula>"ח"</formula>
    </cfRule>
    <cfRule type="cellIs" dxfId="1402" priority="1909" operator="equal">
      <formula>"כש"</formula>
    </cfRule>
    <cfRule type="cellIs" dxfId="1401" priority="1910" operator="equal">
      <formula>"כ"</formula>
    </cfRule>
  </conditionalFormatting>
  <conditionalFormatting sqref="AR8:AS32 AH16:AP16">
    <cfRule type="cellIs" dxfId="1400" priority="1921" operator="equal">
      <formula>"כש"</formula>
    </cfRule>
    <cfRule type="cellIs" dxfId="1399" priority="1914" operator="equal">
      <formula>"כמש"</formula>
    </cfRule>
    <cfRule type="cellIs" dxfId="1398" priority="1915" operator="equal">
      <formula>"כמ"</formula>
    </cfRule>
    <cfRule type="cellIs" dxfId="1397" priority="1916" operator="equal">
      <formula>"ק"</formula>
    </cfRule>
    <cfRule type="cellIs" dxfId="1396" priority="1917" operator="equal">
      <formula>"מ"</formula>
    </cfRule>
    <cfRule type="cellIs" dxfId="1395" priority="1918" operator="equal">
      <formula>"מנוחה"</formula>
    </cfRule>
    <cfRule type="cellIs" dxfId="1394" priority="1919" operator="equal">
      <formula>"מיל"</formula>
    </cfRule>
    <cfRule type="cellIs" dxfId="1393" priority="1922" operator="equal">
      <formula>"כ"</formula>
    </cfRule>
  </conditionalFormatting>
  <conditionalFormatting sqref="AT5:AU35">
    <cfRule type="cellIs" dxfId="1392" priority="1497" operator="equal">
      <formula>"מנוחה"</formula>
    </cfRule>
    <cfRule type="cellIs" dxfId="1391" priority="1498" operator="equal">
      <formula>"מיל"</formula>
    </cfRule>
    <cfRule type="cellIs" dxfId="1390" priority="1500" operator="equal">
      <formula>"כש"</formula>
    </cfRule>
    <cfRule type="cellIs" dxfId="1389" priority="1494" operator="equal">
      <formula>"כמ"</formula>
    </cfRule>
    <cfRule type="cellIs" dxfId="1388" priority="1495" operator="equal">
      <formula>"ק"</formula>
    </cfRule>
    <cfRule type="cellIs" dxfId="1387" priority="1501" operator="equal">
      <formula>"כ"</formula>
    </cfRule>
    <cfRule type="cellIs" dxfId="1386" priority="1496" operator="equal">
      <formula>"מ"</formula>
    </cfRule>
  </conditionalFormatting>
  <conditionalFormatting sqref="AT1:AV4">
    <cfRule type="cellIs" dxfId="1385" priority="1527" operator="equal">
      <formula>"כמ"</formula>
    </cfRule>
    <cfRule type="cellIs" dxfId="1384" priority="1529" operator="equal">
      <formula>"מ"</formula>
    </cfRule>
    <cfRule type="cellIs" dxfId="1383" priority="1528" operator="equal">
      <formula>"ק"</formula>
    </cfRule>
    <cfRule type="cellIs" dxfId="1382" priority="1525" operator="equal">
      <formula>"י"</formula>
    </cfRule>
    <cfRule type="cellIs" dxfId="1381" priority="1524" operator="equal">
      <formula>"ל"</formula>
    </cfRule>
    <cfRule type="cellIs" dxfId="1380" priority="1530" operator="equal">
      <formula>"מנוחה"</formula>
    </cfRule>
    <cfRule type="cellIs" dxfId="1379" priority="1531" operator="equal">
      <formula>"מיל"</formula>
    </cfRule>
    <cfRule type="cellIs" dxfId="1378" priority="1532" operator="equal">
      <formula>"ח"</formula>
    </cfRule>
    <cfRule type="cellIs" dxfId="1377" priority="1533" operator="equal">
      <formula>"כש"</formula>
    </cfRule>
    <cfRule type="cellIs" dxfId="1376" priority="1534" operator="equal">
      <formula>"כ"</formula>
    </cfRule>
    <cfRule type="cellIs" dxfId="1375" priority="1526" operator="equal">
      <formula>"כמש"</formula>
    </cfRule>
  </conditionalFormatting>
  <conditionalFormatting sqref="AV5 AT5:AU35">
    <cfRule type="cellIs" dxfId="1374" priority="1492" operator="equal">
      <formula>"י"</formula>
    </cfRule>
    <cfRule type="cellIs" dxfId="1373" priority="1499" operator="equal">
      <formula>"ח"</formula>
    </cfRule>
    <cfRule type="cellIs" dxfId="1372" priority="1491" operator="equal">
      <formula>"ל"</formula>
    </cfRule>
  </conditionalFormatting>
  <conditionalFormatting sqref="AV5:BM5 AT5:AU35">
    <cfRule type="cellIs" dxfId="1371" priority="1493" operator="equal">
      <formula>"כמש"</formula>
    </cfRule>
  </conditionalFormatting>
  <conditionalFormatting sqref="AV5:BU5">
    <cfRule type="cellIs" dxfId="1370" priority="62" operator="equal">
      <formula>"מיל"</formula>
    </cfRule>
    <cfRule type="cellIs" dxfId="1369" priority="61" operator="equal">
      <formula>"מנוחה"</formula>
    </cfRule>
    <cfRule type="cellIs" dxfId="1368" priority="46" operator="equal">
      <formula>"כש"</formula>
    </cfRule>
    <cfRule type="cellIs" dxfId="1367" priority="60" operator="equal">
      <formula>"מ"</formula>
    </cfRule>
    <cfRule type="cellIs" dxfId="1366" priority="59" operator="equal">
      <formula>"ק"</formula>
    </cfRule>
    <cfRule type="cellIs" dxfId="1365" priority="58" operator="equal">
      <formula>"כמ"</formula>
    </cfRule>
    <cfRule type="cellIs" dxfId="1364" priority="47" operator="equal">
      <formula>"כ"</formula>
    </cfRule>
  </conditionalFormatting>
  <conditionalFormatting sqref="AW39 AY39 BA39 BC39 BE39 BG39 BI39 BK39 BM39 BO39 BQ39 BS39 BU39 BW39 BY39 CA39:CB39">
    <cfRule type="cellIs" dxfId="1363" priority="1679" operator="greaterThan">
      <formula>$CE$39</formula>
    </cfRule>
    <cfRule type="cellIs" dxfId="1362" priority="1678" operator="lessThan">
      <formula>$CE$39</formula>
    </cfRule>
  </conditionalFormatting>
  <conditionalFormatting sqref="AW6:BD7">
    <cfRule type="cellIs" dxfId="1361" priority="435" operator="equal">
      <formula>"ק"</formula>
    </cfRule>
    <cfRule type="cellIs" dxfId="1360" priority="434" operator="equal">
      <formula>"כמ"</formula>
    </cfRule>
    <cfRule type="cellIs" dxfId="1359" priority="433" operator="equal">
      <formula>"כמש"</formula>
    </cfRule>
    <cfRule type="cellIs" dxfId="1358" priority="438" operator="equal">
      <formula>"מיל"</formula>
    </cfRule>
    <cfRule type="cellIs" dxfId="1357" priority="437" operator="equal">
      <formula>"מנוחה"</formula>
    </cfRule>
    <cfRule type="cellIs" dxfId="1356" priority="424" operator="equal">
      <formula>"כש"</formula>
    </cfRule>
    <cfRule type="cellIs" dxfId="1355" priority="425" operator="equal">
      <formula>"כ"</formula>
    </cfRule>
    <cfRule type="cellIs" dxfId="1354" priority="436" operator="equal">
      <formula>"מ"</formula>
    </cfRule>
  </conditionalFormatting>
  <conditionalFormatting sqref="AW10:BD11">
    <cfRule type="cellIs" dxfId="1353" priority="377" operator="equal">
      <formula>"כש"</formula>
    </cfRule>
    <cfRule type="cellIs" dxfId="1352" priority="378" operator="equal">
      <formula>"כ"</formula>
    </cfRule>
    <cfRule type="cellIs" dxfId="1351" priority="388" operator="equal">
      <formula>"ק"</formula>
    </cfRule>
    <cfRule type="cellIs" dxfId="1350" priority="387" operator="equal">
      <formula>"כמ"</formula>
    </cfRule>
    <cfRule type="cellIs" dxfId="1349" priority="386" operator="equal">
      <formula>"כמש"</formula>
    </cfRule>
    <cfRule type="cellIs" dxfId="1348" priority="389" operator="equal">
      <formula>"מ"</formula>
    </cfRule>
    <cfRule type="cellIs" dxfId="1347" priority="390" operator="equal">
      <formula>"מנוחה"</formula>
    </cfRule>
    <cfRule type="cellIs" dxfId="1346" priority="391" operator="equal">
      <formula>"מיל"</formula>
    </cfRule>
  </conditionalFormatting>
  <conditionalFormatting sqref="AW14:BD15">
    <cfRule type="cellIs" dxfId="1345" priority="331" operator="equal">
      <formula>"כ"</formula>
    </cfRule>
    <cfRule type="cellIs" dxfId="1344" priority="330" operator="equal">
      <formula>"כש"</formula>
    </cfRule>
    <cfRule type="cellIs" dxfId="1343" priority="344" operator="equal">
      <formula>"מיל"</formula>
    </cfRule>
    <cfRule type="cellIs" dxfId="1342" priority="342" operator="equal">
      <formula>"מ"</formula>
    </cfRule>
    <cfRule type="cellIs" dxfId="1341" priority="341" operator="equal">
      <formula>"ק"</formula>
    </cfRule>
    <cfRule type="cellIs" dxfId="1340" priority="340" operator="equal">
      <formula>"כמ"</formula>
    </cfRule>
    <cfRule type="cellIs" dxfId="1339" priority="343" operator="equal">
      <formula>"מנוחה"</formula>
    </cfRule>
  </conditionalFormatting>
  <conditionalFormatting sqref="AW18:BD19">
    <cfRule type="cellIs" dxfId="1338" priority="283" operator="equal">
      <formula>"כש"</formula>
    </cfRule>
    <cfRule type="cellIs" dxfId="1337" priority="284" operator="equal">
      <formula>"כ"</formula>
    </cfRule>
    <cfRule type="cellIs" dxfId="1336" priority="293" operator="equal">
      <formula>"כמ"</formula>
    </cfRule>
    <cfRule type="cellIs" dxfId="1335" priority="294" operator="equal">
      <formula>"ק"</formula>
    </cfRule>
    <cfRule type="cellIs" dxfId="1334" priority="295" operator="equal">
      <formula>"מ"</formula>
    </cfRule>
    <cfRule type="cellIs" dxfId="1333" priority="296" operator="equal">
      <formula>"מנוחה"</formula>
    </cfRule>
    <cfRule type="cellIs" dxfId="1332" priority="297" operator="equal">
      <formula>"מיל"</formula>
    </cfRule>
  </conditionalFormatting>
  <conditionalFormatting sqref="AW22:BD23">
    <cfRule type="cellIs" dxfId="1331" priority="237" operator="equal">
      <formula>"כ"</formula>
    </cfRule>
    <cfRule type="cellIs" dxfId="1330" priority="250" operator="equal">
      <formula>"מיל"</formula>
    </cfRule>
    <cfRule type="cellIs" dxfId="1329" priority="247" operator="equal">
      <formula>"ק"</formula>
    </cfRule>
    <cfRule type="cellIs" dxfId="1328" priority="248" operator="equal">
      <formula>"מ"</formula>
    </cfRule>
    <cfRule type="cellIs" dxfId="1327" priority="236" operator="equal">
      <formula>"כש"</formula>
    </cfRule>
    <cfRule type="cellIs" dxfId="1326" priority="249" operator="equal">
      <formula>"מנוחה"</formula>
    </cfRule>
    <cfRule type="cellIs" dxfId="1325" priority="246" operator="equal">
      <formula>"כמ"</formula>
    </cfRule>
  </conditionalFormatting>
  <conditionalFormatting sqref="AW26:BD27">
    <cfRule type="cellIs" dxfId="1324" priority="203" operator="equal">
      <formula>"מיל"</formula>
    </cfRule>
    <cfRule type="cellIs" dxfId="1323" priority="189" operator="equal">
      <formula>"כש"</formula>
    </cfRule>
    <cfRule type="cellIs" dxfId="1322" priority="199" operator="equal">
      <formula>"כמ"</formula>
    </cfRule>
    <cfRule type="cellIs" dxfId="1321" priority="190" operator="equal">
      <formula>"כ"</formula>
    </cfRule>
    <cfRule type="cellIs" dxfId="1320" priority="202" operator="equal">
      <formula>"מנוחה"</formula>
    </cfRule>
    <cfRule type="cellIs" dxfId="1319" priority="201" operator="equal">
      <formula>"מ"</formula>
    </cfRule>
    <cfRule type="cellIs" dxfId="1318" priority="200" operator="equal">
      <formula>"ק"</formula>
    </cfRule>
  </conditionalFormatting>
  <conditionalFormatting sqref="AW30:BD31">
    <cfRule type="cellIs" dxfId="1317" priority="152" operator="equal">
      <formula>"כמ"</formula>
    </cfRule>
    <cfRule type="cellIs" dxfId="1316" priority="153" operator="equal">
      <formula>"ק"</formula>
    </cfRule>
    <cfRule type="cellIs" dxfId="1315" priority="154" operator="equal">
      <formula>"מ"</formula>
    </cfRule>
    <cfRule type="cellIs" dxfId="1314" priority="155" operator="equal">
      <formula>"מנוחה"</formula>
    </cfRule>
    <cfRule type="cellIs" dxfId="1313" priority="156" operator="equal">
      <formula>"מיל"</formula>
    </cfRule>
    <cfRule type="cellIs" dxfId="1312" priority="142" operator="equal">
      <formula>"כש"</formula>
    </cfRule>
    <cfRule type="cellIs" dxfId="1311" priority="143" operator="equal">
      <formula>"כ"</formula>
    </cfRule>
  </conditionalFormatting>
  <conditionalFormatting sqref="AW34:BD35">
    <cfRule type="cellIs" dxfId="1310" priority="95" operator="equal">
      <formula>"כש"</formula>
    </cfRule>
    <cfRule type="cellIs" dxfId="1309" priority="96" operator="equal">
      <formula>"כ"</formula>
    </cfRule>
    <cfRule type="cellIs" dxfId="1308" priority="105" operator="equal">
      <formula>"כמ"</formula>
    </cfRule>
    <cfRule type="cellIs" dxfId="1307" priority="106" operator="equal">
      <formula>"ק"</formula>
    </cfRule>
    <cfRule type="cellIs" dxfId="1306" priority="107" operator="equal">
      <formula>"מ"</formula>
    </cfRule>
    <cfRule type="cellIs" dxfId="1305" priority="109" operator="equal">
      <formula>"מיל"</formula>
    </cfRule>
    <cfRule type="cellIs" dxfId="1304" priority="108" operator="equal">
      <formula>"מנוחה"</formula>
    </cfRule>
  </conditionalFormatting>
  <conditionalFormatting sqref="AW8:BF8">
    <cfRule type="cellIs" dxfId="1303" priority="743" operator="equal">
      <formula>"כ"</formula>
    </cfRule>
    <cfRule type="cellIs" dxfId="1302" priority="742" operator="equal">
      <formula>"כש"</formula>
    </cfRule>
  </conditionalFormatting>
  <conditionalFormatting sqref="AW12:BF12">
    <cfRule type="cellIs" dxfId="1301" priority="696" operator="equal">
      <formula>"כ"</formula>
    </cfRule>
    <cfRule type="cellIs" dxfId="1300" priority="695" operator="equal">
      <formula>"כש"</formula>
    </cfRule>
  </conditionalFormatting>
  <conditionalFormatting sqref="AW16:BF16">
    <cfRule type="cellIs" dxfId="1299" priority="648" operator="equal">
      <formula>"כש"</formula>
    </cfRule>
    <cfRule type="cellIs" dxfId="1298" priority="649" operator="equal">
      <formula>"כ"</formula>
    </cfRule>
  </conditionalFormatting>
  <conditionalFormatting sqref="AW20:BF20">
    <cfRule type="cellIs" dxfId="1297" priority="602" operator="equal">
      <formula>"כ"</formula>
    </cfRule>
    <cfRule type="cellIs" dxfId="1296" priority="601" operator="equal">
      <formula>"כש"</formula>
    </cfRule>
  </conditionalFormatting>
  <conditionalFormatting sqref="AW24:BF24">
    <cfRule type="cellIs" dxfId="1295" priority="554" operator="equal">
      <formula>"כש"</formula>
    </cfRule>
    <cfRule type="cellIs" dxfId="1294" priority="555" operator="equal">
      <formula>"כ"</formula>
    </cfRule>
  </conditionalFormatting>
  <conditionalFormatting sqref="AW28:BF28">
    <cfRule type="cellIs" dxfId="1293" priority="507" operator="equal">
      <formula>"כש"</formula>
    </cfRule>
    <cfRule type="cellIs" dxfId="1292" priority="508" operator="equal">
      <formula>"כ"</formula>
    </cfRule>
  </conditionalFormatting>
  <conditionalFormatting sqref="AW32:BF32">
    <cfRule type="cellIs" dxfId="1291" priority="461" operator="equal">
      <formula>"כ"</formula>
    </cfRule>
    <cfRule type="cellIs" dxfId="1290" priority="460" operator="equal">
      <formula>"כש"</formula>
    </cfRule>
  </conditionalFormatting>
  <conditionalFormatting sqref="AW9:BL9 AW13:BL13 AW17:BL17 AW21:BL21 AW25:BL25 AW29:BL29 AW33:BL33">
    <cfRule type="cellIs" dxfId="1289" priority="1789" operator="equal">
      <formula>"כ"</formula>
    </cfRule>
    <cfRule type="cellIs" dxfId="1288" priority="1788" operator="equal">
      <formula>"כש"</formula>
    </cfRule>
  </conditionalFormatting>
  <conditionalFormatting sqref="AW2:CB2 AW3:AZ3 BE3:BO3 AW4:AY4 BE4 BG4 BI4 BK4:BM4 BO4 BS4:BU4 BW4 BY4 CA4">
    <cfRule type="cellIs" dxfId="1287" priority="1598" operator="equal">
      <formula>"ח"</formula>
    </cfRule>
    <cfRule type="cellIs" dxfId="1286" priority="1592" operator="equal">
      <formula>"כמש"</formula>
    </cfRule>
    <cfRule type="cellIs" dxfId="1285" priority="1593" operator="equal">
      <formula>"כמ"</formula>
    </cfRule>
    <cfRule type="cellIs" dxfId="1284" priority="1594" operator="equal">
      <formula>"ק"</formula>
    </cfRule>
    <cfRule type="cellIs" dxfId="1283" priority="1595" operator="equal">
      <formula>"מ"</formula>
    </cfRule>
    <cfRule type="cellIs" dxfId="1282" priority="1599" operator="equal">
      <formula>"כש"</formula>
    </cfRule>
    <cfRule type="cellIs" dxfId="1281" priority="1590" operator="equal">
      <formula>"ל"</formula>
    </cfRule>
    <cfRule type="cellIs" dxfId="1280" priority="1596" operator="equal">
      <formula>"מנוחה"</formula>
    </cfRule>
    <cfRule type="cellIs" dxfId="1279" priority="1597" operator="equal">
      <formula>"מיל"</formula>
    </cfRule>
    <cfRule type="cellIs" dxfId="1278" priority="1600" operator="equal">
      <formula>"כ"</formula>
    </cfRule>
    <cfRule type="cellIs" dxfId="1277" priority="1591" operator="equal">
      <formula>"י"</formula>
    </cfRule>
  </conditionalFormatting>
  <conditionalFormatting sqref="AX5 AX8:AX9 AX12:AX13 AX16:AX17 AX20:AX21 AX24:AX25 AX28:AX29 AX32:AX33">
    <cfRule type="cellIs" dxfId="1276" priority="1875" operator="equal">
      <formula>"ח"</formula>
    </cfRule>
  </conditionalFormatting>
  <conditionalFormatting sqref="AX6:AX7">
    <cfRule type="cellIs" dxfId="1275" priority="444" operator="equal">
      <formula>"ח"</formula>
    </cfRule>
  </conditionalFormatting>
  <conditionalFormatting sqref="AX7">
    <cfRule type="cellIs" dxfId="1274" priority="412" stopIfTrue="1" operator="equal">
      <formula>"ח"</formula>
    </cfRule>
    <cfRule type="cellIs" dxfId="1273" priority="413" operator="equal">
      <formula>"כש"</formula>
    </cfRule>
    <cfRule type="cellIs" dxfId="1272" priority="414" operator="equal">
      <formula>"כ"</formula>
    </cfRule>
  </conditionalFormatting>
  <conditionalFormatting sqref="AX10:AX11">
    <cfRule type="cellIs" dxfId="1271" priority="397" operator="equal">
      <formula>"ח"</formula>
    </cfRule>
  </conditionalFormatting>
  <conditionalFormatting sqref="AX11">
    <cfRule type="cellIs" dxfId="1270" priority="367" operator="equal">
      <formula>"כ"</formula>
    </cfRule>
    <cfRule type="cellIs" dxfId="1269" priority="365" stopIfTrue="1" operator="equal">
      <formula>"ח"</formula>
    </cfRule>
    <cfRule type="cellIs" dxfId="1268" priority="366" operator="equal">
      <formula>"כש"</formula>
    </cfRule>
  </conditionalFormatting>
  <conditionalFormatting sqref="AX14:AX15">
    <cfRule type="cellIs" dxfId="1267" priority="350" operator="equal">
      <formula>"ח"</formula>
    </cfRule>
  </conditionalFormatting>
  <conditionalFormatting sqref="AX15">
    <cfRule type="cellIs" dxfId="1266" priority="318" stopIfTrue="1" operator="equal">
      <formula>"ח"</formula>
    </cfRule>
    <cfRule type="cellIs" dxfId="1265" priority="319" operator="equal">
      <formula>"כש"</formula>
    </cfRule>
    <cfRule type="cellIs" dxfId="1264" priority="320" operator="equal">
      <formula>"כ"</formula>
    </cfRule>
  </conditionalFormatting>
  <conditionalFormatting sqref="AX18:AX19">
    <cfRule type="cellIs" dxfId="1263" priority="303" operator="equal">
      <formula>"ח"</formula>
    </cfRule>
  </conditionalFormatting>
  <conditionalFormatting sqref="AX19">
    <cfRule type="cellIs" dxfId="1262" priority="272" operator="equal">
      <formula>"כש"</formula>
    </cfRule>
    <cfRule type="cellIs" dxfId="1261" priority="271" stopIfTrue="1" operator="equal">
      <formula>"ח"</formula>
    </cfRule>
    <cfRule type="cellIs" dxfId="1260" priority="273" operator="equal">
      <formula>"כ"</formula>
    </cfRule>
  </conditionalFormatting>
  <conditionalFormatting sqref="AX22:AX23">
    <cfRule type="cellIs" dxfId="1259" priority="256" operator="equal">
      <formula>"ח"</formula>
    </cfRule>
  </conditionalFormatting>
  <conditionalFormatting sqref="AX23">
    <cfRule type="cellIs" dxfId="1258" priority="224" stopIfTrue="1" operator="equal">
      <formula>"ח"</formula>
    </cfRule>
    <cfRule type="cellIs" dxfId="1257" priority="225" operator="equal">
      <formula>"כש"</formula>
    </cfRule>
    <cfRule type="cellIs" dxfId="1256" priority="226" operator="equal">
      <formula>"כ"</formula>
    </cfRule>
  </conditionalFormatting>
  <conditionalFormatting sqref="AX26:AX27">
    <cfRule type="cellIs" dxfId="1255" priority="209" operator="equal">
      <formula>"ח"</formula>
    </cfRule>
  </conditionalFormatting>
  <conditionalFormatting sqref="AX27">
    <cfRule type="cellIs" dxfId="1254" priority="179" operator="equal">
      <formula>"כ"</formula>
    </cfRule>
    <cfRule type="cellIs" dxfId="1253" priority="177" stopIfTrue="1" operator="equal">
      <formula>"ח"</formula>
    </cfRule>
    <cfRule type="cellIs" dxfId="1252" priority="178" operator="equal">
      <formula>"כש"</formula>
    </cfRule>
  </conditionalFormatting>
  <conditionalFormatting sqref="AX30:AX31">
    <cfRule type="cellIs" dxfId="1251" priority="162" operator="equal">
      <formula>"ח"</formula>
    </cfRule>
  </conditionalFormatting>
  <conditionalFormatting sqref="AX31">
    <cfRule type="cellIs" dxfId="1250" priority="132" operator="equal">
      <formula>"כ"</formula>
    </cfRule>
    <cfRule type="cellIs" dxfId="1249" priority="131" operator="equal">
      <formula>"כש"</formula>
    </cfRule>
    <cfRule type="cellIs" dxfId="1248" priority="130" stopIfTrue="1" operator="equal">
      <formula>"ח"</formula>
    </cfRule>
  </conditionalFormatting>
  <conditionalFormatting sqref="AX34:AX35">
    <cfRule type="cellIs" dxfId="1247" priority="115" operator="equal">
      <formula>"ח"</formula>
    </cfRule>
  </conditionalFormatting>
  <conditionalFormatting sqref="AX35">
    <cfRule type="cellIs" dxfId="1246" priority="83" stopIfTrue="1" operator="equal">
      <formula>"ח"</formula>
    </cfRule>
    <cfRule type="cellIs" dxfId="1245" priority="84" operator="equal">
      <formula>"כש"</formula>
    </cfRule>
    <cfRule type="cellIs" dxfId="1244" priority="85" operator="equal">
      <formula>"כ"</formula>
    </cfRule>
  </conditionalFormatting>
  <conditionalFormatting sqref="AX6:AY7">
    <cfRule type="cellIs" dxfId="1243" priority="445" operator="equal">
      <formula>"ח"</formula>
    </cfRule>
  </conditionalFormatting>
  <conditionalFormatting sqref="AX10:AY11">
    <cfRule type="cellIs" dxfId="1242" priority="398" operator="equal">
      <formula>"ח"</formula>
    </cfRule>
  </conditionalFormatting>
  <conditionalFormatting sqref="AX14:AY15">
    <cfRule type="cellIs" dxfId="1241" priority="351" operator="equal">
      <formula>"ח"</formula>
    </cfRule>
  </conditionalFormatting>
  <conditionalFormatting sqref="AX18:AY19">
    <cfRule type="cellIs" dxfId="1240" priority="304" operator="equal">
      <formula>"ח"</formula>
    </cfRule>
  </conditionalFormatting>
  <conditionalFormatting sqref="AX22:AY23">
    <cfRule type="cellIs" dxfId="1239" priority="257" operator="equal">
      <formula>"ח"</formula>
    </cfRule>
  </conditionalFormatting>
  <conditionalFormatting sqref="AX26:AY27">
    <cfRule type="cellIs" dxfId="1238" priority="210" operator="equal">
      <formula>"ח"</formula>
    </cfRule>
  </conditionalFormatting>
  <conditionalFormatting sqref="AX30:AY31">
    <cfRule type="cellIs" dxfId="1237" priority="163" operator="equal">
      <formula>"ח"</formula>
    </cfRule>
  </conditionalFormatting>
  <conditionalFormatting sqref="AX34:AY35 BA5:BA35 BC5:BC35">
    <cfRule type="cellIs" dxfId="1236" priority="116" operator="equal">
      <formula>"ח"</formula>
    </cfRule>
  </conditionalFormatting>
  <conditionalFormatting sqref="AX6:BD7">
    <cfRule type="cellIs" dxfId="1235" priority="432" operator="equal">
      <formula>"י"</formula>
    </cfRule>
    <cfRule type="cellIs" dxfId="1234" priority="431" operator="equal">
      <formula>"ל"</formula>
    </cfRule>
  </conditionalFormatting>
  <conditionalFormatting sqref="AX10:BD11">
    <cfRule type="cellIs" dxfId="1233" priority="385" operator="equal">
      <formula>"י"</formula>
    </cfRule>
    <cfRule type="cellIs" dxfId="1232" priority="384" operator="equal">
      <formula>"ל"</formula>
    </cfRule>
  </conditionalFormatting>
  <conditionalFormatting sqref="AX14:BD15">
    <cfRule type="cellIs" dxfId="1231" priority="339" operator="equal">
      <formula>"כמש"</formula>
    </cfRule>
    <cfRule type="cellIs" dxfId="1230" priority="338" operator="equal">
      <formula>"י"</formula>
    </cfRule>
    <cfRule type="cellIs" dxfId="1229" priority="337" operator="equal">
      <formula>"ל"</formula>
    </cfRule>
  </conditionalFormatting>
  <conditionalFormatting sqref="AX18:BD19">
    <cfRule type="cellIs" dxfId="1228" priority="291" operator="equal">
      <formula>"י"</formula>
    </cfRule>
    <cfRule type="cellIs" dxfId="1227" priority="292" operator="equal">
      <formula>"כמש"</formula>
    </cfRule>
    <cfRule type="cellIs" dxfId="1226" priority="290" operator="equal">
      <formula>"ל"</formula>
    </cfRule>
  </conditionalFormatting>
  <conditionalFormatting sqref="AX22:BD23">
    <cfRule type="cellIs" dxfId="1225" priority="245" operator="equal">
      <formula>"כמש"</formula>
    </cfRule>
    <cfRule type="cellIs" dxfId="1224" priority="243" operator="equal">
      <formula>"ל"</formula>
    </cfRule>
    <cfRule type="cellIs" dxfId="1223" priority="244" operator="equal">
      <formula>"י"</formula>
    </cfRule>
  </conditionalFormatting>
  <conditionalFormatting sqref="AX26:BD27">
    <cfRule type="cellIs" dxfId="1222" priority="197" operator="equal">
      <formula>"י"</formula>
    </cfRule>
    <cfRule type="cellIs" dxfId="1221" priority="196" operator="equal">
      <formula>"ל"</formula>
    </cfRule>
    <cfRule type="cellIs" dxfId="1220" priority="198" operator="equal">
      <formula>"כמש"</formula>
    </cfRule>
  </conditionalFormatting>
  <conditionalFormatting sqref="AX30:BD31">
    <cfRule type="cellIs" dxfId="1219" priority="149" operator="equal">
      <formula>"ל"</formula>
    </cfRule>
    <cfRule type="cellIs" dxfId="1218" priority="150" operator="equal">
      <formula>"י"</formula>
    </cfRule>
    <cfRule type="cellIs" dxfId="1217" priority="151" operator="equal">
      <formula>"כמש"</formula>
    </cfRule>
  </conditionalFormatting>
  <conditionalFormatting sqref="AX34:BD35">
    <cfRule type="cellIs" dxfId="1216" priority="104" operator="equal">
      <formula>"כמש"</formula>
    </cfRule>
    <cfRule type="cellIs" dxfId="1215" priority="103" operator="equal">
      <formula>"י"</formula>
    </cfRule>
    <cfRule type="cellIs" dxfId="1214" priority="102" operator="equal">
      <formula>"ל"</formula>
    </cfRule>
  </conditionalFormatting>
  <conditionalFormatting sqref="AZ5 AZ8:AZ9 AZ12:AZ13 AZ16:AZ17 AZ20:AZ21 AZ24:AZ25 AZ28:AZ29 AZ32:AZ33">
    <cfRule type="cellIs" dxfId="1213" priority="1842" operator="equal">
      <formula>"ח"</formula>
    </cfRule>
  </conditionalFormatting>
  <conditionalFormatting sqref="AZ6">
    <cfRule type="cellIs" dxfId="1212" priority="411" operator="equal">
      <formula>"ח"</formula>
    </cfRule>
    <cfRule type="cellIs" dxfId="1211" priority="410" operator="equal">
      <formula>"כ"</formula>
    </cfRule>
    <cfRule type="cellIs" dxfId="1210" priority="409" operator="equal">
      <formula>"כש"</formula>
    </cfRule>
  </conditionalFormatting>
  <conditionalFormatting sqref="AZ6:AZ7">
    <cfRule type="cellIs" dxfId="1209" priority="443" operator="equal">
      <formula>"ח"</formula>
    </cfRule>
    <cfRule type="cellIs" dxfId="1208" priority="428" operator="equal">
      <formula>"ח"</formula>
    </cfRule>
  </conditionalFormatting>
  <conditionalFormatting sqref="AZ7">
    <cfRule type="cellIs" dxfId="1207" priority="423" operator="equal">
      <formula>"כ"</formula>
    </cfRule>
    <cfRule type="cellIs" dxfId="1206" priority="422" operator="equal">
      <formula>"כש"</formula>
    </cfRule>
    <cfRule type="cellIs" dxfId="1205" priority="421" stopIfTrue="1" operator="equal">
      <formula>"ח"</formula>
    </cfRule>
  </conditionalFormatting>
  <conditionalFormatting sqref="AZ10">
    <cfRule type="cellIs" dxfId="1204" priority="362" operator="equal">
      <formula>"כש"</formula>
    </cfRule>
    <cfRule type="cellIs" dxfId="1203" priority="363" operator="equal">
      <formula>"כ"</formula>
    </cfRule>
    <cfRule type="cellIs" dxfId="1202" priority="364" operator="equal">
      <formula>"ח"</formula>
    </cfRule>
  </conditionalFormatting>
  <conditionalFormatting sqref="AZ10:AZ11">
    <cfRule type="cellIs" dxfId="1201" priority="396" operator="equal">
      <formula>"ח"</formula>
    </cfRule>
    <cfRule type="cellIs" dxfId="1200" priority="381" operator="equal">
      <formula>"ח"</formula>
    </cfRule>
  </conditionalFormatting>
  <conditionalFormatting sqref="AZ11">
    <cfRule type="cellIs" dxfId="1199" priority="376" operator="equal">
      <formula>"כ"</formula>
    </cfRule>
    <cfRule type="cellIs" dxfId="1198" priority="375" operator="equal">
      <formula>"כש"</formula>
    </cfRule>
    <cfRule type="cellIs" dxfId="1197" priority="374" stopIfTrue="1" operator="equal">
      <formula>"ח"</formula>
    </cfRule>
  </conditionalFormatting>
  <conditionalFormatting sqref="AZ14">
    <cfRule type="cellIs" dxfId="1196" priority="317" operator="equal">
      <formula>"ח"</formula>
    </cfRule>
    <cfRule type="cellIs" dxfId="1195" priority="315" operator="equal">
      <formula>"כש"</formula>
    </cfRule>
    <cfRule type="cellIs" dxfId="1194" priority="316" operator="equal">
      <formula>"כ"</formula>
    </cfRule>
  </conditionalFormatting>
  <conditionalFormatting sqref="AZ14:AZ15">
    <cfRule type="cellIs" dxfId="1193" priority="334" operator="equal">
      <formula>"ח"</formula>
    </cfRule>
    <cfRule type="cellIs" dxfId="1192" priority="349" operator="equal">
      <formula>"ח"</formula>
    </cfRule>
  </conditionalFormatting>
  <conditionalFormatting sqref="AZ15">
    <cfRule type="cellIs" dxfId="1191" priority="327" stopIfTrue="1" operator="equal">
      <formula>"ח"</formula>
    </cfRule>
    <cfRule type="cellIs" dxfId="1190" priority="328" operator="equal">
      <formula>"כש"</formula>
    </cfRule>
    <cfRule type="cellIs" dxfId="1189" priority="329" operator="equal">
      <formula>"כ"</formula>
    </cfRule>
  </conditionalFormatting>
  <conditionalFormatting sqref="AZ18">
    <cfRule type="cellIs" dxfId="1188" priority="269" operator="equal">
      <formula>"כ"</formula>
    </cfRule>
    <cfRule type="cellIs" dxfId="1187" priority="268" operator="equal">
      <formula>"כש"</formula>
    </cfRule>
    <cfRule type="cellIs" dxfId="1186" priority="270" operator="equal">
      <formula>"ח"</formula>
    </cfRule>
  </conditionalFormatting>
  <conditionalFormatting sqref="AZ18:AZ19">
    <cfRule type="cellIs" dxfId="1185" priority="302" operator="equal">
      <formula>"ח"</formula>
    </cfRule>
    <cfRule type="cellIs" dxfId="1184" priority="287" operator="equal">
      <formula>"ח"</formula>
    </cfRule>
  </conditionalFormatting>
  <conditionalFormatting sqref="AZ19">
    <cfRule type="cellIs" dxfId="1183" priority="280" stopIfTrue="1" operator="equal">
      <formula>"ח"</formula>
    </cfRule>
    <cfRule type="cellIs" dxfId="1182" priority="281" operator="equal">
      <formula>"כש"</formula>
    </cfRule>
    <cfRule type="cellIs" dxfId="1181" priority="282" operator="equal">
      <formula>"כ"</formula>
    </cfRule>
  </conditionalFormatting>
  <conditionalFormatting sqref="AZ22">
    <cfRule type="cellIs" dxfId="1180" priority="221" operator="equal">
      <formula>"כש"</formula>
    </cfRule>
    <cfRule type="cellIs" dxfId="1179" priority="222" operator="equal">
      <formula>"כ"</formula>
    </cfRule>
    <cfRule type="cellIs" dxfId="1178" priority="223" operator="equal">
      <formula>"ח"</formula>
    </cfRule>
  </conditionalFormatting>
  <conditionalFormatting sqref="AZ22:AZ23">
    <cfRule type="cellIs" dxfId="1177" priority="240" operator="equal">
      <formula>"ח"</formula>
    </cfRule>
    <cfRule type="cellIs" dxfId="1176" priority="255" operator="equal">
      <formula>"ח"</formula>
    </cfRule>
  </conditionalFormatting>
  <conditionalFormatting sqref="AZ23">
    <cfRule type="cellIs" dxfId="1175" priority="234" operator="equal">
      <formula>"כש"</formula>
    </cfRule>
    <cfRule type="cellIs" dxfId="1174" priority="235" operator="equal">
      <formula>"כ"</formula>
    </cfRule>
    <cfRule type="cellIs" dxfId="1173" priority="233" stopIfTrue="1" operator="equal">
      <formula>"ח"</formula>
    </cfRule>
  </conditionalFormatting>
  <conditionalFormatting sqref="AZ26">
    <cfRule type="cellIs" dxfId="1172" priority="174" operator="equal">
      <formula>"כש"</formula>
    </cfRule>
    <cfRule type="cellIs" dxfId="1171" priority="175" operator="equal">
      <formula>"כ"</formula>
    </cfRule>
    <cfRule type="cellIs" dxfId="1170" priority="176" operator="equal">
      <formula>"ח"</formula>
    </cfRule>
  </conditionalFormatting>
  <conditionalFormatting sqref="AZ26:AZ27">
    <cfRule type="cellIs" dxfId="1169" priority="208" operator="equal">
      <formula>"ח"</formula>
    </cfRule>
    <cfRule type="cellIs" dxfId="1168" priority="193" operator="equal">
      <formula>"ח"</formula>
    </cfRule>
  </conditionalFormatting>
  <conditionalFormatting sqref="AZ27">
    <cfRule type="cellIs" dxfId="1167" priority="187" operator="equal">
      <formula>"כש"</formula>
    </cfRule>
    <cfRule type="cellIs" dxfId="1166" priority="186" stopIfTrue="1" operator="equal">
      <formula>"ח"</formula>
    </cfRule>
    <cfRule type="cellIs" dxfId="1165" priority="188" operator="equal">
      <formula>"כ"</formula>
    </cfRule>
  </conditionalFormatting>
  <conditionalFormatting sqref="AZ30">
    <cfRule type="cellIs" dxfId="1164" priority="127" operator="equal">
      <formula>"כש"</formula>
    </cfRule>
    <cfRule type="cellIs" dxfId="1163" priority="128" operator="equal">
      <formula>"כ"</formula>
    </cfRule>
    <cfRule type="cellIs" dxfId="1162" priority="129" operator="equal">
      <formula>"ח"</formula>
    </cfRule>
  </conditionalFormatting>
  <conditionalFormatting sqref="AZ30:AZ31">
    <cfRule type="cellIs" dxfId="1161" priority="161" operator="equal">
      <formula>"ח"</formula>
    </cfRule>
    <cfRule type="cellIs" dxfId="1160" priority="146" operator="equal">
      <formula>"ח"</formula>
    </cfRule>
  </conditionalFormatting>
  <conditionalFormatting sqref="AZ31">
    <cfRule type="cellIs" dxfId="1159" priority="141" operator="equal">
      <formula>"כ"</formula>
    </cfRule>
    <cfRule type="cellIs" dxfId="1158" priority="140" operator="equal">
      <formula>"כש"</formula>
    </cfRule>
    <cfRule type="cellIs" dxfId="1157" priority="139" stopIfTrue="1" operator="equal">
      <formula>"ח"</formula>
    </cfRule>
  </conditionalFormatting>
  <conditionalFormatting sqref="AZ34">
    <cfRule type="cellIs" dxfId="1156" priority="81" operator="equal">
      <formula>"כ"</formula>
    </cfRule>
    <cfRule type="cellIs" dxfId="1155" priority="82" operator="equal">
      <formula>"ח"</formula>
    </cfRule>
    <cfRule type="cellIs" dxfId="1154" priority="80" operator="equal">
      <formula>"כש"</formula>
    </cfRule>
  </conditionalFormatting>
  <conditionalFormatting sqref="AZ34:AZ35">
    <cfRule type="cellIs" dxfId="1153" priority="114" operator="equal">
      <formula>"ח"</formula>
    </cfRule>
    <cfRule type="cellIs" dxfId="1152" priority="99" operator="equal">
      <formula>"ח"</formula>
    </cfRule>
  </conditionalFormatting>
  <conditionalFormatting sqref="AZ35">
    <cfRule type="cellIs" dxfId="1151" priority="94" operator="equal">
      <formula>"כ"</formula>
    </cfRule>
    <cfRule type="cellIs" dxfId="1150" priority="93" operator="equal">
      <formula>"כש"</formula>
    </cfRule>
    <cfRule type="cellIs" dxfId="1149" priority="92" stopIfTrue="1" operator="equal">
      <formula>"ח"</formula>
    </cfRule>
  </conditionalFormatting>
  <conditionalFormatting sqref="BB5 BB8:BB9 BB12:BB13 BB16:BB17 BB20:BB21 BB24:BB25 BB28:BB29 BB32:BB33">
    <cfRule type="cellIs" dxfId="1148" priority="1831" operator="equal">
      <formula>"ח"</formula>
    </cfRule>
  </conditionalFormatting>
  <conditionalFormatting sqref="BB6">
    <cfRule type="cellIs" dxfId="1147" priority="402" operator="equal">
      <formula>"ח"</formula>
    </cfRule>
    <cfRule type="cellIs" dxfId="1146" priority="399" operator="equal">
      <formula>"כש"</formula>
    </cfRule>
    <cfRule type="cellIs" dxfId="1145" priority="408" operator="equal">
      <formula>"ח"</formula>
    </cfRule>
    <cfRule type="cellIs" dxfId="1144" priority="400" operator="equal">
      <formula>"כ"</formula>
    </cfRule>
    <cfRule type="cellIs" dxfId="1143" priority="401" operator="equal">
      <formula>"ח"</formula>
    </cfRule>
  </conditionalFormatting>
  <conditionalFormatting sqref="BB6:BB7">
    <cfRule type="cellIs" dxfId="1142" priority="442" operator="equal">
      <formula>"ח"</formula>
    </cfRule>
    <cfRule type="cellIs" dxfId="1141" priority="427" operator="equal">
      <formula>"ח"</formula>
    </cfRule>
  </conditionalFormatting>
  <conditionalFormatting sqref="BB7">
    <cfRule type="cellIs" dxfId="1140" priority="419" operator="equal">
      <formula>"כש"</formula>
    </cfRule>
    <cfRule type="cellIs" dxfId="1139" priority="420" operator="equal">
      <formula>"כ"</formula>
    </cfRule>
    <cfRule type="cellIs" dxfId="1138" priority="418" stopIfTrue="1" operator="equal">
      <formula>"ח"</formula>
    </cfRule>
  </conditionalFormatting>
  <conditionalFormatting sqref="BB10">
    <cfRule type="cellIs" dxfId="1137" priority="353" operator="equal">
      <formula>"כ"</formula>
    </cfRule>
    <cfRule type="cellIs" dxfId="1136" priority="355" operator="equal">
      <formula>"ח"</formula>
    </cfRule>
    <cfRule type="cellIs" dxfId="1135" priority="352" operator="equal">
      <formula>"כש"</formula>
    </cfRule>
    <cfRule type="cellIs" dxfId="1134" priority="354" operator="equal">
      <formula>"ח"</formula>
    </cfRule>
    <cfRule type="cellIs" dxfId="1133" priority="361" operator="equal">
      <formula>"ח"</formula>
    </cfRule>
  </conditionalFormatting>
  <conditionalFormatting sqref="BB10:BB11">
    <cfRule type="cellIs" dxfId="1132" priority="380" operator="equal">
      <formula>"ח"</formula>
    </cfRule>
    <cfRule type="cellIs" dxfId="1131" priority="395" operator="equal">
      <formula>"ח"</formula>
    </cfRule>
  </conditionalFormatting>
  <conditionalFormatting sqref="BB11">
    <cfRule type="cellIs" dxfId="1130" priority="373" operator="equal">
      <formula>"כ"</formula>
    </cfRule>
    <cfRule type="cellIs" dxfId="1129" priority="372" operator="equal">
      <formula>"כש"</formula>
    </cfRule>
    <cfRule type="cellIs" dxfId="1128" priority="371" stopIfTrue="1" operator="equal">
      <formula>"ח"</formula>
    </cfRule>
  </conditionalFormatting>
  <conditionalFormatting sqref="BB14">
    <cfRule type="cellIs" dxfId="1127" priority="305" operator="equal">
      <formula>"כש"</formula>
    </cfRule>
    <cfRule type="cellIs" dxfId="1126" priority="306" operator="equal">
      <formula>"כ"</formula>
    </cfRule>
    <cfRule type="cellIs" dxfId="1125" priority="307" operator="equal">
      <formula>"ח"</formula>
    </cfRule>
    <cfRule type="cellIs" dxfId="1124" priority="308" operator="equal">
      <formula>"ח"</formula>
    </cfRule>
    <cfRule type="cellIs" dxfId="1123" priority="314" operator="equal">
      <formula>"ח"</formula>
    </cfRule>
  </conditionalFormatting>
  <conditionalFormatting sqref="BB14:BB15">
    <cfRule type="cellIs" dxfId="1122" priority="333" operator="equal">
      <formula>"ח"</formula>
    </cfRule>
    <cfRule type="cellIs" dxfId="1121" priority="348" operator="equal">
      <formula>"ח"</formula>
    </cfRule>
  </conditionalFormatting>
  <conditionalFormatting sqref="BB15">
    <cfRule type="cellIs" dxfId="1120" priority="324" stopIfTrue="1" operator="equal">
      <formula>"ח"</formula>
    </cfRule>
    <cfRule type="cellIs" dxfId="1119" priority="325" operator="equal">
      <formula>"כש"</formula>
    </cfRule>
    <cfRule type="cellIs" dxfId="1118" priority="326" operator="equal">
      <formula>"כ"</formula>
    </cfRule>
  </conditionalFormatting>
  <conditionalFormatting sqref="BB18">
    <cfRule type="cellIs" dxfId="1117" priority="261" operator="equal">
      <formula>"ח"</formula>
    </cfRule>
    <cfRule type="cellIs" dxfId="1116" priority="260" operator="equal">
      <formula>"ח"</formula>
    </cfRule>
    <cfRule type="cellIs" dxfId="1115" priority="259" operator="equal">
      <formula>"כ"</formula>
    </cfRule>
    <cfRule type="cellIs" dxfId="1114" priority="258" operator="equal">
      <formula>"כש"</formula>
    </cfRule>
    <cfRule type="cellIs" dxfId="1113" priority="267" operator="equal">
      <formula>"ח"</formula>
    </cfRule>
  </conditionalFormatting>
  <conditionalFormatting sqref="BB18:BB19">
    <cfRule type="cellIs" dxfId="1112" priority="301" operator="equal">
      <formula>"ח"</formula>
    </cfRule>
    <cfRule type="cellIs" dxfId="1111" priority="286" operator="equal">
      <formula>"ח"</formula>
    </cfRule>
  </conditionalFormatting>
  <conditionalFormatting sqref="BB19">
    <cfRule type="cellIs" dxfId="1110" priority="278" operator="equal">
      <formula>"כש"</formula>
    </cfRule>
    <cfRule type="cellIs" dxfId="1109" priority="279" operator="equal">
      <formula>"כ"</formula>
    </cfRule>
    <cfRule type="cellIs" dxfId="1108" priority="277" stopIfTrue="1" operator="equal">
      <formula>"ח"</formula>
    </cfRule>
  </conditionalFormatting>
  <conditionalFormatting sqref="BB22">
    <cfRule type="cellIs" dxfId="1107" priority="213" operator="equal">
      <formula>"ח"</formula>
    </cfRule>
    <cfRule type="cellIs" dxfId="1106" priority="212" operator="equal">
      <formula>"כ"</formula>
    </cfRule>
    <cfRule type="cellIs" dxfId="1105" priority="211" operator="equal">
      <formula>"כש"</formula>
    </cfRule>
    <cfRule type="cellIs" dxfId="1104" priority="220" operator="equal">
      <formula>"ח"</formula>
    </cfRule>
    <cfRule type="cellIs" dxfId="1103" priority="214" operator="equal">
      <formula>"ח"</formula>
    </cfRule>
  </conditionalFormatting>
  <conditionalFormatting sqref="BB22:BB23">
    <cfRule type="cellIs" dxfId="1102" priority="254" operator="equal">
      <formula>"ח"</formula>
    </cfRule>
    <cfRule type="cellIs" dxfId="1101" priority="239" operator="equal">
      <formula>"ח"</formula>
    </cfRule>
  </conditionalFormatting>
  <conditionalFormatting sqref="BB23">
    <cfRule type="cellIs" dxfId="1100" priority="230" stopIfTrue="1" operator="equal">
      <formula>"ח"</formula>
    </cfRule>
    <cfRule type="cellIs" dxfId="1099" priority="232" operator="equal">
      <formula>"כ"</formula>
    </cfRule>
    <cfRule type="cellIs" dxfId="1098" priority="231" operator="equal">
      <formula>"כש"</formula>
    </cfRule>
  </conditionalFormatting>
  <conditionalFormatting sqref="BB26">
    <cfRule type="cellIs" dxfId="1097" priority="164" operator="equal">
      <formula>"כש"</formula>
    </cfRule>
    <cfRule type="cellIs" dxfId="1096" priority="165" operator="equal">
      <formula>"כ"</formula>
    </cfRule>
    <cfRule type="cellIs" dxfId="1095" priority="166" operator="equal">
      <formula>"ח"</formula>
    </cfRule>
    <cfRule type="cellIs" dxfId="1094" priority="167" operator="equal">
      <formula>"ח"</formula>
    </cfRule>
    <cfRule type="cellIs" dxfId="1093" priority="173" operator="equal">
      <formula>"ח"</formula>
    </cfRule>
  </conditionalFormatting>
  <conditionalFormatting sqref="BB26:BB27">
    <cfRule type="cellIs" dxfId="1092" priority="192" operator="equal">
      <formula>"ח"</formula>
    </cfRule>
    <cfRule type="cellIs" dxfId="1091" priority="207" operator="equal">
      <formula>"ח"</formula>
    </cfRule>
  </conditionalFormatting>
  <conditionalFormatting sqref="BB27">
    <cfRule type="cellIs" dxfId="1090" priority="185" operator="equal">
      <formula>"כ"</formula>
    </cfRule>
    <cfRule type="cellIs" dxfId="1089" priority="184" operator="equal">
      <formula>"כש"</formula>
    </cfRule>
    <cfRule type="cellIs" dxfId="1088" priority="183" stopIfTrue="1" operator="equal">
      <formula>"ח"</formula>
    </cfRule>
  </conditionalFormatting>
  <conditionalFormatting sqref="BB30">
    <cfRule type="cellIs" dxfId="1087" priority="117" operator="equal">
      <formula>"כש"</formula>
    </cfRule>
    <cfRule type="cellIs" dxfId="1086" priority="126" operator="equal">
      <formula>"ח"</formula>
    </cfRule>
    <cfRule type="cellIs" dxfId="1085" priority="120" operator="equal">
      <formula>"ח"</formula>
    </cfRule>
    <cfRule type="cellIs" dxfId="1084" priority="119" operator="equal">
      <formula>"ח"</formula>
    </cfRule>
    <cfRule type="cellIs" dxfId="1083" priority="118" operator="equal">
      <formula>"כ"</formula>
    </cfRule>
  </conditionalFormatting>
  <conditionalFormatting sqref="BB30:BB31">
    <cfRule type="cellIs" dxfId="1082" priority="145" operator="equal">
      <formula>"ח"</formula>
    </cfRule>
    <cfRule type="cellIs" dxfId="1081" priority="160" operator="equal">
      <formula>"ח"</formula>
    </cfRule>
  </conditionalFormatting>
  <conditionalFormatting sqref="BB31">
    <cfRule type="cellIs" dxfId="1080" priority="138" operator="equal">
      <formula>"כ"</formula>
    </cfRule>
    <cfRule type="cellIs" dxfId="1079" priority="136" stopIfTrue="1" operator="equal">
      <formula>"ח"</formula>
    </cfRule>
    <cfRule type="cellIs" dxfId="1078" priority="137" operator="equal">
      <formula>"כש"</formula>
    </cfRule>
  </conditionalFormatting>
  <conditionalFormatting sqref="BB34">
    <cfRule type="cellIs" dxfId="1077" priority="73" operator="equal">
      <formula>"ח"</formula>
    </cfRule>
    <cfRule type="cellIs" dxfId="1076" priority="71" operator="equal">
      <formula>"כ"</formula>
    </cfRule>
    <cfRule type="cellIs" dxfId="1075" priority="79" operator="equal">
      <formula>"ח"</formula>
    </cfRule>
    <cfRule type="cellIs" dxfId="1074" priority="72" operator="equal">
      <formula>"ח"</formula>
    </cfRule>
    <cfRule type="cellIs" dxfId="1073" priority="70" operator="equal">
      <formula>"כש"</formula>
    </cfRule>
  </conditionalFormatting>
  <conditionalFormatting sqref="BB34:BB35">
    <cfRule type="cellIs" dxfId="1072" priority="113" operator="equal">
      <formula>"ח"</formula>
    </cfRule>
    <cfRule type="cellIs" dxfId="1071" priority="98" operator="equal">
      <formula>"ח"</formula>
    </cfRule>
  </conditionalFormatting>
  <conditionalFormatting sqref="BB35">
    <cfRule type="cellIs" dxfId="1070" priority="91" operator="equal">
      <formula>"כ"</formula>
    </cfRule>
    <cfRule type="cellIs" dxfId="1069" priority="90" operator="equal">
      <formula>"כש"</formula>
    </cfRule>
    <cfRule type="cellIs" dxfId="1068" priority="89" stopIfTrue="1" operator="equal">
      <formula>"ח"</formula>
    </cfRule>
  </conditionalFormatting>
  <conditionalFormatting sqref="BC3:BC4">
    <cfRule type="cellIs" dxfId="1067" priority="1569" operator="equal">
      <formula>"י"</formula>
    </cfRule>
    <cfRule type="cellIs" dxfId="1066" priority="1568" operator="equal">
      <formula>"ל"</formula>
    </cfRule>
    <cfRule type="cellIs" dxfId="1065" priority="1572" operator="equal">
      <formula>"ק"</formula>
    </cfRule>
    <cfRule type="cellIs" dxfId="1064" priority="1578" operator="equal">
      <formula>"כ"</formula>
    </cfRule>
    <cfRule type="cellIs" dxfId="1063" priority="1577" operator="equal">
      <formula>"כש"</formula>
    </cfRule>
    <cfRule type="cellIs" dxfId="1062" priority="1576" operator="equal">
      <formula>"ח"</formula>
    </cfRule>
    <cfRule type="cellIs" dxfId="1061" priority="1575" operator="equal">
      <formula>"מיל"</formula>
    </cfRule>
    <cfRule type="cellIs" dxfId="1060" priority="1574" operator="equal">
      <formula>"מנוחה"</formula>
    </cfRule>
    <cfRule type="cellIs" dxfId="1059" priority="1573" operator="equal">
      <formula>"מ"</formula>
    </cfRule>
    <cfRule type="cellIs" dxfId="1058" priority="1571" operator="equal">
      <formula>"כמ"</formula>
    </cfRule>
    <cfRule type="cellIs" dxfId="1057" priority="1570" operator="equal">
      <formula>"כמש"</formula>
    </cfRule>
  </conditionalFormatting>
  <conditionalFormatting sqref="BD5 BD8:BD9 BD12:BD13 BD16:BD17 BD20:BD21 BD24:BD25 BD28:BD29 BD32:BD33">
    <cfRule type="cellIs" dxfId="1056" priority="1820" operator="equal">
      <formula>"ח"</formula>
    </cfRule>
  </conditionalFormatting>
  <conditionalFormatting sqref="BD6">
    <cfRule type="cellIs" dxfId="1055" priority="405" operator="equal">
      <formula>"ח"</formula>
    </cfRule>
  </conditionalFormatting>
  <conditionalFormatting sqref="BD6:BD7">
    <cfRule type="cellIs" dxfId="1054" priority="441" operator="equal">
      <formula>"ח"</formula>
    </cfRule>
    <cfRule type="cellIs" dxfId="1053" priority="426" operator="equal">
      <formula>"ח"</formula>
    </cfRule>
  </conditionalFormatting>
  <conditionalFormatting sqref="BD7">
    <cfRule type="cellIs" dxfId="1052" priority="415" stopIfTrue="1" operator="equal">
      <formula>"ח"</formula>
    </cfRule>
  </conditionalFormatting>
  <conditionalFormatting sqref="BD10">
    <cfRule type="cellIs" dxfId="1051" priority="358" operator="equal">
      <formula>"ח"</formula>
    </cfRule>
  </conditionalFormatting>
  <conditionalFormatting sqref="BD10:BD11">
    <cfRule type="cellIs" dxfId="1050" priority="379" operator="equal">
      <formula>"ח"</formula>
    </cfRule>
    <cfRule type="cellIs" dxfId="1049" priority="394" operator="equal">
      <formula>"ח"</formula>
    </cfRule>
  </conditionalFormatting>
  <conditionalFormatting sqref="BD11">
    <cfRule type="cellIs" dxfId="1048" priority="368" stopIfTrue="1" operator="equal">
      <formula>"ח"</formula>
    </cfRule>
  </conditionalFormatting>
  <conditionalFormatting sqref="BD14">
    <cfRule type="cellIs" dxfId="1047" priority="311" operator="equal">
      <formula>"ח"</formula>
    </cfRule>
  </conditionalFormatting>
  <conditionalFormatting sqref="BD14:BD15">
    <cfRule type="cellIs" dxfId="1046" priority="332" operator="equal">
      <formula>"ח"</formula>
    </cfRule>
    <cfRule type="cellIs" dxfId="1045" priority="347" operator="equal">
      <formula>"ח"</formula>
    </cfRule>
  </conditionalFormatting>
  <conditionalFormatting sqref="BD15">
    <cfRule type="cellIs" dxfId="1044" priority="321" stopIfTrue="1" operator="equal">
      <formula>"ח"</formula>
    </cfRule>
  </conditionalFormatting>
  <conditionalFormatting sqref="BD18">
    <cfRule type="cellIs" dxfId="1043" priority="264" operator="equal">
      <formula>"ח"</formula>
    </cfRule>
  </conditionalFormatting>
  <conditionalFormatting sqref="BD18:BD19">
    <cfRule type="cellIs" dxfId="1042" priority="300" operator="equal">
      <formula>"ח"</formula>
    </cfRule>
    <cfRule type="cellIs" dxfId="1041" priority="285" operator="equal">
      <formula>"ח"</formula>
    </cfRule>
  </conditionalFormatting>
  <conditionalFormatting sqref="BD19">
    <cfRule type="cellIs" dxfId="1040" priority="274" stopIfTrue="1" operator="equal">
      <formula>"ח"</formula>
    </cfRule>
  </conditionalFormatting>
  <conditionalFormatting sqref="BD22">
    <cfRule type="cellIs" dxfId="1039" priority="217" operator="equal">
      <formula>"ח"</formula>
    </cfRule>
  </conditionalFormatting>
  <conditionalFormatting sqref="BD22:BD23">
    <cfRule type="cellIs" dxfId="1038" priority="253" operator="equal">
      <formula>"ח"</formula>
    </cfRule>
    <cfRule type="cellIs" dxfId="1037" priority="238" operator="equal">
      <formula>"ח"</formula>
    </cfRule>
  </conditionalFormatting>
  <conditionalFormatting sqref="BD23">
    <cfRule type="cellIs" dxfId="1036" priority="227" stopIfTrue="1" operator="equal">
      <formula>"ח"</formula>
    </cfRule>
  </conditionalFormatting>
  <conditionalFormatting sqref="BD26">
    <cfRule type="cellIs" dxfId="1035" priority="170" operator="equal">
      <formula>"ח"</formula>
    </cfRule>
  </conditionalFormatting>
  <conditionalFormatting sqref="BD26:BD27">
    <cfRule type="cellIs" dxfId="1034" priority="191" operator="equal">
      <formula>"ח"</formula>
    </cfRule>
    <cfRule type="cellIs" dxfId="1033" priority="206" operator="equal">
      <formula>"ח"</formula>
    </cfRule>
  </conditionalFormatting>
  <conditionalFormatting sqref="BD27">
    <cfRule type="cellIs" dxfId="1032" priority="180" stopIfTrue="1" operator="equal">
      <formula>"ח"</formula>
    </cfRule>
  </conditionalFormatting>
  <conditionalFormatting sqref="BD30">
    <cfRule type="cellIs" dxfId="1031" priority="123" operator="equal">
      <formula>"ח"</formula>
    </cfRule>
  </conditionalFormatting>
  <conditionalFormatting sqref="BD30:BD31">
    <cfRule type="cellIs" dxfId="1030" priority="144" operator="equal">
      <formula>"ח"</formula>
    </cfRule>
    <cfRule type="cellIs" dxfId="1029" priority="159" operator="equal">
      <formula>"ח"</formula>
    </cfRule>
  </conditionalFormatting>
  <conditionalFormatting sqref="BD31">
    <cfRule type="cellIs" dxfId="1028" priority="133" stopIfTrue="1" operator="equal">
      <formula>"ח"</formula>
    </cfRule>
  </conditionalFormatting>
  <conditionalFormatting sqref="BD34">
    <cfRule type="cellIs" dxfId="1027" priority="76" operator="equal">
      <formula>"ח"</formula>
    </cfRule>
  </conditionalFormatting>
  <conditionalFormatting sqref="BD34:BD35">
    <cfRule type="cellIs" dxfId="1026" priority="97" operator="equal">
      <formula>"ח"</formula>
    </cfRule>
    <cfRule type="cellIs" dxfId="1025" priority="112" operator="equal">
      <formula>"ח"</formula>
    </cfRule>
  </conditionalFormatting>
  <conditionalFormatting sqref="BD35">
    <cfRule type="cellIs" dxfId="1024" priority="86" stopIfTrue="1" operator="equal">
      <formula>"ח"</formula>
    </cfRule>
  </conditionalFormatting>
  <conditionalFormatting sqref="BD7:BE7">
    <cfRule type="cellIs" dxfId="1023" priority="416" operator="equal">
      <formula>"כש"</formula>
    </cfRule>
    <cfRule type="cellIs" dxfId="1022" priority="417" operator="equal">
      <formula>"כ"</formula>
    </cfRule>
  </conditionalFormatting>
  <conditionalFormatting sqref="BD11:BE11">
    <cfRule type="cellIs" dxfId="1021" priority="370" operator="equal">
      <formula>"כ"</formula>
    </cfRule>
    <cfRule type="cellIs" dxfId="1020" priority="369" operator="equal">
      <formula>"כש"</formula>
    </cfRule>
  </conditionalFormatting>
  <conditionalFormatting sqref="BD15:BE15">
    <cfRule type="cellIs" dxfId="1019" priority="323" operator="equal">
      <formula>"כ"</formula>
    </cfRule>
    <cfRule type="cellIs" dxfId="1018" priority="322" operator="equal">
      <formula>"כש"</formula>
    </cfRule>
  </conditionalFormatting>
  <conditionalFormatting sqref="BD19:BE19">
    <cfRule type="cellIs" dxfId="1017" priority="275" operator="equal">
      <formula>"כש"</formula>
    </cfRule>
    <cfRule type="cellIs" dxfId="1016" priority="276" operator="equal">
      <formula>"כ"</formula>
    </cfRule>
  </conditionalFormatting>
  <conditionalFormatting sqref="BD23:BE23">
    <cfRule type="cellIs" dxfId="1015" priority="228" operator="equal">
      <formula>"כש"</formula>
    </cfRule>
    <cfRule type="cellIs" dxfId="1014" priority="229" operator="equal">
      <formula>"כ"</formula>
    </cfRule>
  </conditionalFormatting>
  <conditionalFormatting sqref="BD27:BE27">
    <cfRule type="cellIs" dxfId="1013" priority="182" operator="equal">
      <formula>"כ"</formula>
    </cfRule>
    <cfRule type="cellIs" dxfId="1012" priority="181" operator="equal">
      <formula>"כש"</formula>
    </cfRule>
  </conditionalFormatting>
  <conditionalFormatting sqref="BD31:BE31">
    <cfRule type="cellIs" dxfId="1011" priority="135" operator="equal">
      <formula>"כ"</formula>
    </cfRule>
    <cfRule type="cellIs" dxfId="1010" priority="134" operator="equal">
      <formula>"כש"</formula>
    </cfRule>
  </conditionalFormatting>
  <conditionalFormatting sqref="BD35:BE35">
    <cfRule type="cellIs" dxfId="1009" priority="88" operator="equal">
      <formula>"כ"</formula>
    </cfRule>
    <cfRule type="cellIs" dxfId="1008" priority="87" operator="equal">
      <formula>"כש"</formula>
    </cfRule>
  </conditionalFormatting>
  <conditionalFormatting sqref="BD6:BL6">
    <cfRule type="cellIs" dxfId="1007" priority="404" operator="equal">
      <formula>"כ"</formula>
    </cfRule>
    <cfRule type="cellIs" dxfId="1006" priority="403" operator="equal">
      <formula>"כש"</formula>
    </cfRule>
  </conditionalFormatting>
  <conditionalFormatting sqref="BD10:BL10">
    <cfRule type="cellIs" dxfId="1005" priority="357" operator="equal">
      <formula>"כ"</formula>
    </cfRule>
    <cfRule type="cellIs" dxfId="1004" priority="356" operator="equal">
      <formula>"כש"</formula>
    </cfRule>
  </conditionalFormatting>
  <conditionalFormatting sqref="BD14:BL14">
    <cfRule type="cellIs" dxfId="1003" priority="310" operator="equal">
      <formula>"כ"</formula>
    </cfRule>
    <cfRule type="cellIs" dxfId="1002" priority="309" operator="equal">
      <formula>"כש"</formula>
    </cfRule>
  </conditionalFormatting>
  <conditionalFormatting sqref="BD18:BL18">
    <cfRule type="cellIs" dxfId="1001" priority="262" operator="equal">
      <formula>"כש"</formula>
    </cfRule>
    <cfRule type="cellIs" dxfId="1000" priority="263" operator="equal">
      <formula>"כ"</formula>
    </cfRule>
  </conditionalFormatting>
  <conditionalFormatting sqref="BD22:BL22">
    <cfRule type="cellIs" dxfId="999" priority="215" operator="equal">
      <formula>"כש"</formula>
    </cfRule>
    <cfRule type="cellIs" dxfId="998" priority="216" operator="equal">
      <formula>"כ"</formula>
    </cfRule>
  </conditionalFormatting>
  <conditionalFormatting sqref="BD26:BL26">
    <cfRule type="cellIs" dxfId="997" priority="168" operator="equal">
      <formula>"כש"</formula>
    </cfRule>
    <cfRule type="cellIs" dxfId="996" priority="169" operator="equal">
      <formula>"כ"</formula>
    </cfRule>
  </conditionalFormatting>
  <conditionalFormatting sqref="BD30:BL30">
    <cfRule type="cellIs" dxfId="995" priority="121" operator="equal">
      <formula>"כש"</formula>
    </cfRule>
    <cfRule type="cellIs" dxfId="994" priority="122" operator="equal">
      <formula>"כ"</formula>
    </cfRule>
  </conditionalFormatting>
  <conditionalFormatting sqref="BD34:BL34">
    <cfRule type="cellIs" dxfId="993" priority="74" operator="equal">
      <formula>"כש"</formula>
    </cfRule>
    <cfRule type="cellIs" dxfId="992" priority="75" operator="equal">
      <formula>"כ"</formula>
    </cfRule>
  </conditionalFormatting>
  <conditionalFormatting sqref="BE35:CB35">
    <cfRule type="cellIs" dxfId="991" priority="27" operator="equal">
      <formula>"מנוחה"</formula>
    </cfRule>
    <cfRule type="cellIs" dxfId="990" priority="25" operator="equal">
      <formula>"ק"</formula>
    </cfRule>
    <cfRule type="cellIs" dxfId="989" priority="24" operator="equal">
      <formula>"כמ"</formula>
    </cfRule>
    <cfRule type="cellIs" dxfId="988" priority="26" operator="equal">
      <formula>"מ"</formula>
    </cfRule>
    <cfRule type="cellIs" dxfId="987" priority="28" operator="equal">
      <formula>"מיל"</formula>
    </cfRule>
  </conditionalFormatting>
  <conditionalFormatting sqref="BF5:BF6 BF9:BF10 BF13:BF14 BF17:BF18 BF21:BF22 BF25:BF26 BF29:BF30 BF33:BF34">
    <cfRule type="cellIs" dxfId="986" priority="1864" operator="equal">
      <formula>"ח"</formula>
    </cfRule>
  </conditionalFormatting>
  <conditionalFormatting sqref="BF7:BF8">
    <cfRule type="cellIs" dxfId="985" priority="773" operator="equal">
      <formula>"ח"</formula>
    </cfRule>
  </conditionalFormatting>
  <conditionalFormatting sqref="BF8">
    <cfRule type="cellIs" dxfId="984" priority="741" stopIfTrue="1" operator="equal">
      <formula>"ח"</formula>
    </cfRule>
  </conditionalFormatting>
  <conditionalFormatting sqref="BF11:BF12">
    <cfRule type="cellIs" dxfId="983" priority="726" operator="equal">
      <formula>"ח"</formula>
    </cfRule>
  </conditionalFormatting>
  <conditionalFormatting sqref="BF12">
    <cfRule type="cellIs" dxfId="982" priority="694" stopIfTrue="1" operator="equal">
      <formula>"ח"</formula>
    </cfRule>
  </conditionalFormatting>
  <conditionalFormatting sqref="BF15:BF16">
    <cfRule type="cellIs" dxfId="981" priority="679" operator="equal">
      <formula>"ח"</formula>
    </cfRule>
  </conditionalFormatting>
  <conditionalFormatting sqref="BF16">
    <cfRule type="cellIs" dxfId="980" priority="647" stopIfTrue="1" operator="equal">
      <formula>"ח"</formula>
    </cfRule>
  </conditionalFormatting>
  <conditionalFormatting sqref="BF19:BF20">
    <cfRule type="cellIs" dxfId="979" priority="632" operator="equal">
      <formula>"ח"</formula>
    </cfRule>
  </conditionalFormatting>
  <conditionalFormatting sqref="BF20">
    <cfRule type="cellIs" dxfId="978" priority="600" stopIfTrue="1" operator="equal">
      <formula>"ח"</formula>
    </cfRule>
  </conditionalFormatting>
  <conditionalFormatting sqref="BF23:BF24">
    <cfRule type="cellIs" dxfId="977" priority="585" operator="equal">
      <formula>"ח"</formula>
    </cfRule>
  </conditionalFormatting>
  <conditionalFormatting sqref="BF24">
    <cfRule type="cellIs" dxfId="976" priority="553" stopIfTrue="1" operator="equal">
      <formula>"ח"</formula>
    </cfRule>
  </conditionalFormatting>
  <conditionalFormatting sqref="BF27:BF28">
    <cfRule type="cellIs" dxfId="975" priority="538" operator="equal">
      <formula>"ח"</formula>
    </cfRule>
  </conditionalFormatting>
  <conditionalFormatting sqref="BF28">
    <cfRule type="cellIs" dxfId="974" priority="506" stopIfTrue="1" operator="equal">
      <formula>"ח"</formula>
    </cfRule>
  </conditionalFormatting>
  <conditionalFormatting sqref="BF31:BF32">
    <cfRule type="cellIs" dxfId="973" priority="491" operator="equal">
      <formula>"ח"</formula>
    </cfRule>
  </conditionalFormatting>
  <conditionalFormatting sqref="BF32">
    <cfRule type="cellIs" dxfId="972" priority="459" stopIfTrue="1" operator="equal">
      <formula>"ח"</formula>
    </cfRule>
  </conditionalFormatting>
  <conditionalFormatting sqref="BF35">
    <cfRule type="cellIs" dxfId="971" priority="34" operator="equal">
      <formula>"ח"</formula>
    </cfRule>
  </conditionalFormatting>
  <conditionalFormatting sqref="BF7:BG8">
    <cfRule type="cellIs" dxfId="970" priority="774" operator="equal">
      <formula>"ח"</formula>
    </cfRule>
  </conditionalFormatting>
  <conditionalFormatting sqref="BF11:BG12">
    <cfRule type="cellIs" dxfId="969" priority="727" operator="equal">
      <formula>"ח"</formula>
    </cfRule>
  </conditionalFormatting>
  <conditionalFormatting sqref="BF15:BG16">
    <cfRule type="cellIs" dxfId="968" priority="680" operator="equal">
      <formula>"ח"</formula>
    </cfRule>
  </conditionalFormatting>
  <conditionalFormatting sqref="BF19:BG20">
    <cfRule type="cellIs" dxfId="967" priority="633" operator="equal">
      <formula>"ח"</formula>
    </cfRule>
  </conditionalFormatting>
  <conditionalFormatting sqref="BF23:BG24">
    <cfRule type="cellIs" dxfId="966" priority="586" operator="equal">
      <formula>"ח"</formula>
    </cfRule>
  </conditionalFormatting>
  <conditionalFormatting sqref="BF27:BG28">
    <cfRule type="cellIs" dxfId="965" priority="539" operator="equal">
      <formula>"ח"</formula>
    </cfRule>
  </conditionalFormatting>
  <conditionalFormatting sqref="BF31:BG32">
    <cfRule type="cellIs" dxfId="964" priority="492" operator="equal">
      <formula>"ח"</formula>
    </cfRule>
  </conditionalFormatting>
  <conditionalFormatting sqref="BF35:BG35 BI5:BI35 BK5:BK35">
    <cfRule type="cellIs" dxfId="963" priority="35" operator="equal">
      <formula>"ח"</formula>
    </cfRule>
  </conditionalFormatting>
  <conditionalFormatting sqref="BF7:BL8">
    <cfRule type="cellIs" dxfId="962" priority="761" operator="equal">
      <formula>"י"</formula>
    </cfRule>
    <cfRule type="cellIs" dxfId="961" priority="765" operator="equal">
      <formula>"מ"</formula>
    </cfRule>
    <cfRule type="cellIs" dxfId="960" priority="754" operator="equal">
      <formula>"כ"</formula>
    </cfRule>
    <cfRule type="cellIs" dxfId="959" priority="753" operator="equal">
      <formula>"כש"</formula>
    </cfRule>
    <cfRule type="cellIs" dxfId="958" priority="764" operator="equal">
      <formula>"ק"</formula>
    </cfRule>
    <cfRule type="cellIs" dxfId="957" priority="766" operator="equal">
      <formula>"מנוחה"</formula>
    </cfRule>
    <cfRule type="cellIs" dxfId="956" priority="767" operator="equal">
      <formula>"מיל"</formula>
    </cfRule>
    <cfRule type="cellIs" dxfId="955" priority="763" operator="equal">
      <formula>"כמ"</formula>
    </cfRule>
    <cfRule type="cellIs" dxfId="954" priority="762" operator="equal">
      <formula>"כמש"</formula>
    </cfRule>
    <cfRule type="cellIs" dxfId="953" priority="760" operator="equal">
      <formula>"ל"</formula>
    </cfRule>
  </conditionalFormatting>
  <conditionalFormatting sqref="BF11:BL12">
    <cfRule type="cellIs" dxfId="952" priority="714" operator="equal">
      <formula>"י"</formula>
    </cfRule>
    <cfRule type="cellIs" dxfId="951" priority="713" operator="equal">
      <formula>"ל"</formula>
    </cfRule>
    <cfRule type="cellIs" dxfId="950" priority="706" operator="equal">
      <formula>"כש"</formula>
    </cfRule>
    <cfRule type="cellIs" dxfId="949" priority="715" operator="equal">
      <formula>"כמש"</formula>
    </cfRule>
    <cfRule type="cellIs" dxfId="948" priority="707" operator="equal">
      <formula>"כ"</formula>
    </cfRule>
    <cfRule type="cellIs" dxfId="947" priority="720" operator="equal">
      <formula>"מיל"</formula>
    </cfRule>
    <cfRule type="cellIs" dxfId="946" priority="719" operator="equal">
      <formula>"מנוחה"</formula>
    </cfRule>
    <cfRule type="cellIs" dxfId="945" priority="718" operator="equal">
      <formula>"מ"</formula>
    </cfRule>
    <cfRule type="cellIs" dxfId="944" priority="717" operator="equal">
      <formula>"ק"</formula>
    </cfRule>
    <cfRule type="cellIs" dxfId="943" priority="716" operator="equal">
      <formula>"כמ"</formula>
    </cfRule>
  </conditionalFormatting>
  <conditionalFormatting sqref="BF15:BL16">
    <cfRule type="cellIs" dxfId="942" priority="670" operator="equal">
      <formula>"ק"</formula>
    </cfRule>
    <cfRule type="cellIs" dxfId="941" priority="669" operator="equal">
      <formula>"כמ"</formula>
    </cfRule>
    <cfRule type="cellIs" dxfId="940" priority="668" operator="equal">
      <formula>"כמש"</formula>
    </cfRule>
    <cfRule type="cellIs" dxfId="939" priority="667" operator="equal">
      <formula>"י"</formula>
    </cfRule>
    <cfRule type="cellIs" dxfId="938" priority="666" operator="equal">
      <formula>"ל"</formula>
    </cfRule>
    <cfRule type="cellIs" dxfId="937" priority="660" operator="equal">
      <formula>"כ"</formula>
    </cfRule>
    <cfRule type="cellIs" dxfId="936" priority="672" operator="equal">
      <formula>"מנוחה"</formula>
    </cfRule>
    <cfRule type="cellIs" dxfId="935" priority="671" operator="equal">
      <formula>"מ"</formula>
    </cfRule>
    <cfRule type="cellIs" dxfId="934" priority="659" operator="equal">
      <formula>"כש"</formula>
    </cfRule>
    <cfRule type="cellIs" dxfId="933" priority="673" operator="equal">
      <formula>"מיל"</formula>
    </cfRule>
  </conditionalFormatting>
  <conditionalFormatting sqref="BF19:BL20">
    <cfRule type="cellIs" dxfId="932" priority="612" operator="equal">
      <formula>"כש"</formula>
    </cfRule>
    <cfRule type="cellIs" dxfId="931" priority="613" operator="equal">
      <formula>"כ"</formula>
    </cfRule>
    <cfRule type="cellIs" dxfId="930" priority="619" operator="equal">
      <formula>"ל"</formula>
    </cfRule>
    <cfRule type="cellIs" dxfId="929" priority="620" operator="equal">
      <formula>"י"</formula>
    </cfRule>
    <cfRule type="cellIs" dxfId="928" priority="621" operator="equal">
      <formula>"כמש"</formula>
    </cfRule>
    <cfRule type="cellIs" dxfId="927" priority="622" operator="equal">
      <formula>"כמ"</formula>
    </cfRule>
    <cfRule type="cellIs" dxfId="926" priority="623" operator="equal">
      <formula>"ק"</formula>
    </cfRule>
    <cfRule type="cellIs" dxfId="925" priority="624" operator="equal">
      <formula>"מ"</formula>
    </cfRule>
    <cfRule type="cellIs" dxfId="924" priority="625" operator="equal">
      <formula>"מנוחה"</formula>
    </cfRule>
    <cfRule type="cellIs" dxfId="923" priority="626" operator="equal">
      <formula>"מיל"</formula>
    </cfRule>
  </conditionalFormatting>
  <conditionalFormatting sqref="BF23:BL24">
    <cfRule type="cellIs" dxfId="922" priority="574" operator="equal">
      <formula>"כמש"</formula>
    </cfRule>
    <cfRule type="cellIs" dxfId="921" priority="576" operator="equal">
      <formula>"ק"</formula>
    </cfRule>
    <cfRule type="cellIs" dxfId="920" priority="566" operator="equal">
      <formula>"כ"</formula>
    </cfRule>
    <cfRule type="cellIs" dxfId="919" priority="575" operator="equal">
      <formula>"כמ"</formula>
    </cfRule>
    <cfRule type="cellIs" dxfId="918" priority="565" operator="equal">
      <formula>"כש"</formula>
    </cfRule>
    <cfRule type="cellIs" dxfId="917" priority="577" operator="equal">
      <formula>"מ"</formula>
    </cfRule>
    <cfRule type="cellIs" dxfId="916" priority="578" operator="equal">
      <formula>"מנוחה"</formula>
    </cfRule>
    <cfRule type="cellIs" dxfId="915" priority="572" operator="equal">
      <formula>"ל"</formula>
    </cfRule>
    <cfRule type="cellIs" dxfId="914" priority="573" operator="equal">
      <formula>"י"</formula>
    </cfRule>
    <cfRule type="cellIs" dxfId="913" priority="579" operator="equal">
      <formula>"מיל"</formula>
    </cfRule>
  </conditionalFormatting>
  <conditionalFormatting sqref="BF27:BL28">
    <cfRule type="cellIs" dxfId="912" priority="527" operator="equal">
      <formula>"כמש"</formula>
    </cfRule>
    <cfRule type="cellIs" dxfId="911" priority="526" operator="equal">
      <formula>"י"</formula>
    </cfRule>
    <cfRule type="cellIs" dxfId="910" priority="525" operator="equal">
      <formula>"ל"</formula>
    </cfRule>
    <cfRule type="cellIs" dxfId="909" priority="532" operator="equal">
      <formula>"מיל"</formula>
    </cfRule>
    <cfRule type="cellIs" dxfId="908" priority="531" operator="equal">
      <formula>"מנוחה"</formula>
    </cfRule>
    <cfRule type="cellIs" dxfId="907" priority="530" operator="equal">
      <formula>"מ"</formula>
    </cfRule>
    <cfRule type="cellIs" dxfId="906" priority="529" operator="equal">
      <formula>"ק"</formula>
    </cfRule>
    <cfRule type="cellIs" dxfId="905" priority="528" operator="equal">
      <formula>"כמ"</formula>
    </cfRule>
    <cfRule type="cellIs" dxfId="904" priority="518" operator="equal">
      <formula>"כש"</formula>
    </cfRule>
    <cfRule type="cellIs" dxfId="903" priority="519" operator="equal">
      <formula>"כ"</formula>
    </cfRule>
  </conditionalFormatting>
  <conditionalFormatting sqref="BF31:BL32">
    <cfRule type="cellIs" dxfId="902" priority="484" operator="equal">
      <formula>"מנוחה"</formula>
    </cfRule>
    <cfRule type="cellIs" dxfId="901" priority="481" operator="equal">
      <formula>"כמ"</formula>
    </cfRule>
    <cfRule type="cellIs" dxfId="900" priority="472" operator="equal">
      <formula>"כ"</formula>
    </cfRule>
    <cfRule type="cellIs" dxfId="899" priority="485" operator="equal">
      <formula>"מיל"</formula>
    </cfRule>
    <cfRule type="cellIs" dxfId="898" priority="483" operator="equal">
      <formula>"מ"</formula>
    </cfRule>
    <cfRule type="cellIs" dxfId="897" priority="482" operator="equal">
      <formula>"ק"</formula>
    </cfRule>
    <cfRule type="cellIs" dxfId="896" priority="480" operator="equal">
      <formula>"כמש"</formula>
    </cfRule>
    <cfRule type="cellIs" dxfId="895" priority="479" operator="equal">
      <formula>"י"</formula>
    </cfRule>
    <cfRule type="cellIs" dxfId="894" priority="478" operator="equal">
      <formula>"ל"</formula>
    </cfRule>
    <cfRule type="cellIs" dxfId="893" priority="471" operator="equal">
      <formula>"כש"</formula>
    </cfRule>
  </conditionalFormatting>
  <conditionalFormatting sqref="BF35:BL35">
    <cfRule type="cellIs" dxfId="892" priority="22" operator="equal">
      <formula>"י"</formula>
    </cfRule>
    <cfRule type="cellIs" dxfId="891" priority="2" operator="equal">
      <formula>"כ"</formula>
    </cfRule>
    <cfRule type="cellIs" dxfId="890" priority="21" operator="equal">
      <formula>"ל"</formula>
    </cfRule>
    <cfRule type="cellIs" dxfId="889" priority="23" operator="equal">
      <formula>"כמש"</formula>
    </cfRule>
    <cfRule type="cellIs" dxfId="888" priority="1" operator="equal">
      <formula>"כש"</formula>
    </cfRule>
  </conditionalFormatting>
  <conditionalFormatting sqref="BH5:BH6 BH9:BH10 BH13:BH14 BH17:BH18 BH21:BH22 BH25:BH26 BH29:BH30 BH33:BH34">
    <cfRule type="cellIs" dxfId="887" priority="1809" operator="equal">
      <formula>"ח"</formula>
    </cfRule>
  </conditionalFormatting>
  <conditionalFormatting sqref="BH7">
    <cfRule type="cellIs" dxfId="886" priority="740" operator="equal">
      <formula>"ח"</formula>
    </cfRule>
    <cfRule type="cellIs" dxfId="885" priority="738" operator="equal">
      <formula>"כש"</formula>
    </cfRule>
    <cfRule type="cellIs" dxfId="884" priority="739" operator="equal">
      <formula>"כ"</formula>
    </cfRule>
  </conditionalFormatting>
  <conditionalFormatting sqref="BH7:BH8">
    <cfRule type="cellIs" dxfId="883" priority="757" operator="equal">
      <formula>"ח"</formula>
    </cfRule>
    <cfRule type="cellIs" dxfId="882" priority="772" operator="equal">
      <formula>"ח"</formula>
    </cfRule>
  </conditionalFormatting>
  <conditionalFormatting sqref="BH8">
    <cfRule type="cellIs" dxfId="881" priority="751" operator="equal">
      <formula>"כש"</formula>
    </cfRule>
    <cfRule type="cellIs" dxfId="880" priority="750" stopIfTrue="1" operator="equal">
      <formula>"ח"</formula>
    </cfRule>
    <cfRule type="cellIs" dxfId="879" priority="752" operator="equal">
      <formula>"כ"</formula>
    </cfRule>
  </conditionalFormatting>
  <conditionalFormatting sqref="BH11">
    <cfRule type="cellIs" dxfId="878" priority="693" operator="equal">
      <formula>"ח"</formula>
    </cfRule>
    <cfRule type="cellIs" dxfId="877" priority="692" operator="equal">
      <formula>"כ"</formula>
    </cfRule>
    <cfRule type="cellIs" dxfId="876" priority="691" operator="equal">
      <formula>"כש"</formula>
    </cfRule>
  </conditionalFormatting>
  <conditionalFormatting sqref="BH11:BH12">
    <cfRule type="cellIs" dxfId="875" priority="710" operator="equal">
      <formula>"ח"</formula>
    </cfRule>
    <cfRule type="cellIs" dxfId="874" priority="725" operator="equal">
      <formula>"ח"</formula>
    </cfRule>
  </conditionalFormatting>
  <conditionalFormatting sqref="BH12">
    <cfRule type="cellIs" dxfId="873" priority="703" stopIfTrue="1" operator="equal">
      <formula>"ח"</formula>
    </cfRule>
    <cfRule type="cellIs" dxfId="872" priority="704" operator="equal">
      <formula>"כש"</formula>
    </cfRule>
    <cfRule type="cellIs" dxfId="871" priority="705" operator="equal">
      <formula>"כ"</formula>
    </cfRule>
  </conditionalFormatting>
  <conditionalFormatting sqref="BH15">
    <cfRule type="cellIs" dxfId="870" priority="644" operator="equal">
      <formula>"כש"</formula>
    </cfRule>
    <cfRule type="cellIs" dxfId="869" priority="646" operator="equal">
      <formula>"ח"</formula>
    </cfRule>
    <cfRule type="cellIs" dxfId="868" priority="645" operator="equal">
      <formula>"כ"</formula>
    </cfRule>
  </conditionalFormatting>
  <conditionalFormatting sqref="BH15:BH16">
    <cfRule type="cellIs" dxfId="867" priority="678" operator="equal">
      <formula>"ח"</formula>
    </cfRule>
    <cfRule type="cellIs" dxfId="866" priority="663" operator="equal">
      <formula>"ח"</formula>
    </cfRule>
  </conditionalFormatting>
  <conditionalFormatting sqref="BH16">
    <cfRule type="cellIs" dxfId="865" priority="658" operator="equal">
      <formula>"כ"</formula>
    </cfRule>
    <cfRule type="cellIs" dxfId="864" priority="656" stopIfTrue="1" operator="equal">
      <formula>"ח"</formula>
    </cfRule>
    <cfRule type="cellIs" dxfId="863" priority="657" operator="equal">
      <formula>"כש"</formula>
    </cfRule>
  </conditionalFormatting>
  <conditionalFormatting sqref="BH19">
    <cfRule type="cellIs" dxfId="862" priority="598" operator="equal">
      <formula>"כ"</formula>
    </cfRule>
    <cfRule type="cellIs" dxfId="861" priority="597" operator="equal">
      <formula>"כש"</formula>
    </cfRule>
    <cfRule type="cellIs" dxfId="860" priority="599" operator="equal">
      <formula>"ח"</formula>
    </cfRule>
  </conditionalFormatting>
  <conditionalFormatting sqref="BH19:BH20">
    <cfRule type="cellIs" dxfId="859" priority="631" operator="equal">
      <formula>"ח"</formula>
    </cfRule>
    <cfRule type="cellIs" dxfId="858" priority="616" operator="equal">
      <formula>"ח"</formula>
    </cfRule>
  </conditionalFormatting>
  <conditionalFormatting sqref="BH20">
    <cfRule type="cellIs" dxfId="857" priority="611" operator="equal">
      <formula>"כ"</formula>
    </cfRule>
    <cfRule type="cellIs" dxfId="856" priority="609" stopIfTrue="1" operator="equal">
      <formula>"ח"</formula>
    </cfRule>
    <cfRule type="cellIs" dxfId="855" priority="610" operator="equal">
      <formula>"כש"</formula>
    </cfRule>
  </conditionalFormatting>
  <conditionalFormatting sqref="BH23">
    <cfRule type="cellIs" dxfId="854" priority="550" operator="equal">
      <formula>"כש"</formula>
    </cfRule>
    <cfRule type="cellIs" dxfId="853" priority="552" operator="equal">
      <formula>"ח"</formula>
    </cfRule>
    <cfRule type="cellIs" dxfId="852" priority="551" operator="equal">
      <formula>"כ"</formula>
    </cfRule>
  </conditionalFormatting>
  <conditionalFormatting sqref="BH23:BH24">
    <cfRule type="cellIs" dxfId="851" priority="569" operator="equal">
      <formula>"ח"</formula>
    </cfRule>
    <cfRule type="cellIs" dxfId="850" priority="584" operator="equal">
      <formula>"ח"</formula>
    </cfRule>
  </conditionalFormatting>
  <conditionalFormatting sqref="BH24">
    <cfRule type="cellIs" dxfId="849" priority="564" operator="equal">
      <formula>"כ"</formula>
    </cfRule>
    <cfRule type="cellIs" dxfId="848" priority="563" operator="equal">
      <formula>"כש"</formula>
    </cfRule>
    <cfRule type="cellIs" dxfId="847" priority="562" stopIfTrue="1" operator="equal">
      <formula>"ח"</formula>
    </cfRule>
  </conditionalFormatting>
  <conditionalFormatting sqref="BH27">
    <cfRule type="cellIs" dxfId="846" priority="505" operator="equal">
      <formula>"ח"</formula>
    </cfRule>
    <cfRule type="cellIs" dxfId="845" priority="504" operator="equal">
      <formula>"כ"</formula>
    </cfRule>
    <cfRule type="cellIs" dxfId="844" priority="503" operator="equal">
      <formula>"כש"</formula>
    </cfRule>
  </conditionalFormatting>
  <conditionalFormatting sqref="BH27:BH28">
    <cfRule type="cellIs" dxfId="843" priority="522" operator="equal">
      <formula>"ח"</formula>
    </cfRule>
    <cfRule type="cellIs" dxfId="842" priority="537" operator="equal">
      <formula>"ח"</formula>
    </cfRule>
  </conditionalFormatting>
  <conditionalFormatting sqref="BH28">
    <cfRule type="cellIs" dxfId="841" priority="515" stopIfTrue="1" operator="equal">
      <formula>"ח"</formula>
    </cfRule>
    <cfRule type="cellIs" dxfId="840" priority="516" operator="equal">
      <formula>"כש"</formula>
    </cfRule>
    <cfRule type="cellIs" dxfId="839" priority="517" operator="equal">
      <formula>"כ"</formula>
    </cfRule>
  </conditionalFormatting>
  <conditionalFormatting sqref="BH31">
    <cfRule type="cellIs" dxfId="838" priority="458" operator="equal">
      <formula>"ח"</formula>
    </cfRule>
    <cfRule type="cellIs" dxfId="837" priority="457" operator="equal">
      <formula>"כ"</formula>
    </cfRule>
    <cfRule type="cellIs" dxfId="836" priority="456" operator="equal">
      <formula>"כש"</formula>
    </cfRule>
  </conditionalFormatting>
  <conditionalFormatting sqref="BH31:BH32">
    <cfRule type="cellIs" dxfId="835" priority="475" operator="equal">
      <formula>"ח"</formula>
    </cfRule>
    <cfRule type="cellIs" dxfId="834" priority="490" operator="equal">
      <formula>"ח"</formula>
    </cfRule>
  </conditionalFormatting>
  <conditionalFormatting sqref="BH32">
    <cfRule type="cellIs" dxfId="833" priority="469" operator="equal">
      <formula>"כש"</formula>
    </cfRule>
    <cfRule type="cellIs" dxfId="832" priority="468" stopIfTrue="1" operator="equal">
      <formula>"ח"</formula>
    </cfRule>
    <cfRule type="cellIs" dxfId="831" priority="470" operator="equal">
      <formula>"כ"</formula>
    </cfRule>
  </conditionalFormatting>
  <conditionalFormatting sqref="BH35">
    <cfRule type="cellIs" dxfId="830" priority="33" operator="equal">
      <formula>"ח"</formula>
    </cfRule>
    <cfRule type="cellIs" dxfId="829" priority="13" operator="equal">
      <formula>"ח"</formula>
    </cfRule>
    <cfRule type="cellIs" dxfId="828" priority="18" operator="equal">
      <formula>"ח"</formula>
    </cfRule>
  </conditionalFormatting>
  <conditionalFormatting sqref="BJ5:BJ6 BJ9:BJ10 BJ13:BJ14 BJ17:BJ18 BJ21:BJ22 BJ25:BJ26 BJ29:BJ30 BJ33:BJ34">
    <cfRule type="cellIs" dxfId="827" priority="1798" operator="equal">
      <formula>"ח"</formula>
    </cfRule>
  </conditionalFormatting>
  <conditionalFormatting sqref="BJ7">
    <cfRule type="cellIs" dxfId="826" priority="730" operator="equal">
      <formula>"ח"</formula>
    </cfRule>
    <cfRule type="cellIs" dxfId="825" priority="731" operator="equal">
      <formula>"ח"</formula>
    </cfRule>
    <cfRule type="cellIs" dxfId="824" priority="737" operator="equal">
      <formula>"ח"</formula>
    </cfRule>
    <cfRule type="cellIs" dxfId="823" priority="728" operator="equal">
      <formula>"כש"</formula>
    </cfRule>
    <cfRule type="cellIs" dxfId="822" priority="729" operator="equal">
      <formula>"כ"</formula>
    </cfRule>
  </conditionalFormatting>
  <conditionalFormatting sqref="BJ7:BJ8">
    <cfRule type="cellIs" dxfId="821" priority="756" operator="equal">
      <formula>"ח"</formula>
    </cfRule>
    <cfRule type="cellIs" dxfId="820" priority="771" operator="equal">
      <formula>"ח"</formula>
    </cfRule>
  </conditionalFormatting>
  <conditionalFormatting sqref="BJ8">
    <cfRule type="cellIs" dxfId="819" priority="749" operator="equal">
      <formula>"כ"</formula>
    </cfRule>
    <cfRule type="cellIs" dxfId="818" priority="748" operator="equal">
      <formula>"כש"</formula>
    </cfRule>
    <cfRule type="cellIs" dxfId="817" priority="747" stopIfTrue="1" operator="equal">
      <formula>"ח"</formula>
    </cfRule>
  </conditionalFormatting>
  <conditionalFormatting sqref="BJ11">
    <cfRule type="cellIs" dxfId="816" priority="684" operator="equal">
      <formula>"ח"</formula>
    </cfRule>
    <cfRule type="cellIs" dxfId="815" priority="682" operator="equal">
      <formula>"כ"</formula>
    </cfRule>
    <cfRule type="cellIs" dxfId="814" priority="683" operator="equal">
      <formula>"ח"</formula>
    </cfRule>
    <cfRule type="cellIs" dxfId="813" priority="690" operator="equal">
      <formula>"ח"</formula>
    </cfRule>
    <cfRule type="cellIs" dxfId="812" priority="681" operator="equal">
      <formula>"כש"</formula>
    </cfRule>
  </conditionalFormatting>
  <conditionalFormatting sqref="BJ11:BJ12">
    <cfRule type="cellIs" dxfId="811" priority="724" operator="equal">
      <formula>"ח"</formula>
    </cfRule>
    <cfRule type="cellIs" dxfId="810" priority="709" operator="equal">
      <formula>"ח"</formula>
    </cfRule>
  </conditionalFormatting>
  <conditionalFormatting sqref="BJ12">
    <cfRule type="cellIs" dxfId="809" priority="701" operator="equal">
      <formula>"כש"</formula>
    </cfRule>
    <cfRule type="cellIs" dxfId="808" priority="702" operator="equal">
      <formula>"כ"</formula>
    </cfRule>
    <cfRule type="cellIs" dxfId="807" priority="700" stopIfTrue="1" operator="equal">
      <formula>"ח"</formula>
    </cfRule>
  </conditionalFormatting>
  <conditionalFormatting sqref="BJ15">
    <cfRule type="cellIs" dxfId="806" priority="643" operator="equal">
      <formula>"ח"</formula>
    </cfRule>
    <cfRule type="cellIs" dxfId="805" priority="637" operator="equal">
      <formula>"ח"</formula>
    </cfRule>
    <cfRule type="cellIs" dxfId="804" priority="636" operator="equal">
      <formula>"ח"</formula>
    </cfRule>
    <cfRule type="cellIs" dxfId="803" priority="635" operator="equal">
      <formula>"כ"</formula>
    </cfRule>
    <cfRule type="cellIs" dxfId="802" priority="634" operator="equal">
      <formula>"כש"</formula>
    </cfRule>
  </conditionalFormatting>
  <conditionalFormatting sqref="BJ15:BJ16">
    <cfRule type="cellIs" dxfId="801" priority="677" operator="equal">
      <formula>"ח"</formula>
    </cfRule>
    <cfRule type="cellIs" dxfId="800" priority="662" operator="equal">
      <formula>"ח"</formula>
    </cfRule>
  </conditionalFormatting>
  <conditionalFormatting sqref="BJ16">
    <cfRule type="cellIs" dxfId="799" priority="653" stopIfTrue="1" operator="equal">
      <formula>"ח"</formula>
    </cfRule>
    <cfRule type="cellIs" dxfId="798" priority="655" operator="equal">
      <formula>"כ"</formula>
    </cfRule>
    <cfRule type="cellIs" dxfId="797" priority="654" operator="equal">
      <formula>"כש"</formula>
    </cfRule>
  </conditionalFormatting>
  <conditionalFormatting sqref="BJ19">
    <cfRule type="cellIs" dxfId="796" priority="588" operator="equal">
      <formula>"כ"</formula>
    </cfRule>
    <cfRule type="cellIs" dxfId="795" priority="587" operator="equal">
      <formula>"כש"</formula>
    </cfRule>
    <cfRule type="cellIs" dxfId="794" priority="596" operator="equal">
      <formula>"ח"</formula>
    </cfRule>
    <cfRule type="cellIs" dxfId="793" priority="590" operator="equal">
      <formula>"ח"</formula>
    </cfRule>
    <cfRule type="cellIs" dxfId="792" priority="589" operator="equal">
      <formula>"ח"</formula>
    </cfRule>
  </conditionalFormatting>
  <conditionalFormatting sqref="BJ19:BJ20">
    <cfRule type="cellIs" dxfId="791" priority="630" operator="equal">
      <formula>"ח"</formula>
    </cfRule>
    <cfRule type="cellIs" dxfId="790" priority="615" operator="equal">
      <formula>"ח"</formula>
    </cfRule>
  </conditionalFormatting>
  <conditionalFormatting sqref="BJ20">
    <cfRule type="cellIs" dxfId="789" priority="608" operator="equal">
      <formula>"כ"</formula>
    </cfRule>
    <cfRule type="cellIs" dxfId="788" priority="607" operator="equal">
      <formula>"כש"</formula>
    </cfRule>
    <cfRule type="cellIs" dxfId="787" priority="606" stopIfTrue="1" operator="equal">
      <formula>"ח"</formula>
    </cfRule>
  </conditionalFormatting>
  <conditionalFormatting sqref="BJ23">
    <cfRule type="cellIs" dxfId="786" priority="543" operator="equal">
      <formula>"ח"</formula>
    </cfRule>
    <cfRule type="cellIs" dxfId="785" priority="549" operator="equal">
      <formula>"ח"</formula>
    </cfRule>
    <cfRule type="cellIs" dxfId="784" priority="540" operator="equal">
      <formula>"כש"</formula>
    </cfRule>
    <cfRule type="cellIs" dxfId="783" priority="541" operator="equal">
      <formula>"כ"</formula>
    </cfRule>
    <cfRule type="cellIs" dxfId="782" priority="542" operator="equal">
      <formula>"ח"</formula>
    </cfRule>
  </conditionalFormatting>
  <conditionalFormatting sqref="BJ23:BJ24">
    <cfRule type="cellIs" dxfId="781" priority="583" operator="equal">
      <formula>"ח"</formula>
    </cfRule>
    <cfRule type="cellIs" dxfId="780" priority="568" operator="equal">
      <formula>"ח"</formula>
    </cfRule>
  </conditionalFormatting>
  <conditionalFormatting sqref="BJ24">
    <cfRule type="cellIs" dxfId="779" priority="561" operator="equal">
      <formula>"כ"</formula>
    </cfRule>
    <cfRule type="cellIs" dxfId="778" priority="560" operator="equal">
      <formula>"כש"</formula>
    </cfRule>
    <cfRule type="cellIs" dxfId="777" priority="559" stopIfTrue="1" operator="equal">
      <formula>"ח"</formula>
    </cfRule>
  </conditionalFormatting>
  <conditionalFormatting sqref="BJ27">
    <cfRule type="cellIs" dxfId="776" priority="502" operator="equal">
      <formula>"ח"</formula>
    </cfRule>
    <cfRule type="cellIs" dxfId="775" priority="495" operator="equal">
      <formula>"ח"</formula>
    </cfRule>
    <cfRule type="cellIs" dxfId="774" priority="493" operator="equal">
      <formula>"כש"</formula>
    </cfRule>
    <cfRule type="cellIs" dxfId="773" priority="494" operator="equal">
      <formula>"כ"</formula>
    </cfRule>
    <cfRule type="cellIs" dxfId="772" priority="496" operator="equal">
      <formula>"ח"</formula>
    </cfRule>
  </conditionalFormatting>
  <conditionalFormatting sqref="BJ27:BJ28">
    <cfRule type="cellIs" dxfId="771" priority="536" operator="equal">
      <formula>"ח"</formula>
    </cfRule>
    <cfRule type="cellIs" dxfId="770" priority="521" operator="equal">
      <formula>"ח"</formula>
    </cfRule>
  </conditionalFormatting>
  <conditionalFormatting sqref="BJ28">
    <cfRule type="cellIs" dxfId="769" priority="514" operator="equal">
      <formula>"כ"</formula>
    </cfRule>
    <cfRule type="cellIs" dxfId="768" priority="513" operator="equal">
      <formula>"כש"</formula>
    </cfRule>
    <cfRule type="cellIs" dxfId="767" priority="512" stopIfTrue="1" operator="equal">
      <formula>"ח"</formula>
    </cfRule>
  </conditionalFormatting>
  <conditionalFormatting sqref="BJ31">
    <cfRule type="cellIs" dxfId="766" priority="455" operator="equal">
      <formula>"ח"</formula>
    </cfRule>
    <cfRule type="cellIs" dxfId="765" priority="449" operator="equal">
      <formula>"ח"</formula>
    </cfRule>
    <cfRule type="cellIs" dxfId="764" priority="446" operator="equal">
      <formula>"כש"</formula>
    </cfRule>
    <cfRule type="cellIs" dxfId="763" priority="448" operator="equal">
      <formula>"ח"</formula>
    </cfRule>
    <cfRule type="cellIs" dxfId="762" priority="447" operator="equal">
      <formula>"כ"</formula>
    </cfRule>
  </conditionalFormatting>
  <conditionalFormatting sqref="BJ31:BJ32">
    <cfRule type="cellIs" dxfId="761" priority="489" operator="equal">
      <formula>"ח"</formula>
    </cfRule>
    <cfRule type="cellIs" dxfId="760" priority="474" operator="equal">
      <formula>"ח"</formula>
    </cfRule>
  </conditionalFormatting>
  <conditionalFormatting sqref="BJ32">
    <cfRule type="cellIs" dxfId="759" priority="467" operator="equal">
      <formula>"כ"</formula>
    </cfRule>
    <cfRule type="cellIs" dxfId="758" priority="465" stopIfTrue="1" operator="equal">
      <formula>"ח"</formula>
    </cfRule>
    <cfRule type="cellIs" dxfId="757" priority="466" operator="equal">
      <formula>"כש"</formula>
    </cfRule>
  </conditionalFormatting>
  <conditionalFormatting sqref="BJ35">
    <cfRule type="cellIs" dxfId="756" priority="17" operator="equal">
      <formula>"ח"</formula>
    </cfRule>
    <cfRule type="cellIs" dxfId="755" priority="10" operator="equal">
      <formula>"ח"</formula>
    </cfRule>
    <cfRule type="cellIs" dxfId="754" priority="3" operator="equal">
      <formula>"ח"</formula>
    </cfRule>
    <cfRule type="cellIs" dxfId="753" priority="4" operator="equal">
      <formula>"ח"</formula>
    </cfRule>
    <cfRule type="cellIs" dxfId="752" priority="32" operator="equal">
      <formula>"ח"</formula>
    </cfRule>
  </conditionalFormatting>
  <conditionalFormatting sqref="BL5:BL6 BL9:BL10 BL13:BL14 BL17:BL18 BL21:BL22 BL25:BL26 BL29:BL30 BL33:BL34">
    <cfRule type="cellIs" dxfId="751" priority="1787" operator="equal">
      <formula>"ח"</formula>
    </cfRule>
  </conditionalFormatting>
  <conditionalFormatting sqref="BL7">
    <cfRule type="cellIs" dxfId="750" priority="734" operator="equal">
      <formula>"ח"</formula>
    </cfRule>
    <cfRule type="cellIs" dxfId="749" priority="733" operator="equal">
      <formula>"כ"</formula>
    </cfRule>
    <cfRule type="cellIs" dxfId="748" priority="732" operator="equal">
      <formula>"כש"</formula>
    </cfRule>
  </conditionalFormatting>
  <conditionalFormatting sqref="BL7:BL8">
    <cfRule type="cellIs" dxfId="747" priority="755" operator="equal">
      <formula>"ח"</formula>
    </cfRule>
    <cfRule type="cellIs" dxfId="746" priority="770" operator="equal">
      <formula>"ח"</formula>
    </cfRule>
  </conditionalFormatting>
  <conditionalFormatting sqref="BL8">
    <cfRule type="cellIs" dxfId="745" priority="744" stopIfTrue="1" operator="equal">
      <formula>"ח"</formula>
    </cfRule>
    <cfRule type="cellIs" dxfId="744" priority="745" operator="equal">
      <formula>"כש"</formula>
    </cfRule>
    <cfRule type="cellIs" dxfId="743" priority="746" operator="equal">
      <formula>"כ"</formula>
    </cfRule>
  </conditionalFormatting>
  <conditionalFormatting sqref="BL11">
    <cfRule type="cellIs" dxfId="742" priority="685" operator="equal">
      <formula>"כש"</formula>
    </cfRule>
    <cfRule type="cellIs" dxfId="741" priority="686" operator="equal">
      <formula>"כ"</formula>
    </cfRule>
    <cfRule type="cellIs" dxfId="740" priority="687" operator="equal">
      <formula>"ח"</formula>
    </cfRule>
  </conditionalFormatting>
  <conditionalFormatting sqref="BL11:BL12">
    <cfRule type="cellIs" dxfId="739" priority="723" operator="equal">
      <formula>"ח"</formula>
    </cfRule>
    <cfRule type="cellIs" dxfId="738" priority="708" operator="equal">
      <formula>"ח"</formula>
    </cfRule>
  </conditionalFormatting>
  <conditionalFormatting sqref="BL12">
    <cfRule type="cellIs" dxfId="737" priority="697" stopIfTrue="1" operator="equal">
      <formula>"ח"</formula>
    </cfRule>
    <cfRule type="cellIs" dxfId="736" priority="698" operator="equal">
      <formula>"כש"</formula>
    </cfRule>
    <cfRule type="cellIs" dxfId="735" priority="699" operator="equal">
      <formula>"כ"</formula>
    </cfRule>
  </conditionalFormatting>
  <conditionalFormatting sqref="BL15">
    <cfRule type="cellIs" dxfId="734" priority="639" operator="equal">
      <formula>"כ"</formula>
    </cfRule>
    <cfRule type="cellIs" dxfId="733" priority="640" operator="equal">
      <formula>"ח"</formula>
    </cfRule>
    <cfRule type="cellIs" dxfId="732" priority="638" operator="equal">
      <formula>"כש"</formula>
    </cfRule>
  </conditionalFormatting>
  <conditionalFormatting sqref="BL15:BL16">
    <cfRule type="cellIs" dxfId="731" priority="676" operator="equal">
      <formula>"ח"</formula>
    </cfRule>
    <cfRule type="cellIs" dxfId="730" priority="661" operator="equal">
      <formula>"ח"</formula>
    </cfRule>
  </conditionalFormatting>
  <conditionalFormatting sqref="BL16">
    <cfRule type="cellIs" dxfId="729" priority="650" stopIfTrue="1" operator="equal">
      <formula>"ח"</formula>
    </cfRule>
    <cfRule type="cellIs" dxfId="728" priority="651" operator="equal">
      <formula>"כש"</formula>
    </cfRule>
    <cfRule type="cellIs" dxfId="727" priority="652" operator="equal">
      <formula>"כ"</formula>
    </cfRule>
  </conditionalFormatting>
  <conditionalFormatting sqref="BL19">
    <cfRule type="cellIs" dxfId="726" priority="593" operator="equal">
      <formula>"ח"</formula>
    </cfRule>
    <cfRule type="cellIs" dxfId="725" priority="592" operator="equal">
      <formula>"כ"</formula>
    </cfRule>
    <cfRule type="cellIs" dxfId="724" priority="591" operator="equal">
      <formula>"כש"</formula>
    </cfRule>
  </conditionalFormatting>
  <conditionalFormatting sqref="BL19:BL20">
    <cfRule type="cellIs" dxfId="723" priority="614" operator="equal">
      <formula>"ח"</formula>
    </cfRule>
    <cfRule type="cellIs" dxfId="722" priority="629" operator="equal">
      <formula>"ח"</formula>
    </cfRule>
  </conditionalFormatting>
  <conditionalFormatting sqref="BL20">
    <cfRule type="cellIs" dxfId="721" priority="603" stopIfTrue="1" operator="equal">
      <formula>"ח"</formula>
    </cfRule>
    <cfRule type="cellIs" dxfId="720" priority="604" operator="equal">
      <formula>"כש"</formula>
    </cfRule>
    <cfRule type="cellIs" dxfId="719" priority="605" operator="equal">
      <formula>"כ"</formula>
    </cfRule>
  </conditionalFormatting>
  <conditionalFormatting sqref="BL23">
    <cfRule type="cellIs" dxfId="718" priority="546" operator="equal">
      <formula>"ח"</formula>
    </cfRule>
    <cfRule type="cellIs" dxfId="717" priority="545" operator="equal">
      <formula>"כ"</formula>
    </cfRule>
    <cfRule type="cellIs" dxfId="716" priority="544" operator="equal">
      <formula>"כש"</formula>
    </cfRule>
  </conditionalFormatting>
  <conditionalFormatting sqref="BL23:BL24">
    <cfRule type="cellIs" dxfId="715" priority="567" operator="equal">
      <formula>"ח"</formula>
    </cfRule>
    <cfRule type="cellIs" dxfId="714" priority="582" operator="equal">
      <formula>"ח"</formula>
    </cfRule>
  </conditionalFormatting>
  <conditionalFormatting sqref="BL24">
    <cfRule type="cellIs" dxfId="713" priority="556" stopIfTrue="1" operator="equal">
      <formula>"ח"</formula>
    </cfRule>
    <cfRule type="cellIs" dxfId="712" priority="557" operator="equal">
      <formula>"כש"</formula>
    </cfRule>
    <cfRule type="cellIs" dxfId="711" priority="558" operator="equal">
      <formula>"כ"</formula>
    </cfRule>
  </conditionalFormatting>
  <conditionalFormatting sqref="BL27">
    <cfRule type="cellIs" dxfId="710" priority="497" operator="equal">
      <formula>"כש"</formula>
    </cfRule>
    <cfRule type="cellIs" dxfId="709" priority="498" operator="equal">
      <formula>"כ"</formula>
    </cfRule>
    <cfRule type="cellIs" dxfId="708" priority="499" operator="equal">
      <formula>"ח"</formula>
    </cfRule>
  </conditionalFormatting>
  <conditionalFormatting sqref="BL27:BL28">
    <cfRule type="cellIs" dxfId="707" priority="535" operator="equal">
      <formula>"ח"</formula>
    </cfRule>
    <cfRule type="cellIs" dxfId="706" priority="520" operator="equal">
      <formula>"ח"</formula>
    </cfRule>
  </conditionalFormatting>
  <conditionalFormatting sqref="BL28">
    <cfRule type="cellIs" dxfId="705" priority="509" stopIfTrue="1" operator="equal">
      <formula>"ח"</formula>
    </cfRule>
    <cfRule type="cellIs" dxfId="704" priority="510" operator="equal">
      <formula>"כש"</formula>
    </cfRule>
    <cfRule type="cellIs" dxfId="703" priority="511" operator="equal">
      <formula>"כ"</formula>
    </cfRule>
  </conditionalFormatting>
  <conditionalFormatting sqref="BL31">
    <cfRule type="cellIs" dxfId="702" priority="450" operator="equal">
      <formula>"כש"</formula>
    </cfRule>
    <cfRule type="cellIs" dxfId="701" priority="451" operator="equal">
      <formula>"כ"</formula>
    </cfRule>
    <cfRule type="cellIs" dxfId="700" priority="452" operator="equal">
      <formula>"ח"</formula>
    </cfRule>
  </conditionalFormatting>
  <conditionalFormatting sqref="BL31:BL32">
    <cfRule type="cellIs" dxfId="699" priority="488" operator="equal">
      <formula>"ח"</formula>
    </cfRule>
    <cfRule type="cellIs" dxfId="698" priority="473" operator="equal">
      <formula>"ח"</formula>
    </cfRule>
  </conditionalFormatting>
  <conditionalFormatting sqref="BL32">
    <cfRule type="cellIs" dxfId="697" priority="463" operator="equal">
      <formula>"כש"</formula>
    </cfRule>
    <cfRule type="cellIs" dxfId="696" priority="464" operator="equal">
      <formula>"כ"</formula>
    </cfRule>
    <cfRule type="cellIs" dxfId="695" priority="462" stopIfTrue="1" operator="equal">
      <formula>"ח"</formula>
    </cfRule>
  </conditionalFormatting>
  <conditionalFormatting sqref="BL35">
    <cfRule type="cellIs" dxfId="694" priority="7" operator="equal">
      <formula>"ח"</formula>
    </cfRule>
    <cfRule type="cellIs" dxfId="693" priority="16" operator="equal">
      <formula>"ח"</formula>
    </cfRule>
    <cfRule type="cellIs" dxfId="692" priority="31" operator="equal">
      <formula>"ח"</formula>
    </cfRule>
  </conditionalFormatting>
  <conditionalFormatting sqref="BM5:BO5 BQ5:BQ35 BS5:BS35">
    <cfRule type="cellIs" dxfId="691" priority="69" operator="equal">
      <formula>"ח"</formula>
    </cfRule>
  </conditionalFormatting>
  <conditionalFormatting sqref="BM6:BO11">
    <cfRule type="cellIs" dxfId="690" priority="1103" operator="equal">
      <formula>"ח"</formula>
    </cfRule>
  </conditionalFormatting>
  <conditionalFormatting sqref="BM12:BO15">
    <cfRule type="cellIs" dxfId="689" priority="1056" operator="equal">
      <formula>"ח"</formula>
    </cfRule>
  </conditionalFormatting>
  <conditionalFormatting sqref="BM16:BO19">
    <cfRule type="cellIs" dxfId="688" priority="1009" operator="equal">
      <formula>"ח"</formula>
    </cfRule>
  </conditionalFormatting>
  <conditionalFormatting sqref="BM20:BO23">
    <cfRule type="cellIs" dxfId="687" priority="962" operator="equal">
      <formula>"ח"</formula>
    </cfRule>
  </conditionalFormatting>
  <conditionalFormatting sqref="BM24:BO27">
    <cfRule type="cellIs" dxfId="686" priority="915" operator="equal">
      <formula>"ח"</formula>
    </cfRule>
  </conditionalFormatting>
  <conditionalFormatting sqref="BM28:BO31">
    <cfRule type="cellIs" dxfId="685" priority="868" operator="equal">
      <formula>"ח"</formula>
    </cfRule>
  </conditionalFormatting>
  <conditionalFormatting sqref="BM32:BO35">
    <cfRule type="cellIs" dxfId="684" priority="821" operator="equal">
      <formula>"ח"</formula>
    </cfRule>
  </conditionalFormatting>
  <conditionalFormatting sqref="BM6:BS7 BM10:BS11 BM14:BS15 BM18:BS19 BM22:BS23 BM26:BS27 BM30:BS31 BM34:BS35">
    <cfRule type="cellIs" dxfId="683" priority="1744" operator="equal">
      <formula>"כש"</formula>
    </cfRule>
    <cfRule type="cellIs" dxfId="682" priority="1745" operator="equal">
      <formula>"כ"</formula>
    </cfRule>
  </conditionalFormatting>
  <conditionalFormatting sqref="BM8:BT9">
    <cfRule type="cellIs" dxfId="681" priority="1082" operator="equal">
      <formula>"כש"</formula>
    </cfRule>
    <cfRule type="cellIs" dxfId="680" priority="1083" operator="equal">
      <formula>"כ"</formula>
    </cfRule>
  </conditionalFormatting>
  <conditionalFormatting sqref="BM12:BT13">
    <cfRule type="cellIs" dxfId="679" priority="1035" operator="equal">
      <formula>"כש"</formula>
    </cfRule>
    <cfRule type="cellIs" dxfId="678" priority="1036" operator="equal">
      <formula>"כ"</formula>
    </cfRule>
  </conditionalFormatting>
  <conditionalFormatting sqref="BM16:BT17">
    <cfRule type="cellIs" dxfId="677" priority="988" operator="equal">
      <formula>"כש"</formula>
    </cfRule>
    <cfRule type="cellIs" dxfId="676" priority="989" operator="equal">
      <formula>"כ"</formula>
    </cfRule>
  </conditionalFormatting>
  <conditionalFormatting sqref="BM20:BT21">
    <cfRule type="cellIs" dxfId="675" priority="941" operator="equal">
      <formula>"כש"</formula>
    </cfRule>
    <cfRule type="cellIs" dxfId="674" priority="942" operator="equal">
      <formula>"כ"</formula>
    </cfRule>
  </conditionalFormatting>
  <conditionalFormatting sqref="BM24:BT25">
    <cfRule type="cellIs" dxfId="673" priority="894" operator="equal">
      <formula>"כש"</formula>
    </cfRule>
    <cfRule type="cellIs" dxfId="672" priority="895" operator="equal">
      <formula>"כ"</formula>
    </cfRule>
  </conditionalFormatting>
  <conditionalFormatting sqref="BM28:BT29">
    <cfRule type="cellIs" dxfId="671" priority="847" operator="equal">
      <formula>"כש"</formula>
    </cfRule>
    <cfRule type="cellIs" dxfId="670" priority="848" operator="equal">
      <formula>"כ"</formula>
    </cfRule>
  </conditionalFormatting>
  <conditionalFormatting sqref="BM32:BT33">
    <cfRule type="cellIs" dxfId="669" priority="801" operator="equal">
      <formula>"כ"</formula>
    </cfRule>
    <cfRule type="cellIs" dxfId="668" priority="800" operator="equal">
      <formula>"כש"</formula>
    </cfRule>
  </conditionalFormatting>
  <conditionalFormatting sqref="BN5">
    <cfRule type="cellIs" dxfId="667" priority="37" operator="equal">
      <formula>"כש"</formula>
    </cfRule>
    <cfRule type="cellIs" dxfId="666" priority="68" operator="equal">
      <formula>"ח"</formula>
    </cfRule>
    <cfRule type="cellIs" dxfId="665" priority="36" stopIfTrue="1" operator="equal">
      <formula>"ח"</formula>
    </cfRule>
    <cfRule type="cellIs" dxfId="664" priority="38" operator="equal">
      <formula>"כ"</formula>
    </cfRule>
  </conditionalFormatting>
  <conditionalFormatting sqref="BN8:BN9">
    <cfRule type="cellIs" dxfId="663" priority="1102" operator="equal">
      <formula>"ח"</formula>
    </cfRule>
  </conditionalFormatting>
  <conditionalFormatting sqref="BN9">
    <cfRule type="cellIs" dxfId="662" priority="1072" operator="equal">
      <formula>"כ"</formula>
    </cfRule>
    <cfRule type="cellIs" dxfId="661" priority="1071" operator="equal">
      <formula>"כש"</formula>
    </cfRule>
    <cfRule type="cellIs" dxfId="660" priority="1070" stopIfTrue="1" operator="equal">
      <formula>"ח"</formula>
    </cfRule>
  </conditionalFormatting>
  <conditionalFormatting sqref="BN12:BN13">
    <cfRule type="cellIs" dxfId="659" priority="1055" operator="equal">
      <formula>"ח"</formula>
    </cfRule>
  </conditionalFormatting>
  <conditionalFormatting sqref="BN13">
    <cfRule type="cellIs" dxfId="658" priority="1023" stopIfTrue="1" operator="equal">
      <formula>"ח"</formula>
    </cfRule>
    <cfRule type="cellIs" dxfId="657" priority="1024" operator="equal">
      <formula>"כש"</formula>
    </cfRule>
    <cfRule type="cellIs" dxfId="656" priority="1025" operator="equal">
      <formula>"כ"</formula>
    </cfRule>
  </conditionalFormatting>
  <conditionalFormatting sqref="BN16:BN17">
    <cfRule type="cellIs" dxfId="655" priority="1008" operator="equal">
      <formula>"ח"</formula>
    </cfRule>
  </conditionalFormatting>
  <conditionalFormatting sqref="BN17">
    <cfRule type="cellIs" dxfId="654" priority="978" operator="equal">
      <formula>"כ"</formula>
    </cfRule>
    <cfRule type="cellIs" dxfId="653" priority="977" operator="equal">
      <formula>"כש"</formula>
    </cfRule>
    <cfRule type="cellIs" dxfId="652" priority="976" stopIfTrue="1" operator="equal">
      <formula>"ח"</formula>
    </cfRule>
  </conditionalFormatting>
  <conditionalFormatting sqref="BN20:BN21">
    <cfRule type="cellIs" dxfId="651" priority="961" operator="equal">
      <formula>"ח"</formula>
    </cfRule>
  </conditionalFormatting>
  <conditionalFormatting sqref="BN21">
    <cfRule type="cellIs" dxfId="650" priority="929" stopIfTrue="1" operator="equal">
      <formula>"ח"</formula>
    </cfRule>
    <cfRule type="cellIs" dxfId="649" priority="930" operator="equal">
      <formula>"כש"</formula>
    </cfRule>
    <cfRule type="cellIs" dxfId="648" priority="931" operator="equal">
      <formula>"כ"</formula>
    </cfRule>
  </conditionalFormatting>
  <conditionalFormatting sqref="BN24:BN25">
    <cfRule type="cellIs" dxfId="647" priority="914" operator="equal">
      <formula>"ח"</formula>
    </cfRule>
  </conditionalFormatting>
  <conditionalFormatting sqref="BN25">
    <cfRule type="cellIs" dxfId="646" priority="884" operator="equal">
      <formula>"כ"</formula>
    </cfRule>
    <cfRule type="cellIs" dxfId="645" priority="883" operator="equal">
      <formula>"כש"</formula>
    </cfRule>
    <cfRule type="cellIs" dxfId="644" priority="882" stopIfTrue="1" operator="equal">
      <formula>"ח"</formula>
    </cfRule>
  </conditionalFormatting>
  <conditionalFormatting sqref="BN28:BN29">
    <cfRule type="cellIs" dxfId="643" priority="867" operator="equal">
      <formula>"ח"</formula>
    </cfRule>
  </conditionalFormatting>
  <conditionalFormatting sqref="BN29">
    <cfRule type="cellIs" dxfId="642" priority="836" operator="equal">
      <formula>"כש"</formula>
    </cfRule>
    <cfRule type="cellIs" dxfId="641" priority="835" stopIfTrue="1" operator="equal">
      <formula>"ח"</formula>
    </cfRule>
    <cfRule type="cellIs" dxfId="640" priority="837" operator="equal">
      <formula>"כ"</formula>
    </cfRule>
  </conditionalFormatting>
  <conditionalFormatting sqref="BN32:BN33">
    <cfRule type="cellIs" dxfId="639" priority="820" operator="equal">
      <formula>"ח"</formula>
    </cfRule>
  </conditionalFormatting>
  <conditionalFormatting sqref="BN33">
    <cfRule type="cellIs" dxfId="638" priority="789" operator="equal">
      <formula>"כש"</formula>
    </cfRule>
    <cfRule type="cellIs" dxfId="637" priority="790" operator="equal">
      <formula>"כ"</formula>
    </cfRule>
    <cfRule type="cellIs" dxfId="636" priority="788" stopIfTrue="1" operator="equal">
      <formula>"ח"</formula>
    </cfRule>
  </conditionalFormatting>
  <conditionalFormatting sqref="BN5:BT5">
    <cfRule type="cellIs" dxfId="635" priority="55" operator="equal">
      <formula>"ל"</formula>
    </cfRule>
    <cfRule type="cellIs" dxfId="634" priority="56" operator="equal">
      <formula>"י"</formula>
    </cfRule>
    <cfRule type="cellIs" dxfId="633" priority="57" operator="equal">
      <formula>"כמש"</formula>
    </cfRule>
  </conditionalFormatting>
  <conditionalFormatting sqref="BN8:BT9">
    <cfRule type="cellIs" dxfId="632" priority="1094" operator="equal">
      <formula>"מ"</formula>
    </cfRule>
    <cfRule type="cellIs" dxfId="631" priority="1095" operator="equal">
      <formula>"מנוחה"</formula>
    </cfRule>
    <cfRule type="cellIs" dxfId="630" priority="1090" operator="equal">
      <formula>"י"</formula>
    </cfRule>
    <cfRule type="cellIs" dxfId="629" priority="1089" operator="equal">
      <formula>"ל"</formula>
    </cfRule>
    <cfRule type="cellIs" dxfId="628" priority="1096" operator="equal">
      <formula>"מיל"</formula>
    </cfRule>
    <cfRule type="cellIs" dxfId="627" priority="1091" operator="equal">
      <formula>"כמש"</formula>
    </cfRule>
    <cfRule type="cellIs" dxfId="626" priority="1092" operator="equal">
      <formula>"כמ"</formula>
    </cfRule>
    <cfRule type="cellIs" dxfId="625" priority="1093" operator="equal">
      <formula>"ק"</formula>
    </cfRule>
  </conditionalFormatting>
  <conditionalFormatting sqref="BN12:BT13">
    <cfRule type="cellIs" dxfId="624" priority="1043" operator="equal">
      <formula>"י"</formula>
    </cfRule>
    <cfRule type="cellIs" dxfId="623" priority="1042" operator="equal">
      <formula>"ל"</formula>
    </cfRule>
    <cfRule type="cellIs" dxfId="622" priority="1044" operator="equal">
      <formula>"כמש"</formula>
    </cfRule>
    <cfRule type="cellIs" dxfId="621" priority="1045" operator="equal">
      <formula>"כמ"</formula>
    </cfRule>
    <cfRule type="cellIs" dxfId="620" priority="1046" operator="equal">
      <formula>"ק"</formula>
    </cfRule>
    <cfRule type="cellIs" dxfId="619" priority="1047" operator="equal">
      <formula>"מ"</formula>
    </cfRule>
    <cfRule type="cellIs" dxfId="618" priority="1048" operator="equal">
      <formula>"מנוחה"</formula>
    </cfRule>
    <cfRule type="cellIs" dxfId="617" priority="1049" operator="equal">
      <formula>"מיל"</formula>
    </cfRule>
  </conditionalFormatting>
  <conditionalFormatting sqref="BN16:BT17">
    <cfRule type="cellIs" dxfId="616" priority="998" operator="equal">
      <formula>"כמ"</formula>
    </cfRule>
    <cfRule type="cellIs" dxfId="615" priority="999" operator="equal">
      <formula>"ק"</formula>
    </cfRule>
    <cfRule type="cellIs" dxfId="614" priority="1000" operator="equal">
      <formula>"מ"</formula>
    </cfRule>
    <cfRule type="cellIs" dxfId="613" priority="1002" operator="equal">
      <formula>"מיל"</formula>
    </cfRule>
    <cfRule type="cellIs" dxfId="612" priority="997" operator="equal">
      <formula>"כמש"</formula>
    </cfRule>
    <cfRule type="cellIs" dxfId="611" priority="1001" operator="equal">
      <formula>"מנוחה"</formula>
    </cfRule>
    <cfRule type="cellIs" dxfId="610" priority="995" operator="equal">
      <formula>"ל"</formula>
    </cfRule>
    <cfRule type="cellIs" dxfId="609" priority="996" operator="equal">
      <formula>"י"</formula>
    </cfRule>
  </conditionalFormatting>
  <conditionalFormatting sqref="BN20:BT21">
    <cfRule type="cellIs" dxfId="608" priority="950" operator="equal">
      <formula>"כמש"</formula>
    </cfRule>
    <cfRule type="cellIs" dxfId="607" priority="952" operator="equal">
      <formula>"ק"</formula>
    </cfRule>
    <cfRule type="cellIs" dxfId="606" priority="949" operator="equal">
      <formula>"י"</formula>
    </cfRule>
    <cfRule type="cellIs" dxfId="605" priority="948" operator="equal">
      <formula>"ל"</formula>
    </cfRule>
    <cfRule type="cellIs" dxfId="604" priority="951" operator="equal">
      <formula>"כמ"</formula>
    </cfRule>
    <cfRule type="cellIs" dxfId="603" priority="953" operator="equal">
      <formula>"מ"</formula>
    </cfRule>
    <cfRule type="cellIs" dxfId="602" priority="954" operator="equal">
      <formula>"מנוחה"</formula>
    </cfRule>
    <cfRule type="cellIs" dxfId="601" priority="955" operator="equal">
      <formula>"מיל"</formula>
    </cfRule>
  </conditionalFormatting>
  <conditionalFormatting sqref="BN24:BT25">
    <cfRule type="cellIs" dxfId="600" priority="905" operator="equal">
      <formula>"ק"</formula>
    </cfRule>
    <cfRule type="cellIs" dxfId="599" priority="906" operator="equal">
      <formula>"מ"</formula>
    </cfRule>
    <cfRule type="cellIs" dxfId="598" priority="907" operator="equal">
      <formula>"מנוחה"</formula>
    </cfRule>
    <cfRule type="cellIs" dxfId="597" priority="908" operator="equal">
      <formula>"מיל"</formula>
    </cfRule>
    <cfRule type="cellIs" dxfId="596" priority="903" operator="equal">
      <formula>"כמש"</formula>
    </cfRule>
    <cfRule type="cellIs" dxfId="595" priority="904" operator="equal">
      <formula>"כמ"</formula>
    </cfRule>
    <cfRule type="cellIs" dxfId="594" priority="902" operator="equal">
      <formula>"י"</formula>
    </cfRule>
    <cfRule type="cellIs" dxfId="593" priority="901" operator="equal">
      <formula>"ל"</formula>
    </cfRule>
  </conditionalFormatting>
  <conditionalFormatting sqref="BN28:BT29">
    <cfRule type="cellIs" dxfId="592" priority="856" operator="equal">
      <formula>"כמש"</formula>
    </cfRule>
    <cfRule type="cellIs" dxfId="591" priority="855" operator="equal">
      <formula>"י"</formula>
    </cfRule>
    <cfRule type="cellIs" dxfId="590" priority="854" operator="equal">
      <formula>"ל"</formula>
    </cfRule>
    <cfRule type="cellIs" dxfId="589" priority="857" operator="equal">
      <formula>"כמ"</formula>
    </cfRule>
    <cfRule type="cellIs" dxfId="588" priority="859" operator="equal">
      <formula>"מ"</formula>
    </cfRule>
    <cfRule type="cellIs" dxfId="587" priority="861" operator="equal">
      <formula>"מיל"</formula>
    </cfRule>
    <cfRule type="cellIs" dxfId="586" priority="860" operator="equal">
      <formula>"מנוחה"</formula>
    </cfRule>
    <cfRule type="cellIs" dxfId="585" priority="858" operator="equal">
      <formula>"ק"</formula>
    </cfRule>
  </conditionalFormatting>
  <conditionalFormatting sqref="BN32:BT33">
    <cfRule type="cellIs" dxfId="584" priority="814" operator="equal">
      <formula>"מיל"</formula>
    </cfRule>
    <cfRule type="cellIs" dxfId="583" priority="807" operator="equal">
      <formula>"ל"</formula>
    </cfRule>
    <cfRule type="cellIs" dxfId="582" priority="808" operator="equal">
      <formula>"י"</formula>
    </cfRule>
    <cfRule type="cellIs" dxfId="581" priority="809" operator="equal">
      <formula>"כמש"</formula>
    </cfRule>
    <cfRule type="cellIs" dxfId="580" priority="810" operator="equal">
      <formula>"כמ"</formula>
    </cfRule>
    <cfRule type="cellIs" dxfId="579" priority="811" operator="equal">
      <formula>"ק"</formula>
    </cfRule>
    <cfRule type="cellIs" dxfId="578" priority="812" operator="equal">
      <formula>"מ"</formula>
    </cfRule>
    <cfRule type="cellIs" dxfId="577" priority="813" operator="equal">
      <formula>"מנוחה"</formula>
    </cfRule>
  </conditionalFormatting>
  <conditionalFormatting sqref="BP5">
    <cfRule type="cellIs" dxfId="576" priority="52" operator="equal">
      <formula>"ח"</formula>
    </cfRule>
    <cfRule type="cellIs" dxfId="575" priority="45" stopIfTrue="1" operator="equal">
      <formula>"ח"</formula>
    </cfRule>
    <cfRule type="cellIs" dxfId="574" priority="67" operator="equal">
      <formula>"ח"</formula>
    </cfRule>
  </conditionalFormatting>
  <conditionalFormatting sqref="BP6:BP7 BP10:BP11 BP14:BP15 BP18:BP19 BP22:BP23 BP26:BP27 BP30:BP31 BP34:BP35">
    <cfRule type="cellIs" dxfId="573" priority="1776" operator="equal">
      <formula>"ח"</formula>
    </cfRule>
  </conditionalFormatting>
  <conditionalFormatting sqref="BP8">
    <cfRule type="cellIs" dxfId="572" priority="1069" operator="equal">
      <formula>"ח"</formula>
    </cfRule>
    <cfRule type="cellIs" dxfId="571" priority="1068" operator="equal">
      <formula>"כ"</formula>
    </cfRule>
    <cfRule type="cellIs" dxfId="570" priority="1067" operator="equal">
      <formula>"כש"</formula>
    </cfRule>
  </conditionalFormatting>
  <conditionalFormatting sqref="BP8:BP9">
    <cfRule type="cellIs" dxfId="569" priority="1086" operator="equal">
      <formula>"ח"</formula>
    </cfRule>
    <cfRule type="cellIs" dxfId="568" priority="1101" operator="equal">
      <formula>"ח"</formula>
    </cfRule>
  </conditionalFormatting>
  <conditionalFormatting sqref="BP9">
    <cfRule type="cellIs" dxfId="567" priority="1080" operator="equal">
      <formula>"כש"</formula>
    </cfRule>
    <cfRule type="cellIs" dxfId="566" priority="1081" operator="equal">
      <formula>"כ"</formula>
    </cfRule>
    <cfRule type="cellIs" dxfId="565" priority="1079" stopIfTrue="1" operator="equal">
      <formula>"ח"</formula>
    </cfRule>
  </conditionalFormatting>
  <conditionalFormatting sqref="BP12">
    <cfRule type="cellIs" dxfId="564" priority="1020" operator="equal">
      <formula>"כש"</formula>
    </cfRule>
    <cfRule type="cellIs" dxfId="563" priority="1022" operator="equal">
      <formula>"ח"</formula>
    </cfRule>
    <cfRule type="cellIs" dxfId="562" priority="1021" operator="equal">
      <formula>"כ"</formula>
    </cfRule>
  </conditionalFormatting>
  <conditionalFormatting sqref="BP12:BP13">
    <cfRule type="cellIs" dxfId="561" priority="1039" operator="equal">
      <formula>"ח"</formula>
    </cfRule>
    <cfRule type="cellIs" dxfId="560" priority="1054" operator="equal">
      <formula>"ח"</formula>
    </cfRule>
  </conditionalFormatting>
  <conditionalFormatting sqref="BP13">
    <cfRule type="cellIs" dxfId="559" priority="1034" operator="equal">
      <formula>"כ"</formula>
    </cfRule>
    <cfRule type="cellIs" dxfId="558" priority="1032" stopIfTrue="1" operator="equal">
      <formula>"ח"</formula>
    </cfRule>
    <cfRule type="cellIs" dxfId="557" priority="1033" operator="equal">
      <formula>"כש"</formula>
    </cfRule>
  </conditionalFormatting>
  <conditionalFormatting sqref="BP16">
    <cfRule type="cellIs" dxfId="556" priority="974" operator="equal">
      <formula>"כ"</formula>
    </cfRule>
    <cfRule type="cellIs" dxfId="555" priority="973" operator="equal">
      <formula>"כש"</formula>
    </cfRule>
    <cfRule type="cellIs" dxfId="554" priority="975" operator="equal">
      <formula>"ח"</formula>
    </cfRule>
  </conditionalFormatting>
  <conditionalFormatting sqref="BP16:BP17">
    <cfRule type="cellIs" dxfId="553" priority="992" operator="equal">
      <formula>"ח"</formula>
    </cfRule>
    <cfRule type="cellIs" dxfId="552" priority="1007" operator="equal">
      <formula>"ח"</formula>
    </cfRule>
  </conditionalFormatting>
  <conditionalFormatting sqref="BP17">
    <cfRule type="cellIs" dxfId="551" priority="985" stopIfTrue="1" operator="equal">
      <formula>"ח"</formula>
    </cfRule>
    <cfRule type="cellIs" dxfId="550" priority="986" operator="equal">
      <formula>"כש"</formula>
    </cfRule>
    <cfRule type="cellIs" dxfId="549" priority="987" operator="equal">
      <formula>"כ"</formula>
    </cfRule>
  </conditionalFormatting>
  <conditionalFormatting sqref="BP20">
    <cfRule type="cellIs" dxfId="548" priority="926" operator="equal">
      <formula>"כש"</formula>
    </cfRule>
    <cfRule type="cellIs" dxfId="547" priority="927" operator="equal">
      <formula>"כ"</formula>
    </cfRule>
    <cfRule type="cellIs" dxfId="546" priority="928" operator="equal">
      <formula>"ח"</formula>
    </cfRule>
  </conditionalFormatting>
  <conditionalFormatting sqref="BP20:BP21">
    <cfRule type="cellIs" dxfId="545" priority="945" operator="equal">
      <formula>"ח"</formula>
    </cfRule>
    <cfRule type="cellIs" dxfId="544" priority="960" operator="equal">
      <formula>"ח"</formula>
    </cfRule>
  </conditionalFormatting>
  <conditionalFormatting sqref="BP21">
    <cfRule type="cellIs" dxfId="543" priority="938" stopIfTrue="1" operator="equal">
      <formula>"ח"</formula>
    </cfRule>
    <cfRule type="cellIs" dxfId="542" priority="939" operator="equal">
      <formula>"כש"</formula>
    </cfRule>
    <cfRule type="cellIs" dxfId="541" priority="940" operator="equal">
      <formula>"כ"</formula>
    </cfRule>
  </conditionalFormatting>
  <conditionalFormatting sqref="BP24">
    <cfRule type="cellIs" dxfId="540" priority="880" operator="equal">
      <formula>"כ"</formula>
    </cfRule>
    <cfRule type="cellIs" dxfId="539" priority="881" operator="equal">
      <formula>"ח"</formula>
    </cfRule>
    <cfRule type="cellIs" dxfId="538" priority="879" operator="equal">
      <formula>"כש"</formula>
    </cfRule>
  </conditionalFormatting>
  <conditionalFormatting sqref="BP24:BP25">
    <cfRule type="cellIs" dxfId="537" priority="898" operator="equal">
      <formula>"ח"</formula>
    </cfRule>
    <cfRule type="cellIs" dxfId="536" priority="913" operator="equal">
      <formula>"ח"</formula>
    </cfRule>
  </conditionalFormatting>
  <conditionalFormatting sqref="BP25">
    <cfRule type="cellIs" dxfId="535" priority="892" operator="equal">
      <formula>"כש"</formula>
    </cfRule>
    <cfRule type="cellIs" dxfId="534" priority="891" stopIfTrue="1" operator="equal">
      <formula>"ח"</formula>
    </cfRule>
    <cfRule type="cellIs" dxfId="533" priority="893" operator="equal">
      <formula>"כ"</formula>
    </cfRule>
  </conditionalFormatting>
  <conditionalFormatting sqref="BP28">
    <cfRule type="cellIs" dxfId="532" priority="834" operator="equal">
      <formula>"ח"</formula>
    </cfRule>
    <cfRule type="cellIs" dxfId="531" priority="833" operator="equal">
      <formula>"כ"</formula>
    </cfRule>
    <cfRule type="cellIs" dxfId="530" priority="832" operator="equal">
      <formula>"כש"</formula>
    </cfRule>
  </conditionalFormatting>
  <conditionalFormatting sqref="BP28:BP29">
    <cfRule type="cellIs" dxfId="529" priority="851" operator="equal">
      <formula>"ח"</formula>
    </cfRule>
    <cfRule type="cellIs" dxfId="528" priority="866" operator="equal">
      <formula>"ח"</formula>
    </cfRule>
  </conditionalFormatting>
  <conditionalFormatting sqref="BP29">
    <cfRule type="cellIs" dxfId="527" priority="846" operator="equal">
      <formula>"כ"</formula>
    </cfRule>
    <cfRule type="cellIs" dxfId="526" priority="845" operator="equal">
      <formula>"כש"</formula>
    </cfRule>
    <cfRule type="cellIs" dxfId="525" priority="844" stopIfTrue="1" operator="equal">
      <formula>"ח"</formula>
    </cfRule>
  </conditionalFormatting>
  <conditionalFormatting sqref="BP32">
    <cfRule type="cellIs" dxfId="524" priority="787" operator="equal">
      <formula>"ח"</formula>
    </cfRule>
    <cfRule type="cellIs" dxfId="523" priority="786" operator="equal">
      <formula>"כ"</formula>
    </cfRule>
    <cfRule type="cellIs" dxfId="522" priority="785" operator="equal">
      <formula>"כש"</formula>
    </cfRule>
  </conditionalFormatting>
  <conditionalFormatting sqref="BP32:BP33">
    <cfRule type="cellIs" dxfId="521" priority="804" operator="equal">
      <formula>"ח"</formula>
    </cfRule>
    <cfRule type="cellIs" dxfId="520" priority="819" operator="equal">
      <formula>"ח"</formula>
    </cfRule>
  </conditionalFormatting>
  <conditionalFormatting sqref="BP33">
    <cfRule type="cellIs" dxfId="519" priority="797" stopIfTrue="1" operator="equal">
      <formula>"ח"</formula>
    </cfRule>
    <cfRule type="cellIs" dxfId="518" priority="798" operator="equal">
      <formula>"כש"</formula>
    </cfRule>
    <cfRule type="cellIs" dxfId="517" priority="799" operator="equal">
      <formula>"כ"</formula>
    </cfRule>
  </conditionalFormatting>
  <conditionalFormatting sqref="BQ3:CA3 BQ4">
    <cfRule type="cellIs" dxfId="516" priority="1583" operator="equal">
      <formula>"ק"</formula>
    </cfRule>
    <cfRule type="cellIs" dxfId="515" priority="1582" operator="equal">
      <formula>"כמ"</formula>
    </cfRule>
    <cfRule type="cellIs" dxfId="514" priority="1589" operator="equal">
      <formula>"כ"</formula>
    </cfRule>
    <cfRule type="cellIs" dxfId="513" priority="1588" operator="equal">
      <formula>"כש"</formula>
    </cfRule>
    <cfRule type="cellIs" dxfId="512" priority="1581" operator="equal">
      <formula>"כמש"</formula>
    </cfRule>
    <cfRule type="cellIs" dxfId="511" priority="1587" operator="equal">
      <formula>"ח"</formula>
    </cfRule>
    <cfRule type="cellIs" dxfId="510" priority="1586" operator="equal">
      <formula>"מיל"</formula>
    </cfRule>
    <cfRule type="cellIs" dxfId="509" priority="1579" operator="equal">
      <formula>"ל"</formula>
    </cfRule>
    <cfRule type="cellIs" dxfId="508" priority="1584" operator="equal">
      <formula>"מ"</formula>
    </cfRule>
    <cfRule type="cellIs" dxfId="507" priority="1580" operator="equal">
      <formula>"י"</formula>
    </cfRule>
    <cfRule type="cellIs" dxfId="506" priority="1585" operator="equal">
      <formula>"מנוחה"</formula>
    </cfRule>
  </conditionalFormatting>
  <conditionalFormatting sqref="BR5">
    <cfRule type="cellIs" dxfId="505" priority="51" operator="equal">
      <formula>"ח"</formula>
    </cfRule>
    <cfRule type="cellIs" dxfId="504" priority="66" operator="equal">
      <formula>"ח"</formula>
    </cfRule>
    <cfRule type="cellIs" dxfId="503" priority="42" stopIfTrue="1" operator="equal">
      <formula>"ח"</formula>
    </cfRule>
    <cfRule type="cellIs" dxfId="502" priority="43" operator="equal">
      <formula>"כש"</formula>
    </cfRule>
    <cfRule type="cellIs" dxfId="501" priority="44" operator="equal">
      <formula>"כ"</formula>
    </cfRule>
  </conditionalFormatting>
  <conditionalFormatting sqref="BR6:BR7 BR10:BR11 BR14:BR15 BR18:BR19 BR22:BR23 BR26:BR27 BR30:BR31 BR34:BR35">
    <cfRule type="cellIs" dxfId="500" priority="1754" operator="equal">
      <formula>"ח"</formula>
    </cfRule>
  </conditionalFormatting>
  <conditionalFormatting sqref="BR8">
    <cfRule type="cellIs" dxfId="499" priority="1060" operator="equal">
      <formula>"ח"</formula>
    </cfRule>
    <cfRule type="cellIs" dxfId="498" priority="1057" operator="equal">
      <formula>"כש"</formula>
    </cfRule>
    <cfRule type="cellIs" dxfId="497" priority="1058" operator="equal">
      <formula>"כ"</formula>
    </cfRule>
    <cfRule type="cellIs" dxfId="496" priority="1059" operator="equal">
      <formula>"ח"</formula>
    </cfRule>
    <cfRule type="cellIs" dxfId="495" priority="1066" operator="equal">
      <formula>"ח"</formula>
    </cfRule>
  </conditionalFormatting>
  <conditionalFormatting sqref="BR8:BR9">
    <cfRule type="cellIs" dxfId="494" priority="1100" operator="equal">
      <formula>"ח"</formula>
    </cfRule>
    <cfRule type="cellIs" dxfId="493" priority="1085" operator="equal">
      <formula>"ח"</formula>
    </cfRule>
  </conditionalFormatting>
  <conditionalFormatting sqref="BR9">
    <cfRule type="cellIs" dxfId="492" priority="1078" operator="equal">
      <formula>"כ"</formula>
    </cfRule>
    <cfRule type="cellIs" dxfId="491" priority="1077" operator="equal">
      <formula>"כש"</formula>
    </cfRule>
    <cfRule type="cellIs" dxfId="490" priority="1076" stopIfTrue="1" operator="equal">
      <formula>"ח"</formula>
    </cfRule>
  </conditionalFormatting>
  <conditionalFormatting sqref="BR12">
    <cfRule type="cellIs" dxfId="489" priority="1010" operator="equal">
      <formula>"כש"</formula>
    </cfRule>
    <cfRule type="cellIs" dxfId="488" priority="1013" operator="equal">
      <formula>"ח"</formula>
    </cfRule>
    <cfRule type="cellIs" dxfId="487" priority="1012" operator="equal">
      <formula>"ח"</formula>
    </cfRule>
    <cfRule type="cellIs" dxfId="486" priority="1011" operator="equal">
      <formula>"כ"</formula>
    </cfRule>
    <cfRule type="cellIs" dxfId="485" priority="1019" operator="equal">
      <formula>"ח"</formula>
    </cfRule>
  </conditionalFormatting>
  <conditionalFormatting sqref="BR12:BR13">
    <cfRule type="cellIs" dxfId="484" priority="1038" operator="equal">
      <formula>"ח"</formula>
    </cfRule>
    <cfRule type="cellIs" dxfId="483" priority="1053" operator="equal">
      <formula>"ח"</formula>
    </cfRule>
  </conditionalFormatting>
  <conditionalFormatting sqref="BR13">
    <cfRule type="cellIs" dxfId="482" priority="1031" operator="equal">
      <formula>"כ"</formula>
    </cfRule>
    <cfRule type="cellIs" dxfId="481" priority="1029" stopIfTrue="1" operator="equal">
      <formula>"ח"</formula>
    </cfRule>
    <cfRule type="cellIs" dxfId="480" priority="1030" operator="equal">
      <formula>"כש"</formula>
    </cfRule>
  </conditionalFormatting>
  <conditionalFormatting sqref="BR16">
    <cfRule type="cellIs" dxfId="479" priority="966" operator="equal">
      <formula>"ח"</formula>
    </cfRule>
    <cfRule type="cellIs" dxfId="478" priority="965" operator="equal">
      <formula>"ח"</formula>
    </cfRule>
    <cfRule type="cellIs" dxfId="477" priority="964" operator="equal">
      <formula>"כ"</formula>
    </cfRule>
    <cfRule type="cellIs" dxfId="476" priority="963" operator="equal">
      <formula>"כש"</formula>
    </cfRule>
    <cfRule type="cellIs" dxfId="475" priority="972" operator="equal">
      <formula>"ח"</formula>
    </cfRule>
  </conditionalFormatting>
  <conditionalFormatting sqref="BR16:BR17">
    <cfRule type="cellIs" dxfId="474" priority="991" operator="equal">
      <formula>"ח"</formula>
    </cfRule>
    <cfRule type="cellIs" dxfId="473" priority="1006" operator="equal">
      <formula>"ח"</formula>
    </cfRule>
  </conditionalFormatting>
  <conditionalFormatting sqref="BR17">
    <cfRule type="cellIs" dxfId="472" priority="982" stopIfTrue="1" operator="equal">
      <formula>"ח"</formula>
    </cfRule>
    <cfRule type="cellIs" dxfId="471" priority="983" operator="equal">
      <formula>"כש"</formula>
    </cfRule>
    <cfRule type="cellIs" dxfId="470" priority="984" operator="equal">
      <formula>"כ"</formula>
    </cfRule>
  </conditionalFormatting>
  <conditionalFormatting sqref="BR20">
    <cfRule type="cellIs" dxfId="469" priority="917" operator="equal">
      <formula>"כ"</formula>
    </cfRule>
    <cfRule type="cellIs" dxfId="468" priority="916" operator="equal">
      <formula>"כש"</formula>
    </cfRule>
    <cfRule type="cellIs" dxfId="467" priority="918" operator="equal">
      <formula>"ח"</formula>
    </cfRule>
    <cfRule type="cellIs" dxfId="466" priority="919" operator="equal">
      <formula>"ח"</formula>
    </cfRule>
    <cfRule type="cellIs" dxfId="465" priority="925" operator="equal">
      <formula>"ח"</formula>
    </cfRule>
  </conditionalFormatting>
  <conditionalFormatting sqref="BR20:BR21">
    <cfRule type="cellIs" dxfId="464" priority="959" operator="equal">
      <formula>"ח"</formula>
    </cfRule>
    <cfRule type="cellIs" dxfId="463" priority="944" operator="equal">
      <formula>"ח"</formula>
    </cfRule>
  </conditionalFormatting>
  <conditionalFormatting sqref="BR21">
    <cfRule type="cellIs" dxfId="462" priority="937" operator="equal">
      <formula>"כ"</formula>
    </cfRule>
    <cfRule type="cellIs" dxfId="461" priority="936" operator="equal">
      <formula>"כש"</formula>
    </cfRule>
    <cfRule type="cellIs" dxfId="460" priority="935" stopIfTrue="1" operator="equal">
      <formula>"ח"</formula>
    </cfRule>
  </conditionalFormatting>
  <conditionalFormatting sqref="BR24">
    <cfRule type="cellIs" dxfId="459" priority="878" operator="equal">
      <formula>"ח"</formula>
    </cfRule>
    <cfRule type="cellIs" dxfId="458" priority="872" operator="equal">
      <formula>"ח"</formula>
    </cfRule>
    <cfRule type="cellIs" dxfId="457" priority="871" operator="equal">
      <formula>"ח"</formula>
    </cfRule>
    <cfRule type="cellIs" dxfId="456" priority="869" operator="equal">
      <formula>"כש"</formula>
    </cfRule>
    <cfRule type="cellIs" dxfId="455" priority="870" operator="equal">
      <formula>"כ"</formula>
    </cfRule>
  </conditionalFormatting>
  <conditionalFormatting sqref="BR24:BR25">
    <cfRule type="cellIs" dxfId="454" priority="912" operator="equal">
      <formula>"ח"</formula>
    </cfRule>
    <cfRule type="cellIs" dxfId="453" priority="897" operator="equal">
      <formula>"ח"</formula>
    </cfRule>
  </conditionalFormatting>
  <conditionalFormatting sqref="BR25">
    <cfRule type="cellIs" dxfId="452" priority="890" operator="equal">
      <formula>"כ"</formula>
    </cfRule>
    <cfRule type="cellIs" dxfId="451" priority="889" operator="equal">
      <formula>"כש"</formula>
    </cfRule>
    <cfRule type="cellIs" dxfId="450" priority="888" stopIfTrue="1" operator="equal">
      <formula>"ח"</formula>
    </cfRule>
  </conditionalFormatting>
  <conditionalFormatting sqref="BR28">
    <cfRule type="cellIs" dxfId="449" priority="824" operator="equal">
      <formula>"ח"</formula>
    </cfRule>
    <cfRule type="cellIs" dxfId="448" priority="822" operator="equal">
      <formula>"כש"</formula>
    </cfRule>
    <cfRule type="cellIs" dxfId="447" priority="831" operator="equal">
      <formula>"ח"</formula>
    </cfRule>
    <cfRule type="cellIs" dxfId="446" priority="823" operator="equal">
      <formula>"כ"</formula>
    </cfRule>
    <cfRule type="cellIs" dxfId="445" priority="825" operator="equal">
      <formula>"ח"</formula>
    </cfRule>
  </conditionalFormatting>
  <conditionalFormatting sqref="BR28:BR29">
    <cfRule type="cellIs" dxfId="444" priority="865" operator="equal">
      <formula>"ח"</formula>
    </cfRule>
    <cfRule type="cellIs" dxfId="443" priority="850" operator="equal">
      <formula>"ח"</formula>
    </cfRule>
  </conditionalFormatting>
  <conditionalFormatting sqref="BR29">
    <cfRule type="cellIs" dxfId="442" priority="843" operator="equal">
      <formula>"כ"</formula>
    </cfRule>
    <cfRule type="cellIs" dxfId="441" priority="842" operator="equal">
      <formula>"כש"</formula>
    </cfRule>
    <cfRule type="cellIs" dxfId="440" priority="841" stopIfTrue="1" operator="equal">
      <formula>"ח"</formula>
    </cfRule>
  </conditionalFormatting>
  <conditionalFormatting sqref="BR32">
    <cfRule type="cellIs" dxfId="439" priority="777" operator="equal">
      <formula>"ח"</formula>
    </cfRule>
    <cfRule type="cellIs" dxfId="438" priority="778" operator="equal">
      <formula>"ח"</formula>
    </cfRule>
    <cfRule type="cellIs" dxfId="437" priority="784" operator="equal">
      <formula>"ח"</formula>
    </cfRule>
    <cfRule type="cellIs" dxfId="436" priority="775" operator="equal">
      <formula>"כש"</formula>
    </cfRule>
    <cfRule type="cellIs" dxfId="435" priority="776" operator="equal">
      <formula>"כ"</formula>
    </cfRule>
  </conditionalFormatting>
  <conditionalFormatting sqref="BR32:BR33">
    <cfRule type="cellIs" dxfId="434" priority="803" operator="equal">
      <formula>"ח"</formula>
    </cfRule>
    <cfRule type="cellIs" dxfId="433" priority="818" operator="equal">
      <formula>"ח"</formula>
    </cfRule>
  </conditionalFormatting>
  <conditionalFormatting sqref="BR33">
    <cfRule type="cellIs" dxfId="432" priority="796" operator="equal">
      <formula>"כ"</formula>
    </cfRule>
    <cfRule type="cellIs" dxfId="431" priority="795" operator="equal">
      <formula>"כש"</formula>
    </cfRule>
    <cfRule type="cellIs" dxfId="430" priority="794" stopIfTrue="1" operator="equal">
      <formula>"ח"</formula>
    </cfRule>
  </conditionalFormatting>
  <conditionalFormatting sqref="BT5">
    <cfRule type="cellIs" dxfId="429" priority="65" operator="equal">
      <formula>"ח"</formula>
    </cfRule>
    <cfRule type="cellIs" dxfId="428" priority="39" stopIfTrue="1" operator="equal">
      <formula>"ח"</formula>
    </cfRule>
    <cfRule type="cellIs" dxfId="427" priority="50" operator="equal">
      <formula>"ח"</formula>
    </cfRule>
    <cfRule type="cellIs" dxfId="426" priority="41" operator="equal">
      <formula>"כ"</formula>
    </cfRule>
    <cfRule type="cellIs" dxfId="425" priority="40" operator="equal">
      <formula>"כש"</formula>
    </cfRule>
  </conditionalFormatting>
  <conditionalFormatting sqref="BT6:BT7 BT10:BT11 BT14:BT15 BT18:BT19 BT22:BT23 BT26:BT27 BT30:BT31 BT34:BT35">
    <cfRule type="cellIs" dxfId="424" priority="1732" operator="equal">
      <formula>"ח"</formula>
    </cfRule>
  </conditionalFormatting>
  <conditionalFormatting sqref="BT8">
    <cfRule type="cellIs" dxfId="423" priority="1063" operator="equal">
      <formula>"ח"</formula>
    </cfRule>
  </conditionalFormatting>
  <conditionalFormatting sqref="BT8:BT9">
    <cfRule type="cellIs" dxfId="422" priority="1084" operator="equal">
      <formula>"ח"</formula>
    </cfRule>
    <cfRule type="cellIs" dxfId="421" priority="1099" operator="equal">
      <formula>"ח"</formula>
    </cfRule>
  </conditionalFormatting>
  <conditionalFormatting sqref="BT9">
    <cfRule type="cellIs" dxfId="420" priority="1073" stopIfTrue="1" operator="equal">
      <formula>"ח"</formula>
    </cfRule>
  </conditionalFormatting>
  <conditionalFormatting sqref="BT12">
    <cfRule type="cellIs" dxfId="419" priority="1016" operator="equal">
      <formula>"ח"</formula>
    </cfRule>
  </conditionalFormatting>
  <conditionalFormatting sqref="BT12:BT13">
    <cfRule type="cellIs" dxfId="418" priority="1037" operator="equal">
      <formula>"ח"</formula>
    </cfRule>
    <cfRule type="cellIs" dxfId="417" priority="1052" operator="equal">
      <formula>"ח"</formula>
    </cfRule>
  </conditionalFormatting>
  <conditionalFormatting sqref="BT13">
    <cfRule type="cellIs" dxfId="416" priority="1026" stopIfTrue="1" operator="equal">
      <formula>"ח"</formula>
    </cfRule>
  </conditionalFormatting>
  <conditionalFormatting sqref="BT16">
    <cfRule type="cellIs" dxfId="415" priority="969" operator="equal">
      <formula>"ח"</formula>
    </cfRule>
  </conditionalFormatting>
  <conditionalFormatting sqref="BT16:BT17">
    <cfRule type="cellIs" dxfId="414" priority="990" operator="equal">
      <formula>"ח"</formula>
    </cfRule>
    <cfRule type="cellIs" dxfId="413" priority="1005" operator="equal">
      <formula>"ח"</formula>
    </cfRule>
  </conditionalFormatting>
  <conditionalFormatting sqref="BT17">
    <cfRule type="cellIs" dxfId="412" priority="979" stopIfTrue="1" operator="equal">
      <formula>"ח"</formula>
    </cfRule>
  </conditionalFormatting>
  <conditionalFormatting sqref="BT20">
    <cfRule type="cellIs" dxfId="411" priority="922" operator="equal">
      <formula>"ח"</formula>
    </cfRule>
  </conditionalFormatting>
  <conditionalFormatting sqref="BT20:BT21">
    <cfRule type="cellIs" dxfId="410" priority="943" operator="equal">
      <formula>"ח"</formula>
    </cfRule>
    <cfRule type="cellIs" dxfId="409" priority="958" operator="equal">
      <formula>"ח"</formula>
    </cfRule>
  </conditionalFormatting>
  <conditionalFormatting sqref="BT21">
    <cfRule type="cellIs" dxfId="408" priority="932" stopIfTrue="1" operator="equal">
      <formula>"ח"</formula>
    </cfRule>
  </conditionalFormatting>
  <conditionalFormatting sqref="BT24">
    <cfRule type="cellIs" dxfId="407" priority="875" operator="equal">
      <formula>"ח"</formula>
    </cfRule>
  </conditionalFormatting>
  <conditionalFormatting sqref="BT24:BT25">
    <cfRule type="cellIs" dxfId="406" priority="896" operator="equal">
      <formula>"ח"</formula>
    </cfRule>
    <cfRule type="cellIs" dxfId="405" priority="911" operator="equal">
      <formula>"ח"</formula>
    </cfRule>
  </conditionalFormatting>
  <conditionalFormatting sqref="BT25">
    <cfRule type="cellIs" dxfId="404" priority="885" stopIfTrue="1" operator="equal">
      <formula>"ח"</formula>
    </cfRule>
  </conditionalFormatting>
  <conditionalFormatting sqref="BT28">
    <cfRule type="cellIs" dxfId="403" priority="828" operator="equal">
      <formula>"ח"</formula>
    </cfRule>
  </conditionalFormatting>
  <conditionalFormatting sqref="BT28:BT29">
    <cfRule type="cellIs" dxfId="402" priority="849" operator="equal">
      <formula>"ח"</formula>
    </cfRule>
    <cfRule type="cellIs" dxfId="401" priority="864" operator="equal">
      <formula>"ח"</formula>
    </cfRule>
  </conditionalFormatting>
  <conditionalFormatting sqref="BT29">
    <cfRule type="cellIs" dxfId="400" priority="838" stopIfTrue="1" operator="equal">
      <formula>"ח"</formula>
    </cfRule>
  </conditionalFormatting>
  <conditionalFormatting sqref="BT32">
    <cfRule type="cellIs" dxfId="399" priority="781" operator="equal">
      <formula>"ח"</formula>
    </cfRule>
  </conditionalFormatting>
  <conditionalFormatting sqref="BT32:BT33">
    <cfRule type="cellIs" dxfId="398" priority="817" operator="equal">
      <formula>"ח"</formula>
    </cfRule>
    <cfRule type="cellIs" dxfId="397" priority="802" operator="equal">
      <formula>"ח"</formula>
    </cfRule>
  </conditionalFormatting>
  <conditionalFormatting sqref="BT33">
    <cfRule type="cellIs" dxfId="396" priority="791" stopIfTrue="1" operator="equal">
      <formula>"ח"</formula>
    </cfRule>
  </conditionalFormatting>
  <conditionalFormatting sqref="BT9:BU9">
    <cfRule type="cellIs" dxfId="395" priority="1075" operator="equal">
      <formula>"כ"</formula>
    </cfRule>
    <cfRule type="cellIs" dxfId="394" priority="1074" operator="equal">
      <formula>"כש"</formula>
    </cfRule>
  </conditionalFormatting>
  <conditionalFormatting sqref="BT13:BU13">
    <cfRule type="cellIs" dxfId="393" priority="1027" operator="equal">
      <formula>"כש"</formula>
    </cfRule>
    <cfRule type="cellIs" dxfId="392" priority="1028" operator="equal">
      <formula>"כ"</formula>
    </cfRule>
  </conditionalFormatting>
  <conditionalFormatting sqref="BT17:BU17">
    <cfRule type="cellIs" dxfId="391" priority="980" operator="equal">
      <formula>"כש"</formula>
    </cfRule>
    <cfRule type="cellIs" dxfId="390" priority="981" operator="equal">
      <formula>"כ"</formula>
    </cfRule>
  </conditionalFormatting>
  <conditionalFormatting sqref="BT21:BU21">
    <cfRule type="cellIs" dxfId="389" priority="933" operator="equal">
      <formula>"כש"</formula>
    </cfRule>
    <cfRule type="cellIs" dxfId="388" priority="934" operator="equal">
      <formula>"כ"</formula>
    </cfRule>
  </conditionalFormatting>
  <conditionalFormatting sqref="BT25:BU25">
    <cfRule type="cellIs" dxfId="387" priority="886" operator="equal">
      <formula>"כש"</formula>
    </cfRule>
    <cfRule type="cellIs" dxfId="386" priority="887" operator="equal">
      <formula>"כ"</formula>
    </cfRule>
  </conditionalFormatting>
  <conditionalFormatting sqref="BT29:BU29">
    <cfRule type="cellIs" dxfId="385" priority="839" operator="equal">
      <formula>"כש"</formula>
    </cfRule>
    <cfRule type="cellIs" dxfId="384" priority="840" operator="equal">
      <formula>"כ"</formula>
    </cfRule>
  </conditionalFormatting>
  <conditionalFormatting sqref="BT33:BU33">
    <cfRule type="cellIs" dxfId="383" priority="792" operator="equal">
      <formula>"כש"</formula>
    </cfRule>
    <cfRule type="cellIs" dxfId="382" priority="793" operator="equal">
      <formula>"כ"</formula>
    </cfRule>
  </conditionalFormatting>
  <conditionalFormatting sqref="BT6:BV6">
    <cfRule type="cellIs" dxfId="381" priority="1447" operator="equal">
      <formula>"כש"</formula>
    </cfRule>
    <cfRule type="cellIs" dxfId="380" priority="1448" operator="equal">
      <formula>"כ"</formula>
    </cfRule>
  </conditionalFormatting>
  <conditionalFormatting sqref="BT10:BV10">
    <cfRule type="cellIs" dxfId="379" priority="1401" operator="equal">
      <formula>"כ"</formula>
    </cfRule>
    <cfRule type="cellIs" dxfId="378" priority="1400" operator="equal">
      <formula>"כש"</formula>
    </cfRule>
  </conditionalFormatting>
  <conditionalFormatting sqref="BT14:BV14">
    <cfRule type="cellIs" dxfId="377" priority="1353" operator="equal">
      <formula>"כש"</formula>
    </cfRule>
    <cfRule type="cellIs" dxfId="376" priority="1354" operator="equal">
      <formula>"כ"</formula>
    </cfRule>
  </conditionalFormatting>
  <conditionalFormatting sqref="BT18:BV18">
    <cfRule type="cellIs" dxfId="375" priority="1306" operator="equal">
      <formula>"כש"</formula>
    </cfRule>
    <cfRule type="cellIs" dxfId="374" priority="1307" operator="equal">
      <formula>"כ"</formula>
    </cfRule>
  </conditionalFormatting>
  <conditionalFormatting sqref="BT22:BV22">
    <cfRule type="cellIs" dxfId="373" priority="1259" operator="equal">
      <formula>"כש"</formula>
    </cfRule>
    <cfRule type="cellIs" dxfId="372" priority="1260" operator="equal">
      <formula>"כ"</formula>
    </cfRule>
  </conditionalFormatting>
  <conditionalFormatting sqref="BT26:BV26">
    <cfRule type="cellIs" dxfId="371" priority="1212" operator="equal">
      <formula>"כש"</formula>
    </cfRule>
    <cfRule type="cellIs" dxfId="370" priority="1213" operator="equal">
      <formula>"כ"</formula>
    </cfRule>
  </conditionalFormatting>
  <conditionalFormatting sqref="BT30:BV30">
    <cfRule type="cellIs" dxfId="369" priority="1166" operator="equal">
      <formula>"כ"</formula>
    </cfRule>
    <cfRule type="cellIs" dxfId="368" priority="1165" operator="equal">
      <formula>"כש"</formula>
    </cfRule>
  </conditionalFormatting>
  <conditionalFormatting sqref="BT34:BV34">
    <cfRule type="cellIs" dxfId="367" priority="1118" operator="equal">
      <formula>"כש"</formula>
    </cfRule>
    <cfRule type="cellIs" dxfId="366" priority="1119" operator="equal">
      <formula>"כ"</formula>
    </cfRule>
  </conditionalFormatting>
  <conditionalFormatting sqref="BT7:BW8">
    <cfRule type="cellIs" dxfId="365" priority="1061" operator="equal">
      <formula>"כש"</formula>
    </cfRule>
    <cfRule type="cellIs" dxfId="364" priority="1062" operator="equal">
      <formula>"כ"</formula>
    </cfRule>
  </conditionalFormatting>
  <conditionalFormatting sqref="BT11:BW12">
    <cfRule type="cellIs" dxfId="363" priority="1015" operator="equal">
      <formula>"כ"</formula>
    </cfRule>
    <cfRule type="cellIs" dxfId="362" priority="1014" operator="equal">
      <formula>"כש"</formula>
    </cfRule>
  </conditionalFormatting>
  <conditionalFormatting sqref="BT15:BW16">
    <cfRule type="cellIs" dxfId="361" priority="968" operator="equal">
      <formula>"כ"</formula>
    </cfRule>
    <cfRule type="cellIs" dxfId="360" priority="967" operator="equal">
      <formula>"כש"</formula>
    </cfRule>
  </conditionalFormatting>
  <conditionalFormatting sqref="BT19:BW20">
    <cfRule type="cellIs" dxfId="359" priority="921" operator="equal">
      <formula>"כ"</formula>
    </cfRule>
    <cfRule type="cellIs" dxfId="358" priority="920" operator="equal">
      <formula>"כש"</formula>
    </cfRule>
  </conditionalFormatting>
  <conditionalFormatting sqref="BT23:BW24">
    <cfRule type="cellIs" dxfId="357" priority="873" operator="equal">
      <formula>"כש"</formula>
    </cfRule>
    <cfRule type="cellIs" dxfId="356" priority="874" operator="equal">
      <formula>"כ"</formula>
    </cfRule>
  </conditionalFormatting>
  <conditionalFormatting sqref="BT27:BW28">
    <cfRule type="cellIs" dxfId="355" priority="827" operator="equal">
      <formula>"כ"</formula>
    </cfRule>
    <cfRule type="cellIs" dxfId="354" priority="826" operator="equal">
      <formula>"כש"</formula>
    </cfRule>
  </conditionalFormatting>
  <conditionalFormatting sqref="BT31:BW32">
    <cfRule type="cellIs" dxfId="353" priority="779" operator="equal">
      <formula>"כש"</formula>
    </cfRule>
    <cfRule type="cellIs" dxfId="352" priority="780" operator="equal">
      <formula>"כ"</formula>
    </cfRule>
  </conditionalFormatting>
  <conditionalFormatting sqref="BU5:BW8">
    <cfRule type="cellIs" dxfId="351" priority="1479" operator="equal">
      <formula>"ח"</formula>
    </cfRule>
  </conditionalFormatting>
  <conditionalFormatting sqref="BU9:BW12">
    <cfRule type="cellIs" dxfId="350" priority="1432" operator="equal">
      <formula>"ח"</formula>
    </cfRule>
  </conditionalFormatting>
  <conditionalFormatting sqref="BU13:BW16">
    <cfRule type="cellIs" dxfId="349" priority="1385" operator="equal">
      <formula>"ח"</formula>
    </cfRule>
  </conditionalFormatting>
  <conditionalFormatting sqref="BU17:BW20">
    <cfRule type="cellIs" dxfId="348" priority="1338" operator="equal">
      <formula>"ח"</formula>
    </cfRule>
  </conditionalFormatting>
  <conditionalFormatting sqref="BU21:BW24">
    <cfRule type="cellIs" dxfId="347" priority="1291" operator="equal">
      <formula>"ח"</formula>
    </cfRule>
  </conditionalFormatting>
  <conditionalFormatting sqref="BU25:BW28">
    <cfRule type="cellIs" dxfId="346" priority="1244" operator="equal">
      <formula>"ח"</formula>
    </cfRule>
  </conditionalFormatting>
  <conditionalFormatting sqref="BU29:BW32">
    <cfRule type="cellIs" dxfId="345" priority="1197" operator="equal">
      <formula>"ח"</formula>
    </cfRule>
  </conditionalFormatting>
  <conditionalFormatting sqref="BU33:BW35 BY5:BY35 CA5:CA35">
    <cfRule type="cellIs" dxfId="344" priority="1150" operator="equal">
      <formula>"ח"</formula>
    </cfRule>
  </conditionalFormatting>
  <conditionalFormatting sqref="BV5:BV6">
    <cfRule type="cellIs" dxfId="343" priority="1478" operator="equal">
      <formula>"ח"</formula>
    </cfRule>
  </conditionalFormatting>
  <conditionalFormatting sqref="BV6">
    <cfRule type="cellIs" dxfId="342" priority="1446" stopIfTrue="1" operator="equal">
      <formula>"ח"</formula>
    </cfRule>
  </conditionalFormatting>
  <conditionalFormatting sqref="BV9:BV10">
    <cfRule type="cellIs" dxfId="341" priority="1431" operator="equal">
      <formula>"ח"</formula>
    </cfRule>
  </conditionalFormatting>
  <conditionalFormatting sqref="BV10">
    <cfRule type="cellIs" dxfId="340" priority="1399" stopIfTrue="1" operator="equal">
      <formula>"ח"</formula>
    </cfRule>
  </conditionalFormatting>
  <conditionalFormatting sqref="BV13:BV14">
    <cfRule type="cellIs" dxfId="339" priority="1384" operator="equal">
      <formula>"ח"</formula>
    </cfRule>
  </conditionalFormatting>
  <conditionalFormatting sqref="BV14">
    <cfRule type="cellIs" dxfId="338" priority="1352" stopIfTrue="1" operator="equal">
      <formula>"ח"</formula>
    </cfRule>
  </conditionalFormatting>
  <conditionalFormatting sqref="BV17:BV18">
    <cfRule type="cellIs" dxfId="337" priority="1337" operator="equal">
      <formula>"ח"</formula>
    </cfRule>
  </conditionalFormatting>
  <conditionalFormatting sqref="BV18">
    <cfRule type="cellIs" dxfId="336" priority="1305" stopIfTrue="1" operator="equal">
      <formula>"ח"</formula>
    </cfRule>
  </conditionalFormatting>
  <conditionalFormatting sqref="BV21:BV22">
    <cfRule type="cellIs" dxfId="335" priority="1290" operator="equal">
      <formula>"ח"</formula>
    </cfRule>
  </conditionalFormatting>
  <conditionalFormatting sqref="BV22">
    <cfRule type="cellIs" dxfId="334" priority="1258" stopIfTrue="1" operator="equal">
      <formula>"ח"</formula>
    </cfRule>
  </conditionalFormatting>
  <conditionalFormatting sqref="BV25:BV26">
    <cfRule type="cellIs" dxfId="333" priority="1243" operator="equal">
      <formula>"ח"</formula>
    </cfRule>
  </conditionalFormatting>
  <conditionalFormatting sqref="BV26">
    <cfRule type="cellIs" dxfId="332" priority="1211" stopIfTrue="1" operator="equal">
      <formula>"ח"</formula>
    </cfRule>
  </conditionalFormatting>
  <conditionalFormatting sqref="BV29:BV30">
    <cfRule type="cellIs" dxfId="331" priority="1196" operator="equal">
      <formula>"ח"</formula>
    </cfRule>
  </conditionalFormatting>
  <conditionalFormatting sqref="BV30">
    <cfRule type="cellIs" dxfId="330" priority="1164" stopIfTrue="1" operator="equal">
      <formula>"ח"</formula>
    </cfRule>
  </conditionalFormatting>
  <conditionalFormatting sqref="BV33:BV34">
    <cfRule type="cellIs" dxfId="329" priority="1149" operator="equal">
      <formula>"ח"</formula>
    </cfRule>
  </conditionalFormatting>
  <conditionalFormatting sqref="BV34">
    <cfRule type="cellIs" dxfId="328" priority="1117" stopIfTrue="1" operator="equal">
      <formula>"ח"</formula>
    </cfRule>
  </conditionalFormatting>
  <conditionalFormatting sqref="BV5:CB6">
    <cfRule type="cellIs" dxfId="327" priority="1463" operator="equal">
      <formula>"כש"</formula>
    </cfRule>
    <cfRule type="cellIs" dxfId="326" priority="1464" operator="equal">
      <formula>"כ"</formula>
    </cfRule>
    <cfRule type="cellIs" dxfId="325" priority="1465" operator="equal">
      <formula>"ל"</formula>
    </cfRule>
    <cfRule type="cellIs" dxfId="324" priority="1466" operator="equal">
      <formula>"י"</formula>
    </cfRule>
    <cfRule type="cellIs" dxfId="323" priority="1467" operator="equal">
      <formula>"כמש"</formula>
    </cfRule>
    <cfRule type="cellIs" dxfId="322" priority="1468" operator="equal">
      <formula>"כמ"</formula>
    </cfRule>
    <cfRule type="cellIs" dxfId="321" priority="1472" operator="equal">
      <formula>"מיל"</formula>
    </cfRule>
    <cfRule type="cellIs" dxfId="320" priority="1471" operator="equal">
      <formula>"מנוחה"</formula>
    </cfRule>
    <cfRule type="cellIs" dxfId="319" priority="1470" operator="equal">
      <formula>"מ"</formula>
    </cfRule>
    <cfRule type="cellIs" dxfId="318" priority="1469" operator="equal">
      <formula>"ק"</formula>
    </cfRule>
  </conditionalFormatting>
  <conditionalFormatting sqref="BV9:CB10">
    <cfRule type="cellIs" dxfId="317" priority="1425" operator="equal">
      <formula>"מיל"</formula>
    </cfRule>
    <cfRule type="cellIs" dxfId="316" priority="1416" operator="equal">
      <formula>"כש"</formula>
    </cfRule>
    <cfRule type="cellIs" dxfId="315" priority="1417" operator="equal">
      <formula>"כ"</formula>
    </cfRule>
    <cfRule type="cellIs" dxfId="314" priority="1423" operator="equal">
      <formula>"מ"</formula>
    </cfRule>
    <cfRule type="cellIs" dxfId="313" priority="1419" operator="equal">
      <formula>"י"</formula>
    </cfRule>
    <cfRule type="cellIs" dxfId="312" priority="1420" operator="equal">
      <formula>"כמש"</formula>
    </cfRule>
    <cfRule type="cellIs" dxfId="311" priority="1418" operator="equal">
      <formula>"ל"</formula>
    </cfRule>
    <cfRule type="cellIs" dxfId="310" priority="1422" operator="equal">
      <formula>"ק"</formula>
    </cfRule>
    <cfRule type="cellIs" dxfId="309" priority="1424" operator="equal">
      <formula>"מנוחה"</formula>
    </cfRule>
    <cfRule type="cellIs" dxfId="308" priority="1421" operator="equal">
      <formula>"כמ"</formula>
    </cfRule>
  </conditionalFormatting>
  <conditionalFormatting sqref="BV13:CB14">
    <cfRule type="cellIs" dxfId="307" priority="1376" operator="equal">
      <formula>"מ"</formula>
    </cfRule>
    <cfRule type="cellIs" dxfId="306" priority="1375" operator="equal">
      <formula>"ק"</formula>
    </cfRule>
    <cfRule type="cellIs" dxfId="305" priority="1373" operator="equal">
      <formula>"כמש"</formula>
    </cfRule>
    <cfRule type="cellIs" dxfId="304" priority="1372" operator="equal">
      <formula>"י"</formula>
    </cfRule>
    <cfRule type="cellIs" dxfId="303" priority="1371" operator="equal">
      <formula>"ל"</formula>
    </cfRule>
    <cfRule type="cellIs" dxfId="302" priority="1370" operator="equal">
      <formula>"כ"</formula>
    </cfRule>
    <cfRule type="cellIs" dxfId="301" priority="1378" operator="equal">
      <formula>"מיל"</formula>
    </cfRule>
    <cfRule type="cellIs" dxfId="300" priority="1374" operator="equal">
      <formula>"כמ"</formula>
    </cfRule>
    <cfRule type="cellIs" dxfId="299" priority="1377" operator="equal">
      <formula>"מנוחה"</formula>
    </cfRule>
    <cfRule type="cellIs" dxfId="298" priority="1369" operator="equal">
      <formula>"כש"</formula>
    </cfRule>
  </conditionalFormatting>
  <conditionalFormatting sqref="BV17:CB18">
    <cfRule type="cellIs" dxfId="297" priority="1326" operator="equal">
      <formula>"כמש"</formula>
    </cfRule>
    <cfRule type="cellIs" dxfId="296" priority="1322" operator="equal">
      <formula>"כש"</formula>
    </cfRule>
    <cfRule type="cellIs" dxfId="295" priority="1327" operator="equal">
      <formula>"כמ"</formula>
    </cfRule>
    <cfRule type="cellIs" dxfId="294" priority="1331" operator="equal">
      <formula>"מיל"</formula>
    </cfRule>
    <cfRule type="cellIs" dxfId="293" priority="1330" operator="equal">
      <formula>"מנוחה"</formula>
    </cfRule>
    <cfRule type="cellIs" dxfId="292" priority="1329" operator="equal">
      <formula>"מ"</formula>
    </cfRule>
    <cfRule type="cellIs" dxfId="291" priority="1328" operator="equal">
      <formula>"ק"</formula>
    </cfRule>
    <cfRule type="cellIs" dxfId="290" priority="1325" operator="equal">
      <formula>"י"</formula>
    </cfRule>
    <cfRule type="cellIs" dxfId="289" priority="1324" operator="equal">
      <formula>"ל"</formula>
    </cfRule>
    <cfRule type="cellIs" dxfId="288" priority="1323" operator="equal">
      <formula>"כ"</formula>
    </cfRule>
  </conditionalFormatting>
  <conditionalFormatting sqref="BV21:CB22">
    <cfRule type="cellIs" dxfId="287" priority="1281" operator="equal">
      <formula>"ק"</formula>
    </cfRule>
    <cfRule type="cellIs" dxfId="286" priority="1282" operator="equal">
      <formula>"מ"</formula>
    </cfRule>
    <cfRule type="cellIs" dxfId="285" priority="1276" operator="equal">
      <formula>"כ"</formula>
    </cfRule>
    <cfRule type="cellIs" dxfId="284" priority="1277" operator="equal">
      <formula>"ל"</formula>
    </cfRule>
    <cfRule type="cellIs" dxfId="283" priority="1278" operator="equal">
      <formula>"י"</formula>
    </cfRule>
    <cfRule type="cellIs" dxfId="282" priority="1279" operator="equal">
      <formula>"כמש"</formula>
    </cfRule>
    <cfRule type="cellIs" dxfId="281" priority="1280" operator="equal">
      <formula>"כמ"</formula>
    </cfRule>
    <cfRule type="cellIs" dxfId="280" priority="1284" operator="equal">
      <formula>"מיל"</formula>
    </cfRule>
    <cfRule type="cellIs" dxfId="279" priority="1283" operator="equal">
      <formula>"מנוחה"</formula>
    </cfRule>
    <cfRule type="cellIs" dxfId="278" priority="1275" operator="equal">
      <formula>"כש"</formula>
    </cfRule>
  </conditionalFormatting>
  <conditionalFormatting sqref="BV25:CB26">
    <cfRule type="cellIs" dxfId="277" priority="1234" operator="equal">
      <formula>"ק"</formula>
    </cfRule>
    <cfRule type="cellIs" dxfId="276" priority="1232" operator="equal">
      <formula>"כמש"</formula>
    </cfRule>
    <cfRule type="cellIs" dxfId="275" priority="1228" operator="equal">
      <formula>"כש"</formula>
    </cfRule>
    <cfRule type="cellIs" dxfId="274" priority="1229" operator="equal">
      <formula>"כ"</formula>
    </cfRule>
    <cfRule type="cellIs" dxfId="273" priority="1233" operator="equal">
      <formula>"כמ"</formula>
    </cfRule>
    <cfRule type="cellIs" dxfId="272" priority="1235" operator="equal">
      <formula>"מ"</formula>
    </cfRule>
    <cfRule type="cellIs" dxfId="271" priority="1237" operator="equal">
      <formula>"מיל"</formula>
    </cfRule>
    <cfRule type="cellIs" dxfId="270" priority="1231" operator="equal">
      <formula>"י"</formula>
    </cfRule>
    <cfRule type="cellIs" dxfId="269" priority="1230" operator="equal">
      <formula>"ל"</formula>
    </cfRule>
    <cfRule type="cellIs" dxfId="268" priority="1236" operator="equal">
      <formula>"מנוחה"</formula>
    </cfRule>
  </conditionalFormatting>
  <conditionalFormatting sqref="BV29:CB30">
    <cfRule type="cellIs" dxfId="267" priority="1181" operator="equal">
      <formula>"כש"</formula>
    </cfRule>
    <cfRule type="cellIs" dxfId="266" priority="1188" operator="equal">
      <formula>"מ"</formula>
    </cfRule>
    <cfRule type="cellIs" dxfId="265" priority="1190" operator="equal">
      <formula>"מיל"</formula>
    </cfRule>
    <cfRule type="cellIs" dxfId="264" priority="1184" operator="equal">
      <formula>"י"</formula>
    </cfRule>
    <cfRule type="cellIs" dxfId="263" priority="1189" operator="equal">
      <formula>"מנוחה"</formula>
    </cfRule>
    <cfRule type="cellIs" dxfId="262" priority="1185" operator="equal">
      <formula>"כמש"</formula>
    </cfRule>
    <cfRule type="cellIs" dxfId="261" priority="1187" operator="equal">
      <formula>"ק"</formula>
    </cfRule>
    <cfRule type="cellIs" dxfId="260" priority="1182" operator="equal">
      <formula>"כ"</formula>
    </cfRule>
    <cfRule type="cellIs" dxfId="259" priority="1186" operator="equal">
      <formula>"כמ"</formula>
    </cfRule>
    <cfRule type="cellIs" dxfId="258" priority="1183" operator="equal">
      <formula>"ל"</formula>
    </cfRule>
  </conditionalFormatting>
  <conditionalFormatting sqref="BV33:CB34">
    <cfRule type="cellIs" dxfId="257" priority="1139" operator="equal">
      <formula>"כמ"</formula>
    </cfRule>
    <cfRule type="cellIs" dxfId="256" priority="1140" operator="equal">
      <formula>"ק"</formula>
    </cfRule>
    <cfRule type="cellIs" dxfId="255" priority="1143" operator="equal">
      <formula>"מיל"</formula>
    </cfRule>
    <cfRule type="cellIs" dxfId="254" priority="1141" operator="equal">
      <formula>"מ"</formula>
    </cfRule>
    <cfRule type="cellIs" dxfId="253" priority="1142" operator="equal">
      <formula>"מנוחה"</formula>
    </cfRule>
    <cfRule type="cellIs" dxfId="252" priority="1138" operator="equal">
      <formula>"כמש"</formula>
    </cfRule>
    <cfRule type="cellIs" dxfId="251" priority="1137" operator="equal">
      <formula>"י"</formula>
    </cfRule>
    <cfRule type="cellIs" dxfId="250" priority="1136" operator="equal">
      <formula>"ל"</formula>
    </cfRule>
    <cfRule type="cellIs" dxfId="249" priority="1130" operator="equal">
      <formula>"כ"</formula>
    </cfRule>
    <cfRule type="cellIs" dxfId="248" priority="1129" operator="equal">
      <formula>"כש"</formula>
    </cfRule>
  </conditionalFormatting>
  <conditionalFormatting sqref="BX5">
    <cfRule type="cellIs" dxfId="247" priority="1443" operator="equal">
      <formula>"כש"</formula>
    </cfRule>
    <cfRule type="cellIs" dxfId="246" priority="1444" operator="equal">
      <formula>"כ"</formula>
    </cfRule>
    <cfRule type="cellIs" dxfId="245" priority="1445" operator="equal">
      <formula>"ח"</formula>
    </cfRule>
  </conditionalFormatting>
  <conditionalFormatting sqref="BX5:BX6">
    <cfRule type="cellIs" dxfId="244" priority="1477" operator="equal">
      <formula>"ח"</formula>
    </cfRule>
    <cfRule type="cellIs" dxfId="243" priority="1462" operator="equal">
      <formula>"ח"</formula>
    </cfRule>
  </conditionalFormatting>
  <conditionalFormatting sqref="BX6">
    <cfRule type="cellIs" dxfId="242" priority="1455" stopIfTrue="1" operator="equal">
      <formula>"ח"</formula>
    </cfRule>
    <cfRule type="cellIs" dxfId="241" priority="1457" operator="equal">
      <formula>"כ"</formula>
    </cfRule>
    <cfRule type="cellIs" dxfId="240" priority="1456" operator="equal">
      <formula>"כש"</formula>
    </cfRule>
  </conditionalFormatting>
  <conditionalFormatting sqref="BX7:BX8 BX11:BX12 BX15:BX16 BX19:BX20 BX23:BX24 BX27:BX28 BX31:BX32 BX35">
    <cfRule type="cellIs" dxfId="239" priority="1710" operator="equal">
      <formula>"ח"</formula>
    </cfRule>
  </conditionalFormatting>
  <conditionalFormatting sqref="BX9">
    <cfRule type="cellIs" dxfId="238" priority="1396" operator="equal">
      <formula>"כש"</formula>
    </cfRule>
    <cfRule type="cellIs" dxfId="237" priority="1398" operator="equal">
      <formula>"ח"</formula>
    </cfRule>
    <cfRule type="cellIs" dxfId="236" priority="1397" operator="equal">
      <formula>"כ"</formula>
    </cfRule>
  </conditionalFormatting>
  <conditionalFormatting sqref="BX9:BX10">
    <cfRule type="cellIs" dxfId="235" priority="1415" operator="equal">
      <formula>"ח"</formula>
    </cfRule>
    <cfRule type="cellIs" dxfId="234" priority="1430" operator="equal">
      <formula>"ח"</formula>
    </cfRule>
  </conditionalFormatting>
  <conditionalFormatting sqref="BX10">
    <cfRule type="cellIs" dxfId="233" priority="1409" operator="equal">
      <formula>"כש"</formula>
    </cfRule>
    <cfRule type="cellIs" dxfId="232" priority="1410" operator="equal">
      <formula>"כ"</formula>
    </cfRule>
    <cfRule type="cellIs" dxfId="231" priority="1408" stopIfTrue="1" operator="equal">
      <formula>"ח"</formula>
    </cfRule>
  </conditionalFormatting>
  <conditionalFormatting sqref="BX13">
    <cfRule type="cellIs" dxfId="230" priority="1351" operator="equal">
      <formula>"ח"</formula>
    </cfRule>
    <cfRule type="cellIs" dxfId="229" priority="1349" operator="equal">
      <formula>"כש"</formula>
    </cfRule>
    <cfRule type="cellIs" dxfId="228" priority="1350" operator="equal">
      <formula>"כ"</formula>
    </cfRule>
  </conditionalFormatting>
  <conditionalFormatting sqref="BX13:BX14">
    <cfRule type="cellIs" dxfId="227" priority="1383" operator="equal">
      <formula>"ח"</formula>
    </cfRule>
    <cfRule type="cellIs" dxfId="226" priority="1368" operator="equal">
      <formula>"ח"</formula>
    </cfRule>
  </conditionalFormatting>
  <conditionalFormatting sqref="BX14">
    <cfRule type="cellIs" dxfId="225" priority="1361" stopIfTrue="1" operator="equal">
      <formula>"ח"</formula>
    </cfRule>
    <cfRule type="cellIs" dxfId="224" priority="1363" operator="equal">
      <formula>"כ"</formula>
    </cfRule>
    <cfRule type="cellIs" dxfId="223" priority="1362" operator="equal">
      <formula>"כש"</formula>
    </cfRule>
  </conditionalFormatting>
  <conditionalFormatting sqref="BX17">
    <cfRule type="cellIs" dxfId="222" priority="1304" operator="equal">
      <formula>"ח"</formula>
    </cfRule>
    <cfRule type="cellIs" dxfId="221" priority="1303" operator="equal">
      <formula>"כ"</formula>
    </cfRule>
    <cfRule type="cellIs" dxfId="220" priority="1302" operator="equal">
      <formula>"כש"</formula>
    </cfRule>
  </conditionalFormatting>
  <conditionalFormatting sqref="BX17:BX18">
    <cfRule type="cellIs" dxfId="219" priority="1336" operator="equal">
      <formula>"ח"</formula>
    </cfRule>
    <cfRule type="cellIs" dxfId="218" priority="1321" operator="equal">
      <formula>"ח"</formula>
    </cfRule>
  </conditionalFormatting>
  <conditionalFormatting sqref="BX18">
    <cfRule type="cellIs" dxfId="217" priority="1316" operator="equal">
      <formula>"כ"</formula>
    </cfRule>
    <cfRule type="cellIs" dxfId="216" priority="1315" operator="equal">
      <formula>"כש"</formula>
    </cfRule>
    <cfRule type="cellIs" dxfId="215" priority="1314" stopIfTrue="1" operator="equal">
      <formula>"ח"</formula>
    </cfRule>
  </conditionalFormatting>
  <conditionalFormatting sqref="BX21">
    <cfRule type="cellIs" dxfId="214" priority="1257" operator="equal">
      <formula>"ח"</formula>
    </cfRule>
    <cfRule type="cellIs" dxfId="213" priority="1256" operator="equal">
      <formula>"כ"</formula>
    </cfRule>
    <cfRule type="cellIs" dxfId="212" priority="1255" operator="equal">
      <formula>"כש"</formula>
    </cfRule>
  </conditionalFormatting>
  <conditionalFormatting sqref="BX21:BX22">
    <cfRule type="cellIs" dxfId="211" priority="1274" operator="equal">
      <formula>"ח"</formula>
    </cfRule>
    <cfRule type="cellIs" dxfId="210" priority="1289" operator="equal">
      <formula>"ח"</formula>
    </cfRule>
  </conditionalFormatting>
  <conditionalFormatting sqref="BX22">
    <cfRule type="cellIs" dxfId="209" priority="1267" stopIfTrue="1" operator="equal">
      <formula>"ח"</formula>
    </cfRule>
    <cfRule type="cellIs" dxfId="208" priority="1269" operator="equal">
      <formula>"כ"</formula>
    </cfRule>
    <cfRule type="cellIs" dxfId="207" priority="1268" operator="equal">
      <formula>"כש"</formula>
    </cfRule>
  </conditionalFormatting>
  <conditionalFormatting sqref="BX25">
    <cfRule type="cellIs" dxfId="206" priority="1210" operator="equal">
      <formula>"ח"</formula>
    </cfRule>
    <cfRule type="cellIs" dxfId="205" priority="1209" operator="equal">
      <formula>"כ"</formula>
    </cfRule>
    <cfRule type="cellIs" dxfId="204" priority="1208" operator="equal">
      <formula>"כש"</formula>
    </cfRule>
  </conditionalFormatting>
  <conditionalFormatting sqref="BX25:BX26">
    <cfRule type="cellIs" dxfId="203" priority="1227" operator="equal">
      <formula>"ח"</formula>
    </cfRule>
    <cfRule type="cellIs" dxfId="202" priority="1242" operator="equal">
      <formula>"ח"</formula>
    </cfRule>
  </conditionalFormatting>
  <conditionalFormatting sqref="BX26">
    <cfRule type="cellIs" dxfId="201" priority="1220" stopIfTrue="1" operator="equal">
      <formula>"ח"</formula>
    </cfRule>
    <cfRule type="cellIs" dxfId="200" priority="1221" operator="equal">
      <formula>"כש"</formula>
    </cfRule>
    <cfRule type="cellIs" dxfId="199" priority="1222" operator="equal">
      <formula>"כ"</formula>
    </cfRule>
  </conditionalFormatting>
  <conditionalFormatting sqref="BX29">
    <cfRule type="cellIs" dxfId="198" priority="1161" operator="equal">
      <formula>"כש"</formula>
    </cfRule>
    <cfRule type="cellIs" dxfId="197" priority="1162" operator="equal">
      <formula>"כ"</formula>
    </cfRule>
    <cfRule type="cellIs" dxfId="196" priority="1163" operator="equal">
      <formula>"ח"</formula>
    </cfRule>
  </conditionalFormatting>
  <conditionalFormatting sqref="BX29:BX30">
    <cfRule type="cellIs" dxfId="195" priority="1180" operator="equal">
      <formula>"ח"</formula>
    </cfRule>
    <cfRule type="cellIs" dxfId="194" priority="1195" operator="equal">
      <formula>"ח"</formula>
    </cfRule>
  </conditionalFormatting>
  <conditionalFormatting sqref="BX30">
    <cfRule type="cellIs" dxfId="193" priority="1175" operator="equal">
      <formula>"כ"</formula>
    </cfRule>
    <cfRule type="cellIs" dxfId="192" priority="1174" operator="equal">
      <formula>"כש"</formula>
    </cfRule>
    <cfRule type="cellIs" dxfId="191" priority="1173" stopIfTrue="1" operator="equal">
      <formula>"ח"</formula>
    </cfRule>
  </conditionalFormatting>
  <conditionalFormatting sqref="BX33">
    <cfRule type="cellIs" dxfId="190" priority="1114" operator="equal">
      <formula>"כש"</formula>
    </cfRule>
    <cfRule type="cellIs" dxfId="189" priority="1116" operator="equal">
      <formula>"ח"</formula>
    </cfRule>
    <cfRule type="cellIs" dxfId="188" priority="1115" operator="equal">
      <formula>"כ"</formula>
    </cfRule>
  </conditionalFormatting>
  <conditionalFormatting sqref="BX33:BX34">
    <cfRule type="cellIs" dxfId="187" priority="1148" operator="equal">
      <formula>"ח"</formula>
    </cfRule>
    <cfRule type="cellIs" dxfId="186" priority="1133" operator="equal">
      <formula>"ח"</formula>
    </cfRule>
  </conditionalFormatting>
  <conditionalFormatting sqref="BX34">
    <cfRule type="cellIs" dxfId="185" priority="1126" stopIfTrue="1" operator="equal">
      <formula>"ח"</formula>
    </cfRule>
    <cfRule type="cellIs" dxfId="184" priority="1128" operator="equal">
      <formula>"כ"</formula>
    </cfRule>
    <cfRule type="cellIs" dxfId="183" priority="1127" operator="equal">
      <formula>"כש"</formula>
    </cfRule>
  </conditionalFormatting>
  <conditionalFormatting sqref="BX5:CB8">
    <cfRule type="cellIs" dxfId="182" priority="1458" operator="equal">
      <formula>"כש"</formula>
    </cfRule>
    <cfRule type="cellIs" dxfId="181" priority="1459" operator="equal">
      <formula>"כ"</formula>
    </cfRule>
  </conditionalFormatting>
  <conditionalFormatting sqref="BX9:CB12">
    <cfRule type="cellIs" dxfId="180" priority="1412" operator="equal">
      <formula>"כ"</formula>
    </cfRule>
    <cfRule type="cellIs" dxfId="179" priority="1411" operator="equal">
      <formula>"כש"</formula>
    </cfRule>
  </conditionalFormatting>
  <conditionalFormatting sqref="BX13:CB16">
    <cfRule type="cellIs" dxfId="178" priority="1365" operator="equal">
      <formula>"כ"</formula>
    </cfRule>
    <cfRule type="cellIs" dxfId="177" priority="1364" operator="equal">
      <formula>"כש"</formula>
    </cfRule>
  </conditionalFormatting>
  <conditionalFormatting sqref="BX17:CB20">
    <cfRule type="cellIs" dxfId="176" priority="1318" operator="equal">
      <formula>"כ"</formula>
    </cfRule>
    <cfRule type="cellIs" dxfId="175" priority="1317" operator="equal">
      <formula>"כש"</formula>
    </cfRule>
  </conditionalFormatting>
  <conditionalFormatting sqref="BX21:CB24">
    <cfRule type="cellIs" dxfId="174" priority="1270" operator="equal">
      <formula>"כש"</formula>
    </cfRule>
    <cfRule type="cellIs" dxfId="173" priority="1271" operator="equal">
      <formula>"כ"</formula>
    </cfRule>
  </conditionalFormatting>
  <conditionalFormatting sqref="BX25:CB28">
    <cfRule type="cellIs" dxfId="172" priority="1224" operator="equal">
      <formula>"כ"</formula>
    </cfRule>
    <cfRule type="cellIs" dxfId="171" priority="1223" operator="equal">
      <formula>"כש"</formula>
    </cfRule>
  </conditionalFormatting>
  <conditionalFormatting sqref="BX29:CB32">
    <cfRule type="cellIs" dxfId="170" priority="1177" operator="equal">
      <formula>"כ"</formula>
    </cfRule>
    <cfRule type="cellIs" dxfId="169" priority="1176" operator="equal">
      <formula>"כש"</formula>
    </cfRule>
  </conditionalFormatting>
  <conditionalFormatting sqref="BZ5">
    <cfRule type="cellIs" dxfId="168" priority="1442" operator="equal">
      <formula>"ח"</formula>
    </cfRule>
    <cfRule type="cellIs" dxfId="167" priority="1434" operator="equal">
      <formula>"כ"</formula>
    </cfRule>
    <cfRule type="cellIs" dxfId="166" priority="1433" operator="equal">
      <formula>"כש"</formula>
    </cfRule>
    <cfRule type="cellIs" dxfId="165" priority="1436" operator="equal">
      <formula>"ח"</formula>
    </cfRule>
    <cfRule type="cellIs" dxfId="164" priority="1435" operator="equal">
      <formula>"ח"</formula>
    </cfRule>
  </conditionalFormatting>
  <conditionalFormatting sqref="BZ5:BZ6">
    <cfRule type="cellIs" dxfId="163" priority="1476" operator="equal">
      <formula>"ח"</formula>
    </cfRule>
    <cfRule type="cellIs" dxfId="162" priority="1461" operator="equal">
      <formula>"ח"</formula>
    </cfRule>
  </conditionalFormatting>
  <conditionalFormatting sqref="BZ6">
    <cfRule type="cellIs" dxfId="161" priority="1452" stopIfTrue="1" operator="equal">
      <formula>"ח"</formula>
    </cfRule>
    <cfRule type="cellIs" dxfId="160" priority="1454" operator="equal">
      <formula>"כ"</formula>
    </cfRule>
    <cfRule type="cellIs" dxfId="159" priority="1453" operator="equal">
      <formula>"כש"</formula>
    </cfRule>
  </conditionalFormatting>
  <conditionalFormatting sqref="BZ7:BZ8 BZ11:BZ12 BZ15:BZ16 BZ19:BZ20 BZ23:BZ24 BZ27:BZ28 BZ31:BZ32 BZ35">
    <cfRule type="cellIs" dxfId="158" priority="1699" operator="equal">
      <formula>"ח"</formula>
    </cfRule>
  </conditionalFormatting>
  <conditionalFormatting sqref="BZ9">
    <cfRule type="cellIs" dxfId="157" priority="1387" operator="equal">
      <formula>"כ"</formula>
    </cfRule>
    <cfRule type="cellIs" dxfId="156" priority="1395" operator="equal">
      <formula>"ח"</formula>
    </cfRule>
    <cfRule type="cellIs" dxfId="155" priority="1389" operator="equal">
      <formula>"ח"</formula>
    </cfRule>
    <cfRule type="cellIs" dxfId="154" priority="1386" operator="equal">
      <formula>"כש"</formula>
    </cfRule>
    <cfRule type="cellIs" dxfId="153" priority="1388" operator="equal">
      <formula>"ח"</formula>
    </cfRule>
  </conditionalFormatting>
  <conditionalFormatting sqref="BZ9:BZ10">
    <cfRule type="cellIs" dxfId="152" priority="1429" operator="equal">
      <formula>"ח"</formula>
    </cfRule>
    <cfRule type="cellIs" dxfId="151" priority="1414" operator="equal">
      <formula>"ח"</formula>
    </cfRule>
  </conditionalFormatting>
  <conditionalFormatting sqref="BZ10">
    <cfRule type="cellIs" dxfId="150" priority="1405" stopIfTrue="1" operator="equal">
      <formula>"ח"</formula>
    </cfRule>
    <cfRule type="cellIs" dxfId="149" priority="1407" operator="equal">
      <formula>"כ"</formula>
    </cfRule>
    <cfRule type="cellIs" dxfId="148" priority="1406" operator="equal">
      <formula>"כש"</formula>
    </cfRule>
  </conditionalFormatting>
  <conditionalFormatting sqref="BZ13">
    <cfRule type="cellIs" dxfId="147" priority="1348" operator="equal">
      <formula>"ח"</formula>
    </cfRule>
    <cfRule type="cellIs" dxfId="146" priority="1342" operator="equal">
      <formula>"ח"</formula>
    </cfRule>
    <cfRule type="cellIs" dxfId="145" priority="1339" operator="equal">
      <formula>"כש"</formula>
    </cfRule>
    <cfRule type="cellIs" dxfId="144" priority="1340" operator="equal">
      <formula>"כ"</formula>
    </cfRule>
    <cfRule type="cellIs" dxfId="143" priority="1341" operator="equal">
      <formula>"ח"</formula>
    </cfRule>
  </conditionalFormatting>
  <conditionalFormatting sqref="BZ13:BZ14">
    <cfRule type="cellIs" dxfId="142" priority="1382" operator="equal">
      <formula>"ח"</formula>
    </cfRule>
    <cfRule type="cellIs" dxfId="141" priority="1367" operator="equal">
      <formula>"ח"</formula>
    </cfRule>
  </conditionalFormatting>
  <conditionalFormatting sqref="BZ14">
    <cfRule type="cellIs" dxfId="140" priority="1359" operator="equal">
      <formula>"כש"</formula>
    </cfRule>
    <cfRule type="cellIs" dxfId="139" priority="1358" stopIfTrue="1" operator="equal">
      <formula>"ח"</formula>
    </cfRule>
    <cfRule type="cellIs" dxfId="138" priority="1360" operator="equal">
      <formula>"כ"</formula>
    </cfRule>
  </conditionalFormatting>
  <conditionalFormatting sqref="BZ17">
    <cfRule type="cellIs" dxfId="137" priority="1292" operator="equal">
      <formula>"כש"</formula>
    </cfRule>
    <cfRule type="cellIs" dxfId="136" priority="1301" operator="equal">
      <formula>"ח"</formula>
    </cfRule>
    <cfRule type="cellIs" dxfId="135" priority="1295" operator="equal">
      <formula>"ח"</formula>
    </cfRule>
    <cfRule type="cellIs" dxfId="134" priority="1293" operator="equal">
      <formula>"כ"</formula>
    </cfRule>
    <cfRule type="cellIs" dxfId="133" priority="1294" operator="equal">
      <formula>"ח"</formula>
    </cfRule>
  </conditionalFormatting>
  <conditionalFormatting sqref="BZ17:BZ18">
    <cfRule type="cellIs" dxfId="132" priority="1320" operator="equal">
      <formula>"ח"</formula>
    </cfRule>
    <cfRule type="cellIs" dxfId="131" priority="1335" operator="equal">
      <formula>"ח"</formula>
    </cfRule>
  </conditionalFormatting>
  <conditionalFormatting sqref="BZ18">
    <cfRule type="cellIs" dxfId="130" priority="1312" operator="equal">
      <formula>"כש"</formula>
    </cfRule>
    <cfRule type="cellIs" dxfId="129" priority="1311" stopIfTrue="1" operator="equal">
      <formula>"ח"</formula>
    </cfRule>
    <cfRule type="cellIs" dxfId="128" priority="1313" operator="equal">
      <formula>"כ"</formula>
    </cfRule>
  </conditionalFormatting>
  <conditionalFormatting sqref="BZ21">
    <cfRule type="cellIs" dxfId="127" priority="1245" operator="equal">
      <formula>"כש"</formula>
    </cfRule>
    <cfRule type="cellIs" dxfId="126" priority="1246" operator="equal">
      <formula>"כ"</formula>
    </cfRule>
    <cfRule type="cellIs" dxfId="125" priority="1247" operator="equal">
      <formula>"ח"</formula>
    </cfRule>
    <cfRule type="cellIs" dxfId="124" priority="1248" operator="equal">
      <formula>"ח"</formula>
    </cfRule>
    <cfRule type="cellIs" dxfId="123" priority="1254" operator="equal">
      <formula>"ח"</formula>
    </cfRule>
  </conditionalFormatting>
  <conditionalFormatting sqref="BZ21:BZ22">
    <cfRule type="cellIs" dxfId="122" priority="1288" operator="equal">
      <formula>"ח"</formula>
    </cfRule>
    <cfRule type="cellIs" dxfId="121" priority="1273" operator="equal">
      <formula>"ח"</formula>
    </cfRule>
  </conditionalFormatting>
  <conditionalFormatting sqref="BZ22">
    <cfRule type="cellIs" dxfId="120" priority="1265" operator="equal">
      <formula>"כש"</formula>
    </cfRule>
    <cfRule type="cellIs" dxfId="119" priority="1266" operator="equal">
      <formula>"כ"</formula>
    </cfRule>
    <cfRule type="cellIs" dxfId="118" priority="1264" stopIfTrue="1" operator="equal">
      <formula>"ח"</formula>
    </cfRule>
  </conditionalFormatting>
  <conditionalFormatting sqref="BZ25">
    <cfRule type="cellIs" dxfId="117" priority="1200" operator="equal">
      <formula>"ח"</formula>
    </cfRule>
    <cfRule type="cellIs" dxfId="116" priority="1198" operator="equal">
      <formula>"כש"</formula>
    </cfRule>
    <cfRule type="cellIs" dxfId="115" priority="1201" operator="equal">
      <formula>"ח"</formula>
    </cfRule>
    <cfRule type="cellIs" dxfId="114" priority="1199" operator="equal">
      <formula>"כ"</formula>
    </cfRule>
    <cfRule type="cellIs" dxfId="113" priority="1207" operator="equal">
      <formula>"ח"</formula>
    </cfRule>
  </conditionalFormatting>
  <conditionalFormatting sqref="BZ25:BZ26">
    <cfRule type="cellIs" dxfId="112" priority="1226" operator="equal">
      <formula>"ח"</formula>
    </cfRule>
    <cfRule type="cellIs" dxfId="111" priority="1241" operator="equal">
      <formula>"ח"</formula>
    </cfRule>
  </conditionalFormatting>
  <conditionalFormatting sqref="BZ26">
    <cfRule type="cellIs" dxfId="110" priority="1218" operator="equal">
      <formula>"כש"</formula>
    </cfRule>
    <cfRule type="cellIs" dxfId="109" priority="1217" stopIfTrue="1" operator="equal">
      <formula>"ח"</formula>
    </cfRule>
    <cfRule type="cellIs" dxfId="108" priority="1219" operator="equal">
      <formula>"כ"</formula>
    </cfRule>
  </conditionalFormatting>
  <conditionalFormatting sqref="BZ29">
    <cfRule type="cellIs" dxfId="107" priority="1152" operator="equal">
      <formula>"כ"</formula>
    </cfRule>
    <cfRule type="cellIs" dxfId="106" priority="1153" operator="equal">
      <formula>"ח"</formula>
    </cfRule>
    <cfRule type="cellIs" dxfId="105" priority="1154" operator="equal">
      <formula>"ח"</formula>
    </cfRule>
    <cfRule type="cellIs" dxfId="104" priority="1151" operator="equal">
      <formula>"כש"</formula>
    </cfRule>
    <cfRule type="cellIs" dxfId="103" priority="1160" operator="equal">
      <formula>"ח"</formula>
    </cfRule>
  </conditionalFormatting>
  <conditionalFormatting sqref="BZ29:BZ30">
    <cfRule type="cellIs" dxfId="102" priority="1194" operator="equal">
      <formula>"ח"</formula>
    </cfRule>
    <cfRule type="cellIs" dxfId="101" priority="1179" operator="equal">
      <formula>"ח"</formula>
    </cfRule>
  </conditionalFormatting>
  <conditionalFormatting sqref="BZ30">
    <cfRule type="cellIs" dxfId="100" priority="1172" operator="equal">
      <formula>"כ"</formula>
    </cfRule>
    <cfRule type="cellIs" dxfId="99" priority="1171" operator="equal">
      <formula>"כש"</formula>
    </cfRule>
    <cfRule type="cellIs" dxfId="98" priority="1170" stopIfTrue="1" operator="equal">
      <formula>"ח"</formula>
    </cfRule>
  </conditionalFormatting>
  <conditionalFormatting sqref="BZ33">
    <cfRule type="cellIs" dxfId="97" priority="1104" operator="equal">
      <formula>"כש"</formula>
    </cfRule>
    <cfRule type="cellIs" dxfId="96" priority="1113" operator="equal">
      <formula>"ח"</formula>
    </cfRule>
    <cfRule type="cellIs" dxfId="95" priority="1106" operator="equal">
      <formula>"ח"</formula>
    </cfRule>
    <cfRule type="cellIs" dxfId="94" priority="1107" operator="equal">
      <formula>"ח"</formula>
    </cfRule>
    <cfRule type="cellIs" dxfId="93" priority="1105" operator="equal">
      <formula>"כ"</formula>
    </cfRule>
  </conditionalFormatting>
  <conditionalFormatting sqref="BZ33:BZ34">
    <cfRule type="cellIs" dxfId="92" priority="1132" operator="equal">
      <formula>"ח"</formula>
    </cfRule>
    <cfRule type="cellIs" dxfId="91" priority="1147" operator="equal">
      <formula>"ח"</formula>
    </cfRule>
  </conditionalFormatting>
  <conditionalFormatting sqref="BZ34">
    <cfRule type="cellIs" dxfId="90" priority="1123" stopIfTrue="1" operator="equal">
      <formula>"ח"</formula>
    </cfRule>
    <cfRule type="cellIs" dxfId="89" priority="1125" operator="equal">
      <formula>"כ"</formula>
    </cfRule>
    <cfRule type="cellIs" dxfId="88" priority="1124" operator="equal">
      <formula>"כש"</formula>
    </cfRule>
  </conditionalFormatting>
  <conditionalFormatting sqref="CB5">
    <cfRule type="cellIs" dxfId="87" priority="1438" operator="equal">
      <formula>"כ"</formula>
    </cfRule>
    <cfRule type="cellIs" dxfId="86" priority="1437" operator="equal">
      <formula>"כש"</formula>
    </cfRule>
    <cfRule type="cellIs" dxfId="85" priority="1439" operator="equal">
      <formula>"ח"</formula>
    </cfRule>
  </conditionalFormatting>
  <conditionalFormatting sqref="CB5:CB6">
    <cfRule type="cellIs" dxfId="84" priority="1460" operator="equal">
      <formula>"ח"</formula>
    </cfRule>
    <cfRule type="cellIs" dxfId="83" priority="1475" operator="equal">
      <formula>"ח"</formula>
    </cfRule>
  </conditionalFormatting>
  <conditionalFormatting sqref="CB6">
    <cfRule type="cellIs" dxfId="82" priority="1449" stopIfTrue="1" operator="equal">
      <formula>"ח"</formula>
    </cfRule>
    <cfRule type="cellIs" dxfId="81" priority="1450" operator="equal">
      <formula>"כש"</formula>
    </cfRule>
    <cfRule type="cellIs" dxfId="80" priority="1451" operator="equal">
      <formula>"כ"</formula>
    </cfRule>
  </conditionalFormatting>
  <conditionalFormatting sqref="CB7:CB8 CB11:CB12 CB15:CB16 CB19:CB20 CB23:CB24 CB27:CB28 CB31:CB32 CB35">
    <cfRule type="cellIs" dxfId="79" priority="1688" operator="equal">
      <formula>"ח"</formula>
    </cfRule>
  </conditionalFormatting>
  <conditionalFormatting sqref="CB9">
    <cfRule type="cellIs" dxfId="78" priority="1390" operator="equal">
      <formula>"כש"</formula>
    </cfRule>
    <cfRule type="cellIs" dxfId="77" priority="1391" operator="equal">
      <formula>"כ"</formula>
    </cfRule>
    <cfRule type="cellIs" dxfId="76" priority="1392" operator="equal">
      <formula>"ח"</formula>
    </cfRule>
  </conditionalFormatting>
  <conditionalFormatting sqref="CB9:CB10">
    <cfRule type="cellIs" dxfId="75" priority="1428" operator="equal">
      <formula>"ח"</formula>
    </cfRule>
    <cfRule type="cellIs" dxfId="74" priority="1413" operator="equal">
      <formula>"ח"</formula>
    </cfRule>
  </conditionalFormatting>
  <conditionalFormatting sqref="CB10">
    <cfRule type="cellIs" dxfId="73" priority="1402" stopIfTrue="1" operator="equal">
      <formula>"ח"</formula>
    </cfRule>
    <cfRule type="cellIs" dxfId="72" priority="1403" operator="equal">
      <formula>"כש"</formula>
    </cfRule>
    <cfRule type="cellIs" dxfId="71" priority="1404" operator="equal">
      <formula>"כ"</formula>
    </cfRule>
  </conditionalFormatting>
  <conditionalFormatting sqref="CB13">
    <cfRule type="cellIs" dxfId="70" priority="1344" operator="equal">
      <formula>"כ"</formula>
    </cfRule>
    <cfRule type="cellIs" dxfId="69" priority="1345" operator="equal">
      <formula>"ח"</formula>
    </cfRule>
    <cfRule type="cellIs" dxfId="68" priority="1343" operator="equal">
      <formula>"כש"</formula>
    </cfRule>
  </conditionalFormatting>
  <conditionalFormatting sqref="CB13:CB14">
    <cfRule type="cellIs" dxfId="67" priority="1366" operator="equal">
      <formula>"ח"</formula>
    </cfRule>
    <cfRule type="cellIs" dxfId="66" priority="1381" operator="equal">
      <formula>"ח"</formula>
    </cfRule>
  </conditionalFormatting>
  <conditionalFormatting sqref="CB14">
    <cfRule type="cellIs" dxfId="65" priority="1356" operator="equal">
      <formula>"כש"</formula>
    </cfRule>
    <cfRule type="cellIs" dxfId="64" priority="1357" operator="equal">
      <formula>"כ"</formula>
    </cfRule>
    <cfRule type="cellIs" dxfId="63" priority="1355" stopIfTrue="1" operator="equal">
      <formula>"ח"</formula>
    </cfRule>
  </conditionalFormatting>
  <conditionalFormatting sqref="CB17">
    <cfRule type="cellIs" dxfId="62" priority="1297" operator="equal">
      <formula>"כ"</formula>
    </cfRule>
    <cfRule type="cellIs" dxfId="61" priority="1298" operator="equal">
      <formula>"ח"</formula>
    </cfRule>
    <cfRule type="cellIs" dxfId="60" priority="1296" operator="equal">
      <formula>"כש"</formula>
    </cfRule>
  </conditionalFormatting>
  <conditionalFormatting sqref="CB17:CB18">
    <cfRule type="cellIs" dxfId="59" priority="1319" operator="equal">
      <formula>"ח"</formula>
    </cfRule>
    <cfRule type="cellIs" dxfId="58" priority="1334" operator="equal">
      <formula>"ח"</formula>
    </cfRule>
  </conditionalFormatting>
  <conditionalFormatting sqref="CB18">
    <cfRule type="cellIs" dxfId="57" priority="1308" stopIfTrue="1" operator="equal">
      <formula>"ח"</formula>
    </cfRule>
    <cfRule type="cellIs" dxfId="56" priority="1309" operator="equal">
      <formula>"כש"</formula>
    </cfRule>
    <cfRule type="cellIs" dxfId="55" priority="1310" operator="equal">
      <formula>"כ"</formula>
    </cfRule>
  </conditionalFormatting>
  <conditionalFormatting sqref="CB21">
    <cfRule type="cellIs" dxfId="54" priority="1251" operator="equal">
      <formula>"ח"</formula>
    </cfRule>
    <cfRule type="cellIs" dxfId="53" priority="1250" operator="equal">
      <formula>"כ"</formula>
    </cfRule>
    <cfRule type="cellIs" dxfId="52" priority="1249" operator="equal">
      <formula>"כש"</formula>
    </cfRule>
  </conditionalFormatting>
  <conditionalFormatting sqref="CB21:CB22">
    <cfRule type="cellIs" dxfId="51" priority="1287" operator="equal">
      <formula>"ח"</formula>
    </cfRule>
    <cfRule type="cellIs" dxfId="50" priority="1272" operator="equal">
      <formula>"ח"</formula>
    </cfRule>
  </conditionalFormatting>
  <conditionalFormatting sqref="CB22">
    <cfRule type="cellIs" dxfId="49" priority="1263" operator="equal">
      <formula>"כ"</formula>
    </cfRule>
    <cfRule type="cellIs" dxfId="48" priority="1261" stopIfTrue="1" operator="equal">
      <formula>"ח"</formula>
    </cfRule>
    <cfRule type="cellIs" dxfId="47" priority="1262" operator="equal">
      <formula>"כש"</formula>
    </cfRule>
  </conditionalFormatting>
  <conditionalFormatting sqref="CB25">
    <cfRule type="cellIs" dxfId="46" priority="1203" operator="equal">
      <formula>"כ"</formula>
    </cfRule>
    <cfRule type="cellIs" dxfId="45" priority="1204" operator="equal">
      <formula>"ח"</formula>
    </cfRule>
    <cfRule type="cellIs" dxfId="44" priority="1202" operator="equal">
      <formula>"כש"</formula>
    </cfRule>
  </conditionalFormatting>
  <conditionalFormatting sqref="CB25:CB26">
    <cfRule type="cellIs" dxfId="43" priority="1240" operator="equal">
      <formula>"ח"</formula>
    </cfRule>
    <cfRule type="cellIs" dxfId="42" priority="1225" operator="equal">
      <formula>"ח"</formula>
    </cfRule>
  </conditionalFormatting>
  <conditionalFormatting sqref="CB26">
    <cfRule type="cellIs" dxfId="41" priority="1214" stopIfTrue="1" operator="equal">
      <formula>"ח"</formula>
    </cfRule>
    <cfRule type="cellIs" dxfId="40" priority="1215" operator="equal">
      <formula>"כש"</formula>
    </cfRule>
    <cfRule type="cellIs" dxfId="39" priority="1216" operator="equal">
      <formula>"כ"</formula>
    </cfRule>
  </conditionalFormatting>
  <conditionalFormatting sqref="CB29">
    <cfRule type="cellIs" dxfId="38" priority="1155" operator="equal">
      <formula>"כש"</formula>
    </cfRule>
    <cfRule type="cellIs" dxfId="37" priority="1157" operator="equal">
      <formula>"ח"</formula>
    </cfRule>
    <cfRule type="cellIs" dxfId="36" priority="1156" operator="equal">
      <formula>"כ"</formula>
    </cfRule>
  </conditionalFormatting>
  <conditionalFormatting sqref="CB29:CB30">
    <cfRule type="cellIs" dxfId="35" priority="1193" operator="equal">
      <formula>"ח"</formula>
    </cfRule>
    <cfRule type="cellIs" dxfId="34" priority="1178" operator="equal">
      <formula>"ח"</formula>
    </cfRule>
  </conditionalFormatting>
  <conditionalFormatting sqref="CB30">
    <cfRule type="cellIs" dxfId="33" priority="1167" stopIfTrue="1" operator="equal">
      <formula>"ח"</formula>
    </cfRule>
    <cfRule type="cellIs" dxfId="32" priority="1168" operator="equal">
      <formula>"כש"</formula>
    </cfRule>
    <cfRule type="cellIs" dxfId="31" priority="1169" operator="equal">
      <formula>"כ"</formula>
    </cfRule>
  </conditionalFormatting>
  <conditionalFormatting sqref="CB33">
    <cfRule type="cellIs" dxfId="30" priority="1109" operator="equal">
      <formula>"כ"</formula>
    </cfRule>
    <cfRule type="cellIs" dxfId="29" priority="1108" operator="equal">
      <formula>"כש"</formula>
    </cfRule>
    <cfRule type="cellIs" dxfId="28" priority="1110" operator="equal">
      <formula>"ח"</formula>
    </cfRule>
  </conditionalFormatting>
  <conditionalFormatting sqref="CB33:CB34">
    <cfRule type="cellIs" dxfId="27" priority="1131" operator="equal">
      <formula>"ח"</formula>
    </cfRule>
    <cfRule type="cellIs" dxfId="26" priority="1146" operator="equal">
      <formula>"ח"</formula>
    </cfRule>
  </conditionalFormatting>
  <conditionalFormatting sqref="CB34">
    <cfRule type="cellIs" dxfId="25" priority="1121" operator="equal">
      <formula>"כש"</formula>
    </cfRule>
    <cfRule type="cellIs" dxfId="24" priority="1122" operator="equal">
      <formula>"כ"</formula>
    </cfRule>
    <cfRule type="cellIs" dxfId="23" priority="1120" stopIfTrue="1" operator="equal">
      <formula>"ח"</formula>
    </cfRule>
  </conditionalFormatting>
  <conditionalFormatting sqref="CC1:CE4 AW5:BM5 AW34:AW35 BU9 AW9:BM9 BU8:CB8 BU13 AW13:BM13 BU12:CB12 BU17 AW17:BM17 BU16:CB16 BU21 AW21:BM21 BU20:CB20 BU25 AW25:BM25 BU24:CB24 BU29 AW29:BM29 BU28:CB28 BU33 AW33:BM33 BU32:CB32 AW8:BE8 BM8 BM7:CB7 AW12:BE12 BM12 BM11:CB11 AW16:BE16 BM16 BM15:CB15 AW20:BE20 BM20 BM19:CB19 AW24:BE24 BM24 BM23:CB23 AW28:BE28 BM28 BM27:CB27 AW32:BE32 BM32 BM31:CB31 BE7 AW6:AW7 BE6:BU6 AW10:AW11 BE11 BE10:BU10 AW14:AW15 BE15 BE14:BU14 AW18:AW19 BE19 BE18:BU18 AW22:AW23 BE23 BE22:BU22 AW26:AW27 BE27 BE26:BU26 AW30:AW31 BE31 BE30:BU30 BE34:BU34 BE35 BU5 BM35:CB35">
    <cfRule type="cellIs" dxfId="22" priority="1513" operator="equal">
      <formula>"ל"</formula>
    </cfRule>
    <cfRule type="cellIs" dxfId="21" priority="1514" operator="equal">
      <formula>"י"</formula>
    </cfRule>
  </conditionalFormatting>
  <conditionalFormatting sqref="CC1:CE4 BE6:BU6 BE7 BM7:CB7 AW8:BE8 BM8 BU8:CB8 AW9:BM9 BU9 BE10:BU10 BE11 BM11:CB11 AW12:BE12 BM12 BU12:CB12 AW13:BM13 BU13 BE14:BU14 BE15 BM15:CB15 AW16:BE16 BM16 BU16:CB16 AW17:BM17 BU17 BE18:BU18 BE19 BM19:CB19 AW20:BE20 BM20 BU20:CB20 AW21:BM21 BU21 BE22:BU22 BE23 BM23:CB23 AW24:BE24 BM24 BU24:CB24 AW25:BM25 BU25 BE26:BU26 BE27 BM27:CB27 AW28:BE28 BM28 BU28:CB28 AW29:BM29 BU29 BE30:BU30 BE31 BM31:CB31 AW32:BE32 BM32 BU32:CB32 AW33:BM33 BU33 BE34:BU34">
    <cfRule type="cellIs" dxfId="20" priority="1516" operator="equal">
      <formula>"כמ"</formula>
    </cfRule>
    <cfRule type="cellIs" dxfId="19" priority="1517" operator="equal">
      <formula>"ק"</formula>
    </cfRule>
    <cfRule type="cellIs" dxfId="18" priority="1518" operator="equal">
      <formula>"מ"</formula>
    </cfRule>
    <cfRule type="cellIs" dxfId="17" priority="1519" operator="equal">
      <formula>"מנוחה"</formula>
    </cfRule>
    <cfRule type="cellIs" dxfId="16" priority="1520" operator="equal">
      <formula>"מיל"</formula>
    </cfRule>
  </conditionalFormatting>
  <conditionalFormatting sqref="CC1:CE4 BT35:CB35">
    <cfRule type="cellIs" dxfId="15" priority="1522" operator="equal">
      <formula>"כש"</formula>
    </cfRule>
    <cfRule type="cellIs" dxfId="14" priority="1523" operator="equal">
      <formula>"כ"</formula>
    </cfRule>
  </conditionalFormatting>
  <conditionalFormatting sqref="CC1:CE4 BU5 BE6:BU6 BE7 BM7:CB7 AW8:BE8 BM8 BU8:CB8 AW9:BM9 BU9 BE10:BU10 BE11 BM11:CB11 AW12:BE12 BM12 BU12:CB12 AW13:BM13 BU13 BE14:BU14 AW14:AW15 BE15 BM15:CB15 AW16:BE16 BM16 BU16:CB16 AW17:BM17 BU17 BE18:BU18 AW18:AW19 BE19 BM19:CB19 AW20:BE20 BM20 BU20:CB20 AW21:BM21 BU21 BE22:BU22 AW22:AW23 BE23 BM23:CB23 AW24:BE24 BM24 BU24:CB24 AW25:BM25 BU25 BE26:BU26 AW26:AW27 BE27 BM27:CB27 AW28:BE28 BM28 BU28:CB28 AW29:BM29 BU29 BE30:BU30 AW30:AW31 BE31 BM31:CB31 AW32:BE32 BM32 BU32:CB32 AW33:BM33 BU33 BE34:BU34 AW34:AW35 BE35 BM35:CB35">
    <cfRule type="cellIs" dxfId="13" priority="1515" operator="equal">
      <formula>"כמש"</formula>
    </cfRule>
  </conditionalFormatting>
  <conditionalFormatting sqref="CC1:CE4">
    <cfRule type="cellIs" dxfId="12" priority="1521" operator="equal">
      <formula>"ח"</formula>
    </cfRule>
  </conditionalFormatting>
  <conditionalFormatting sqref="CE5 CC5:CD35">
    <cfRule type="cellIs" dxfId="11" priority="1488" operator="equal">
      <formula>"ח"</formula>
    </cfRule>
    <cfRule type="cellIs" dxfId="10" priority="1489" operator="equal">
      <formula>"כש"</formula>
    </cfRule>
    <cfRule type="cellIs" dxfId="9" priority="1490" operator="equal">
      <formula>"כ"</formula>
    </cfRule>
    <cfRule type="cellIs" dxfId="8" priority="1481" operator="equal">
      <formula>"י"</formula>
    </cfRule>
    <cfRule type="cellIs" dxfId="7" priority="1482" operator="equal">
      <formula>"כמש"</formula>
    </cfRule>
    <cfRule type="cellIs" dxfId="6" priority="1483" operator="equal">
      <formula>"כמ"</formula>
    </cfRule>
    <cfRule type="cellIs" dxfId="5" priority="1484" operator="equal">
      <formula>"ק"</formula>
    </cfRule>
    <cfRule type="cellIs" dxfId="4" priority="1485" operator="equal">
      <formula>"מ"</formula>
    </cfRule>
    <cfRule type="cellIs" dxfId="3" priority="1486" operator="equal">
      <formula>"מנוחה"</formula>
    </cfRule>
    <cfRule type="cellIs" dxfId="2" priority="1487" operator="equal">
      <formula>"מיל"</formula>
    </cfRule>
    <cfRule type="cellIs" dxfId="1" priority="1480" operator="equal">
      <formula>"ל"</formula>
    </cfRule>
  </conditionalFormatting>
  <conditionalFormatting sqref="CF5:CG35">
    <cfRule type="cellIs" dxfId="0" priority="1913" operator="lessThan">
      <formula>4</formula>
    </cfRule>
  </conditionalFormatting>
  <hyperlinks>
    <hyperlink ref="X4:Y4" r:id="rId11" tooltip="עדכון במייל" display="עדכון במייל" xr:uid="{00000000-0004-0000-0B00-000000000000}"/>
  </hyperlinks>
  <pageMargins left="0.7" right="0.7" top="0.75" bottom="0.75" header="0.3" footer="0.3"/>
  <pageSetup paperSize="9" orientation="portrait" r:id="rId12"/>
  <legacyDrawing r:id="rId1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B00-000000000000}">
          <x14:formula1>
            <xm:f>מיילים!$M$2:$M$38</xm:f>
          </x14:formula1>
          <xm:sqref>BQ3:BR3 BC3</xm:sqref>
        </x14:dataValidation>
        <x14:dataValidation type="list" allowBlank="1" showInputMessage="1" showErrorMessage="1" xr:uid="{00000000-0002-0000-0B00-000001000000}">
          <x14:formula1>
            <xm:f>מיילים!$M$2:$M$31</xm:f>
          </x14:formula1>
          <xm:sqref>P3:Q3 AW3:AZ3 BS3:CA3 BE3:BO3 AD3:AE3 D3:N3</xm:sqref>
        </x14:dataValidation>
        <x14:dataValidation type="list" allowBlank="1" showInputMessage="1" showErrorMessage="1" xr:uid="{00000000-0002-0000-0B00-000002000000}">
          <x14:formula1>
            <xm:f>מיילים!$M$3:$M$37</xm:f>
          </x14:formula1>
          <xm:sqref>R3:S3 V3:W3</xm:sqref>
        </x14:dataValidation>
        <x14:dataValidation type="list" allowBlank="1" showInputMessage="1" showErrorMessage="1" xr:uid="{00000000-0002-0000-0B00-000003000000}">
          <x14:formula1>
            <xm:f>מיילים!$M$2:$M$36</xm:f>
          </x14:formula1>
          <xm:sqref>T3:U3</xm:sqref>
        </x14:dataValidation>
        <x14:dataValidation type="list" allowBlank="1" showInputMessage="1" showErrorMessage="1" xr:uid="{00000000-0002-0000-0B00-000004000000}">
          <x14:formula1>
            <xm:f>מקרא!$B$5:$B$60</xm:f>
          </x14:formula1>
          <xm:sqref>AZ35 BB35 BD35 AX35 BX6 BZ6 CB6 BV6 BX10 BZ10 CB10 BV10 BX14 BZ14 CB14 BV14 BX18 BZ18 CB18 BV18 BX22 BZ22 CB22 BV22 BX26 BZ26 CB26 BV26 BX30 BZ30 CB30 BV30 BX34 BZ34 CB34 BV34 BP9 BR9 BT9 BN9 BP13 BR13 BT13 BN13 BP17 BR17 BT17 BN17 BP21 BR21 BT21 BN21 BP25 BR25 BT25 BN25 BP29 BR29 BT29 BN29 BP33 BR33 BT33 BN33 BH8 BJ8 BL8 BF8 BH12 BJ12 BL12 BF12 BH16 BJ16 BL16 BF16 BH20 BJ20 BL20 BF20 BH24 BJ24 BL24 BF24 BH28 BJ28 BL28 BF28 BH32 BJ32 BL32 BF32 AZ7 BB7 BD7 AX7 AZ11 BB11 BD11 AX11 AZ15 BB15 BD15 AX15 AZ19 BB19 BD19 AX19 AZ23 BB23 BD23 AX23 AZ27 BB27 BD27 AX27 AZ31 BB31 BD31 AX31 BP5 BR5 BT5 BN5</xm:sqref>
        </x14:dataValidation>
        <x14:dataValidation type="list" allowBlank="1" showInputMessage="1" xr:uid="{00000000-0002-0000-0B00-000005000000}">
          <x14:formula1>
            <xm:f>מקרא!$B$5:$B$60</xm:f>
          </x14:formula1>
          <xm:sqref>AI18:AO18 AH21:AO23 BR34:BR35 BT34:BT35 BN34:BN35 AI24:AO25 BV33 BF33:BL35 AH19:AH20 AJ19:AO20 R14:Y15 BU5:BU35 BV5 BX5 BW5:BW6 CA5:CA6 BY5:BY6 BZ5 CB5 BV7:CB8 BV9 BX9 BW9:BW10 CA9:CA10 BY9:BY10 BZ9 CB9 BV11:CB12 BV13 BX13 BW13:BW14 CA13:CA14 BY13:BY14 BZ13 CB13 BV15:CB16 BV17 BX17 BW17:BW18 CA17:CA18 BY17:BY18 BZ17 CB17 BV19:CB20 BV21 BX21 BW21:BW22 CA21:CA22 BY21:BY22 BZ21 CB21 BV23:CB24 BV25 BX25 BW25:BW26 CA25:CA26 BY25:BY26 BZ25 CB25 BV27:CB28 BV29 BX29 BW29:BW30 CA29:CA30 BY29:BY30 BZ29 CB29 BV31:CB32 BV35:CB35 BX33 BW33:BW34 CA33:CA34 BY33:BY34 BZ33 CB33 BT6:BT8 BR6:BR8 BP6:BP8 BN6:BN8 BN10:BN12 BT10:BT12 BR10:BR12 BP10:BP12 BP14:BP16 BN14:BN16 BT14:BT16 BR14:BR16 BR18:BR20 BP18:BP20 BN18:BN20 BT18:BT20 BT22:BT24 BR22:BR24 BP22:BP24 BN22:BN24 BN26:BN28 BP34:BP35 BT26:BT28 BR26:BR28 BP26:BP28 BP30:BP32 BO5:BO35 BQ5:BQ35 AX34 BN30:BN32 BT30:BT32 BR30:BR32 BF31 BM5:BM35 BF5:BL6 BF7 BH7 BG7:BG8 BK7:BK8 BI7:BI8 BJ7 BL7 BF9:BL10 BF11 BH11 BG11:BG12 BK11:BK12 BI11:BI12 BJ11 BL11 BF13:BL14 BF15 BH15 BG15:BG16 BK15:BK16 BI15:BI16 BJ15 BL15 BF17:BL18 BF19 BH19 BG19:BG20 BK19:BK20 BI19:BI20 BJ19 BL19 BF21:BL22 BF23 BH23 BG23:BG24 BK23:BK24 BI23:BI24 BJ23 BL23 BF25:BL26 BF27 BH27 BG27:BG28 BK27:BK28 BI27:BI28 BJ27 BL27 BF29:BL30 BS5:BS35 BH31 BG31:BG32 BK31:BK32 BI31:BI32 BJ31 BL31 AW5:AW35 BE5:BE35 AX5:BD5 AX6 AZ6 AY6:AY7 BC6:BC7 BA6:BA7 BB6 BD6 AX8:BD9 AX10 AZ10 AY10:AY11 BC10:BC11 BA10:BA11 BB10 BD10 AX12:BD13 AX14 AZ14 AY14:AY15 BC14:BC15 BA14:BA15 BB14 BD14 AX16:BD17 AX18 AZ18 AY18:AY19 BC18:BC19 BA18:BA19 BB18 BD18 AX20:BD21 AX22 AZ22 AY22:AY23 BC22:BC23 BA22:BA23 BB22 BD22 AX24:BD25 AX26 AZ26 AY26:AY27 BC26:BC27 BA26:BA27 BB26 BD26 AX28:BD29 AX30 AZ30 AY30:AY31 BC30:BC31 BA30:BA31 BB30 BD30 AX32:BD33 AZ34 AY34:AY35 BC34:BC35 BA34:BA35 BB34 BD34 D25:AG25 Z12:AF17 AG10:AO17 D18:AC24 AF18:AG24 D10:AC11 AF10:AF11 D14:P15 D12:Y13 AD10:AE24 D16:Y17 D26:AO35 D5:AO9</xm:sqref>
        </x14:dataValidation>
        <x14:dataValidation type="list" allowBlank="1" showInputMessage="1" showErrorMessage="1" xr:uid="{00000000-0002-0000-0B00-000006000000}">
          <x14:formula1>
            <xm:f>מיילים!$M$2:$M$40</xm:f>
          </x14:formula1>
          <xm:sqref>X3:AO3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B60"/>
  <sheetViews>
    <sheetView rightToLeft="1" workbookViewId="0">
      <selection activeCell="B10" sqref="B10"/>
    </sheetView>
  </sheetViews>
  <sheetFormatPr defaultRowHeight="14.25"/>
  <cols>
    <col min="1" max="1" width="14.5" bestFit="1" customWidth="1"/>
    <col min="2" max="2" width="8.625" bestFit="1" customWidth="1"/>
    <col min="9" max="9" width="14.75" bestFit="1" customWidth="1"/>
    <col min="10" max="10" width="8.625" bestFit="1" customWidth="1"/>
  </cols>
  <sheetData>
    <row r="2" spans="1:2" ht="15" thickBot="1"/>
    <row r="3" spans="1:2" ht="16.5" thickBot="1">
      <c r="A3" s="608" t="s">
        <v>43</v>
      </c>
      <c r="B3" s="609"/>
    </row>
    <row r="4" spans="1:2" ht="15.75">
      <c r="A4" s="29" t="s">
        <v>66</v>
      </c>
      <c r="B4" s="30" t="s">
        <v>44</v>
      </c>
    </row>
    <row r="5" spans="1:2" ht="15.75">
      <c r="A5" s="43" t="s">
        <v>144</v>
      </c>
      <c r="B5" s="44"/>
    </row>
    <row r="6" spans="1:2" ht="15.75">
      <c r="A6" s="45" t="s">
        <v>50</v>
      </c>
      <c r="B6" s="46" t="s">
        <v>51</v>
      </c>
    </row>
    <row r="7" spans="1:2" ht="15.75">
      <c r="A7" s="45" t="s">
        <v>52</v>
      </c>
      <c r="B7" s="47" t="s">
        <v>53</v>
      </c>
    </row>
    <row r="8" spans="1:2" ht="15.75">
      <c r="A8" s="45" t="s">
        <v>63</v>
      </c>
      <c r="B8" s="48" t="s">
        <v>136</v>
      </c>
    </row>
    <row r="9" spans="1:2" ht="15.75">
      <c r="A9" s="45" t="s">
        <v>64</v>
      </c>
      <c r="B9" s="48" t="s">
        <v>137</v>
      </c>
    </row>
    <row r="10" spans="1:2" ht="15.75">
      <c r="A10" s="45" t="s">
        <v>49</v>
      </c>
      <c r="B10" s="62" t="s">
        <v>41</v>
      </c>
    </row>
    <row r="11" spans="1:2" ht="15">
      <c r="A11" s="45" t="s">
        <v>56</v>
      </c>
      <c r="B11" s="49" t="s">
        <v>57</v>
      </c>
    </row>
    <row r="12" spans="1:2" ht="15">
      <c r="A12" s="45" t="s">
        <v>58</v>
      </c>
      <c r="B12" s="50" t="s">
        <v>58</v>
      </c>
    </row>
    <row r="13" spans="1:2" ht="15">
      <c r="A13" s="45" t="s">
        <v>59</v>
      </c>
      <c r="B13" s="51" t="s">
        <v>65</v>
      </c>
    </row>
    <row r="14" spans="1:2" ht="15">
      <c r="A14" s="45" t="s">
        <v>60</v>
      </c>
      <c r="B14" s="52" t="s">
        <v>61</v>
      </c>
    </row>
    <row r="15" spans="1:2" ht="15">
      <c r="A15" s="45" t="s">
        <v>62</v>
      </c>
      <c r="B15" s="53" t="s">
        <v>42</v>
      </c>
    </row>
    <row r="16" spans="1:2" ht="15">
      <c r="A16" s="45" t="s">
        <v>38</v>
      </c>
      <c r="B16" s="54" t="s">
        <v>33</v>
      </c>
    </row>
    <row r="17" spans="1:2" ht="15">
      <c r="A17" s="45" t="s">
        <v>48</v>
      </c>
      <c r="B17" s="54" t="s">
        <v>40</v>
      </c>
    </row>
    <row r="18" spans="1:2" ht="15">
      <c r="A18" s="45" t="s">
        <v>39</v>
      </c>
      <c r="B18" s="55" t="s">
        <v>34</v>
      </c>
    </row>
    <row r="19" spans="1:2" ht="15">
      <c r="A19" s="45" t="s">
        <v>46</v>
      </c>
      <c r="B19" s="56" t="s">
        <v>47</v>
      </c>
    </row>
    <row r="20" spans="1:2" ht="15">
      <c r="A20" s="52" t="s">
        <v>45</v>
      </c>
      <c r="B20" s="54">
        <v>2</v>
      </c>
    </row>
    <row r="21" spans="1:2" ht="15">
      <c r="A21" s="45" t="s">
        <v>54</v>
      </c>
      <c r="B21" s="55" t="s">
        <v>55</v>
      </c>
    </row>
    <row r="22" spans="1:2" ht="15">
      <c r="A22" s="39" t="s">
        <v>146</v>
      </c>
      <c r="B22" s="52" t="s">
        <v>146</v>
      </c>
    </row>
    <row r="23" spans="1:2" ht="15">
      <c r="A23" s="39" t="s">
        <v>147</v>
      </c>
      <c r="B23" s="52" t="s">
        <v>147</v>
      </c>
    </row>
    <row r="24" spans="1:2" ht="15">
      <c r="A24" s="39" t="s">
        <v>148</v>
      </c>
      <c r="B24" s="52" t="s">
        <v>184</v>
      </c>
    </row>
    <row r="25" spans="1:2" ht="15">
      <c r="A25" s="40" t="s">
        <v>149</v>
      </c>
      <c r="B25" s="52" t="s">
        <v>150</v>
      </c>
    </row>
    <row r="26" spans="1:2" ht="15">
      <c r="A26" s="39" t="s">
        <v>151</v>
      </c>
      <c r="B26" s="52" t="s">
        <v>151</v>
      </c>
    </row>
    <row r="27" spans="1:2" ht="15">
      <c r="A27" s="39" t="s">
        <v>217</v>
      </c>
      <c r="B27" s="54" t="s">
        <v>15</v>
      </c>
    </row>
    <row r="28" spans="1:2">
      <c r="A28" s="42" t="s">
        <v>185</v>
      </c>
      <c r="B28" s="42" t="s">
        <v>186</v>
      </c>
    </row>
    <row r="29" spans="1:2">
      <c r="A29" s="42" t="s">
        <v>187</v>
      </c>
      <c r="B29" s="42" t="s">
        <v>188</v>
      </c>
    </row>
    <row r="30" spans="1:2">
      <c r="A30" s="42" t="s">
        <v>189</v>
      </c>
      <c r="B30" s="42" t="s">
        <v>190</v>
      </c>
    </row>
    <row r="31" spans="1:2">
      <c r="A31" s="42" t="s">
        <v>191</v>
      </c>
      <c r="B31" s="42" t="s">
        <v>192</v>
      </c>
    </row>
    <row r="32" spans="1:2">
      <c r="A32" s="42" t="s">
        <v>193</v>
      </c>
      <c r="B32" s="42" t="s">
        <v>194</v>
      </c>
    </row>
    <row r="33" spans="1:2">
      <c r="A33" s="42" t="s">
        <v>195</v>
      </c>
      <c r="B33" s="42" t="s">
        <v>196</v>
      </c>
    </row>
    <row r="34" spans="1:2">
      <c r="A34" s="42" t="s">
        <v>197</v>
      </c>
      <c r="B34" s="42" t="s">
        <v>198</v>
      </c>
    </row>
    <row r="35" spans="1:2">
      <c r="A35" s="42" t="s">
        <v>199</v>
      </c>
      <c r="B35" s="42" t="s">
        <v>200</v>
      </c>
    </row>
    <row r="36" spans="1:2">
      <c r="A36" s="42" t="s">
        <v>201</v>
      </c>
      <c r="B36" s="42" t="s">
        <v>202</v>
      </c>
    </row>
    <row r="37" spans="1:2">
      <c r="A37" s="42" t="s">
        <v>203</v>
      </c>
      <c r="B37" s="42" t="s">
        <v>204</v>
      </c>
    </row>
    <row r="38" spans="1:2">
      <c r="A38" s="42" t="s">
        <v>205</v>
      </c>
      <c r="B38" s="42" t="s">
        <v>206</v>
      </c>
    </row>
    <row r="39" spans="1:2">
      <c r="A39" s="42" t="s">
        <v>207</v>
      </c>
      <c r="B39" s="42" t="s">
        <v>208</v>
      </c>
    </row>
    <row r="40" spans="1:2">
      <c r="A40" s="42" t="s">
        <v>209</v>
      </c>
      <c r="B40" s="42" t="s">
        <v>210</v>
      </c>
    </row>
    <row r="41" spans="1:2">
      <c r="A41" s="42" t="s">
        <v>211</v>
      </c>
      <c r="B41" s="42" t="s">
        <v>212</v>
      </c>
    </row>
    <row r="42" spans="1:2">
      <c r="A42" s="42" t="s">
        <v>213</v>
      </c>
      <c r="B42" s="42" t="s">
        <v>214</v>
      </c>
    </row>
    <row r="43" spans="1:2">
      <c r="A43" s="42" t="s">
        <v>215</v>
      </c>
      <c r="B43" s="42" t="s">
        <v>216</v>
      </c>
    </row>
    <row r="44" spans="1:2">
      <c r="A44" s="57" t="s">
        <v>219</v>
      </c>
      <c r="B44" s="57" t="s">
        <v>218</v>
      </c>
    </row>
    <row r="45" spans="1:2">
      <c r="A45" s="57" t="s">
        <v>220</v>
      </c>
      <c r="B45" s="61" t="s">
        <v>220</v>
      </c>
    </row>
    <row r="46" spans="1:2">
      <c r="A46" s="57" t="s">
        <v>224</v>
      </c>
      <c r="B46" s="57" t="s">
        <v>224</v>
      </c>
    </row>
    <row r="47" spans="1:2">
      <c r="A47" s="57" t="s">
        <v>333</v>
      </c>
      <c r="B47" s="309" t="s">
        <v>333</v>
      </c>
    </row>
    <row r="48" spans="1:2">
      <c r="A48" s="57"/>
      <c r="B48" s="57"/>
    </row>
    <row r="49" spans="1:2">
      <c r="A49" s="57"/>
      <c r="B49" s="57"/>
    </row>
    <row r="50" spans="1:2">
      <c r="A50" s="57"/>
      <c r="B50" s="57"/>
    </row>
    <row r="51" spans="1:2">
      <c r="A51" s="57"/>
      <c r="B51" s="57"/>
    </row>
    <row r="52" spans="1:2">
      <c r="A52" s="57"/>
      <c r="B52" s="57"/>
    </row>
    <row r="53" spans="1:2">
      <c r="A53" s="57"/>
      <c r="B53" s="57"/>
    </row>
    <row r="54" spans="1:2">
      <c r="A54" s="57"/>
      <c r="B54" s="57"/>
    </row>
    <row r="55" spans="1:2">
      <c r="A55" s="57"/>
      <c r="B55" s="57"/>
    </row>
    <row r="56" spans="1:2">
      <c r="A56" s="57"/>
      <c r="B56" s="57"/>
    </row>
    <row r="57" spans="1:2">
      <c r="A57" s="57"/>
      <c r="B57" s="57"/>
    </row>
    <row r="58" spans="1:2">
      <c r="A58" s="57"/>
      <c r="B58" s="57"/>
    </row>
    <row r="59" spans="1:2">
      <c r="A59" s="57"/>
      <c r="B59" s="57"/>
    </row>
    <row r="60" spans="1:2">
      <c r="A60" s="57"/>
      <c r="B60" s="57"/>
    </row>
  </sheetData>
  <customSheetViews>
    <customSheetView guid="{C6961C98-214A-4770-9A2D-B399A95C6C8B}">
      <selection activeCell="B10" sqref="B10"/>
      <pageMargins left="0.7" right="0.7" top="0.75" bottom="0.75" header="0.3" footer="0.3"/>
    </customSheetView>
    <customSheetView guid="{A704065A-5B6F-476C-AE5F-F67C013164B0}" topLeftCell="A17">
      <selection activeCell="F46" sqref="F46"/>
      <pageMargins left="0.7" right="0.7" top="0.75" bottom="0.75" header="0.3" footer="0.3"/>
    </customSheetView>
    <customSheetView guid="{319CE2B6-D20C-48B8-B7D9-15D19162A7CD}">
      <selection activeCell="B10" sqref="B10"/>
      <pageMargins left="0.7" right="0.7" top="0.75" bottom="0.75" header="0.3" footer="0.3"/>
    </customSheetView>
    <customSheetView guid="{C5360886-767B-4F33-B24F-A6512AA390CC}">
      <selection activeCell="C14" sqref="C14"/>
      <pageMargins left="0.7" right="0.7" top="0.75" bottom="0.75" header="0.3" footer="0.3"/>
    </customSheetView>
    <customSheetView guid="{9C777CA9-4E1C-4A90-9032-5D0586052FC8}">
      <selection activeCell="C35" sqref="C35"/>
      <pageMargins left="0.7" right="0.7" top="0.75" bottom="0.75" header="0.3" footer="0.3"/>
    </customSheetView>
    <customSheetView guid="{FEBD343F-EB1E-4B3A-B093-25A74DB60DAB}">
      <selection activeCell="B13" sqref="B13"/>
      <pageMargins left="0.7" right="0.7" top="0.75" bottom="0.75" header="0.3" footer="0.3"/>
    </customSheetView>
    <customSheetView guid="{1D39CB39-D8E6-4DA4-ABBA-40E2E6F11928}">
      <selection activeCell="B10" sqref="B10"/>
      <pageMargins left="0.7" right="0.7" top="0.75" bottom="0.75" header="0.3" footer="0.3"/>
    </customSheetView>
    <customSheetView guid="{6779E260-5140-4C15-8A0E-E477B8C8425E}">
      <selection activeCell="C14" sqref="C14"/>
      <pageMargins left="0.7" right="0.7" top="0.75" bottom="0.75" header="0.3" footer="0.3"/>
    </customSheetView>
    <customSheetView guid="{FA0A1515-2E1A-4AAF-AD6A-7E4D0198DCFF}" topLeftCell="A19">
      <selection activeCell="B46" sqref="B46"/>
      <pageMargins left="0.7" right="0.7" top="0.75" bottom="0.75" header="0.3" footer="0.3"/>
    </customSheetView>
    <customSheetView guid="{CC86EB9B-590B-4DCB-8154-1EBCE97DCC27}">
      <selection activeCell="B10" sqref="B10"/>
      <pageMargins left="0.7" right="0.7" top="0.75" bottom="0.75" header="0.3" footer="0.3"/>
      <pageSetup paperSize="9" orientation="portrait" horizontalDpi="0" verticalDpi="0" r:id="rId1"/>
    </customSheetView>
    <customSheetView guid="{03543009-41DE-4C7D-B8BE-69526021AF29}">
      <selection activeCell="C14" sqref="C14"/>
      <pageMargins left="0.7" right="0.7" top="0.75" bottom="0.75" header="0.3" footer="0.3"/>
    </customSheetView>
    <customSheetView guid="{03CD1AFD-FDA7-4904-966E-FB90CD2C490F}">
      <selection activeCell="C14" sqref="C14"/>
      <pageMargins left="0.7" right="0.7" top="0.75" bottom="0.75" header="0.3" footer="0.3"/>
    </customSheetView>
  </customSheetViews>
  <mergeCells count="1">
    <mergeCell ref="A3:B3"/>
  </mergeCells>
  <conditionalFormatting sqref="A20">
    <cfRule type="expression" dxfId="9348" priority="85">
      <formula>A20=#REF!</formula>
    </cfRule>
    <cfRule type="expression" dxfId="9347" priority="86">
      <formula>OR(A20=#REF!,A20=#REF!,A20=#REF!,A20=#REF!,A20=#REF!,A20=#REF!)</formula>
    </cfRule>
    <cfRule type="expression" dxfId="9346" priority="87">
      <formula>A20=$B$12</formula>
    </cfRule>
    <cfRule type="expression" dxfId="9345" priority="88">
      <formula>A20=$B$10</formula>
    </cfRule>
    <cfRule type="expression" dxfId="9344" priority="89">
      <formula>A20=#REF!</formula>
    </cfRule>
    <cfRule type="expression" dxfId="9343" priority="90">
      <formula>A20=$B$16</formula>
    </cfRule>
    <cfRule type="expression" dxfId="9342" priority="91">
      <formula>A20=#REF!</formula>
    </cfRule>
    <cfRule type="expression" dxfId="9341" priority="92">
      <formula>A20=#REF!</formula>
    </cfRule>
    <cfRule type="expression" dxfId="9340" priority="93">
      <formula>A20=$B$6</formula>
    </cfRule>
    <cfRule type="expression" dxfId="9339" priority="94">
      <formula>A20=#REF!</formula>
    </cfRule>
    <cfRule type="expression" dxfId="9338" priority="95">
      <formula>A20=$B$4</formula>
    </cfRule>
    <cfRule type="expression" dxfId="9337" priority="96">
      <formula>A20=$B$18</formula>
    </cfRule>
    <cfRule type="expression" dxfId="9336" priority="97">
      <formula>A20=#REF!</formula>
    </cfRule>
    <cfRule type="expression" dxfId="9335" priority="98">
      <formula>A20=$B$3</formula>
    </cfRule>
    <cfRule type="expression" dxfId="9334" priority="99">
      <formula>A20=$B$20</formula>
    </cfRule>
    <cfRule type="expression" dxfId="9333" priority="100">
      <formula>A20=$B$24</formula>
    </cfRule>
    <cfRule type="expression" dxfId="9332" priority="101">
      <formula>A20=$B$14</formula>
    </cfRule>
    <cfRule type="expression" dxfId="9331" priority="102">
      <formula>A20=#REF!</formula>
    </cfRule>
    <cfRule type="expression" dxfId="9330" priority="103">
      <formula>A20=$B$26</formula>
    </cfRule>
  </conditionalFormatting>
  <conditionalFormatting sqref="B22:B24">
    <cfRule type="expression" dxfId="9329" priority="62">
      <formula>B22=$B$22</formula>
    </cfRule>
    <cfRule type="expression" dxfId="9328" priority="63">
      <formula>B22=$B$16</formula>
    </cfRule>
    <cfRule type="expression" dxfId="9327" priority="64">
      <formula>B22=$B$15</formula>
    </cfRule>
    <cfRule type="expression" dxfId="9326" priority="65">
      <formula>B22=$B$14</formula>
    </cfRule>
    <cfRule type="expression" dxfId="9325" priority="66">
      <formula>B22=$B$26</formula>
    </cfRule>
    <cfRule type="expression" dxfId="9324" priority="67">
      <formula>B22=$B$23</formula>
    </cfRule>
    <cfRule type="expression" dxfId="9323" priority="68">
      <formula>B22=$B$12</formula>
    </cfRule>
    <cfRule type="expression" dxfId="9322" priority="69">
      <formula>B22=$B$25</formula>
    </cfRule>
    <cfRule type="expression" dxfId="9321" priority="70">
      <formula>B22=$B$24</formula>
    </cfRule>
    <cfRule type="expression" dxfId="9320" priority="71">
      <formula>B22=$B$17</formula>
    </cfRule>
    <cfRule type="expression" dxfId="9319" priority="72">
      <formula>B22=$B$4</formula>
    </cfRule>
    <cfRule type="expression" dxfId="9318" priority="73">
      <formula>B22=$B$5</formula>
    </cfRule>
    <cfRule type="expression" dxfId="9317" priority="74">
      <formula>B22=$B$3</formula>
    </cfRule>
    <cfRule type="expression" dxfId="9316" priority="75">
      <formula>B22=$B$16</formula>
    </cfRule>
    <cfRule type="expression" dxfId="9315" priority="76">
      <formula>B22=$B$22</formula>
    </cfRule>
    <cfRule type="expression" dxfId="9314" priority="77">
      <formula>B22=$B$19</formula>
    </cfRule>
    <cfRule type="expression" dxfId="9313" priority="78">
      <formula>B22=$B$18</formula>
    </cfRule>
    <cfRule type="expression" dxfId="9312" priority="79">
      <formula>B22=$B$3</formula>
    </cfRule>
    <cfRule type="expression" dxfId="9311" priority="80">
      <formula>OR(B22=$B$6,B22=$B$7,B22=$B$8,B22=$B$9,B22=$B$10,B22=$B$11)</formula>
    </cfRule>
    <cfRule type="expression" dxfId="9310" priority="81">
      <formula>B22=#REF!</formula>
    </cfRule>
    <cfRule type="expression" dxfId="9309" priority="82">
      <formula>B22=$B$13</formula>
    </cfRule>
    <cfRule type="expression" dxfId="9308" priority="83">
      <formula>B22=$B$20</formula>
    </cfRule>
    <cfRule type="expression" dxfId="9307" priority="84">
      <formula>OR(B22=$B$27,B22=$B$6,B22=$B$7,B22=$B$8,B22=$B$9,B22=$B$10,B22=$B$11)</formula>
    </cfRule>
  </conditionalFormatting>
  <conditionalFormatting sqref="B22:B25">
    <cfRule type="expression" dxfId="9306" priority="36">
      <formula>B22=$B$15</formula>
    </cfRule>
  </conditionalFormatting>
  <conditionalFormatting sqref="B22:B26">
    <cfRule type="expression" dxfId="9305" priority="1">
      <formula>B22=$B$29</formula>
    </cfRule>
    <cfRule type="expression" dxfId="9304" priority="4">
      <formula>B22=$B$21</formula>
    </cfRule>
    <cfRule type="expression" dxfId="9303" priority="2733">
      <formula>B22=$B$28</formula>
    </cfRule>
    <cfRule type="expression" dxfId="9302" priority="2734">
      <formula>B22=#REF!</formula>
    </cfRule>
  </conditionalFormatting>
  <conditionalFormatting sqref="B25">
    <cfRule type="expression" dxfId="9301" priority="34">
      <formula>B25=$B$22</formula>
    </cfRule>
    <cfRule type="expression" dxfId="9300" priority="35">
      <formula>B25=$B$16</formula>
    </cfRule>
    <cfRule type="expression" dxfId="9299" priority="37">
      <formula>B25=$B$14</formula>
    </cfRule>
    <cfRule type="expression" dxfId="9298" priority="38">
      <formula>B25=$B$26</formula>
    </cfRule>
    <cfRule type="expression" dxfId="9297" priority="39">
      <formula>B25=$B$23</formula>
    </cfRule>
    <cfRule type="expression" dxfId="9296" priority="40">
      <formula>B25=$B$12</formula>
    </cfRule>
    <cfRule type="expression" dxfId="9295" priority="41">
      <formula>B25=$B$25</formula>
    </cfRule>
    <cfRule type="expression" dxfId="9294" priority="42">
      <formula>B25=$B$24</formula>
    </cfRule>
    <cfRule type="expression" dxfId="9293" priority="43">
      <formula>B25=$B$17</formula>
    </cfRule>
    <cfRule type="expression" dxfId="9292" priority="44">
      <formula>B25=$B$4</formula>
    </cfRule>
    <cfRule type="expression" dxfId="9291" priority="45">
      <formula>B25=$B$5</formula>
    </cfRule>
    <cfRule type="expression" dxfId="9290" priority="46">
      <formula>B25=$B$3</formula>
    </cfRule>
    <cfRule type="expression" dxfId="9289" priority="47">
      <formula>B25=$B$16</formula>
    </cfRule>
    <cfRule type="expression" dxfId="9288" priority="48">
      <formula>B25=$B$22</formula>
    </cfRule>
    <cfRule type="expression" dxfId="9287" priority="49">
      <formula>B25=$B$19</formula>
    </cfRule>
    <cfRule type="expression" dxfId="9286" priority="50">
      <formula>B25=$B$18</formula>
    </cfRule>
    <cfRule type="expression" dxfId="9285" priority="51">
      <formula>B25=$B$3</formula>
    </cfRule>
    <cfRule type="expression" dxfId="9284" priority="52">
      <formula>OR(B25=$B$6,B25=$B$7,B25=$B$8,B25=$B$9,B25=$B$10,B25=$B$11)</formula>
    </cfRule>
    <cfRule type="expression" dxfId="9283" priority="53">
      <formula>B25=#REF!</formula>
    </cfRule>
    <cfRule type="expression" dxfId="9282" priority="54">
      <formula>B25=$B$13</formula>
    </cfRule>
    <cfRule type="expression" dxfId="9281" priority="55">
      <formula>B25=$B$20</formula>
    </cfRule>
    <cfRule type="expression" dxfId="9280" priority="56">
      <formula>OR(B25=$B$27,B25=$B$6,B25=$B$7,B25=$B$8,B25=$B$9,B25=$B$10,B25=$B$11)</formula>
    </cfRule>
  </conditionalFormatting>
  <conditionalFormatting sqref="B25:B26">
    <cfRule type="expression" dxfId="9279" priority="8">
      <formula>B25=$B$15</formula>
    </cfRule>
  </conditionalFormatting>
  <conditionalFormatting sqref="B26">
    <cfRule type="expression" dxfId="9278" priority="5">
      <formula>B26=$B$15</formula>
    </cfRule>
    <cfRule type="expression" dxfId="9277" priority="6">
      <formula>B26=$B$22</formula>
    </cfRule>
    <cfRule type="expression" dxfId="9276" priority="7">
      <formula>B26=$B$16</formula>
    </cfRule>
    <cfRule type="expression" dxfId="9275" priority="9">
      <formula>B26=$B$14</formula>
    </cfRule>
    <cfRule type="expression" dxfId="9274" priority="10">
      <formula>B26=$B$26</formula>
    </cfRule>
    <cfRule type="expression" dxfId="9273" priority="11">
      <formula>B26=$B$23</formula>
    </cfRule>
    <cfRule type="expression" dxfId="9272" priority="12">
      <formula>B26=$B$12</formula>
    </cfRule>
    <cfRule type="expression" dxfId="9271" priority="13">
      <formula>B26=$B$25</formula>
    </cfRule>
    <cfRule type="expression" dxfId="9270" priority="14">
      <formula>B26=$B$24</formula>
    </cfRule>
    <cfRule type="expression" dxfId="9269" priority="15">
      <formula>B26=$B$17</formula>
    </cfRule>
    <cfRule type="expression" dxfId="9268" priority="16">
      <formula>B26=$B$4</formula>
    </cfRule>
    <cfRule type="expression" dxfId="9267" priority="17">
      <formula>B26=$B$5</formula>
    </cfRule>
    <cfRule type="expression" dxfId="9266" priority="18">
      <formula>B26=$B$3</formula>
    </cfRule>
    <cfRule type="expression" dxfId="9265" priority="19">
      <formula>B26=$B$16</formula>
    </cfRule>
    <cfRule type="expression" dxfId="9264" priority="20">
      <formula>B26=$B$22</formula>
    </cfRule>
    <cfRule type="expression" dxfId="9263" priority="21">
      <formula>B26=$B$19</formula>
    </cfRule>
    <cfRule type="expression" dxfId="9262" priority="22">
      <formula>B26=$B$18</formula>
    </cfRule>
    <cfRule type="expression" dxfId="9261" priority="23">
      <formula>B26=$B$3</formula>
    </cfRule>
    <cfRule type="expression" dxfId="9260" priority="24">
      <formula>OR(B26=$B$6,B26=$B$7,B26=$B$8,B26=$B$9,B26=$B$10,B26=$B$11)</formula>
    </cfRule>
    <cfRule type="expression" dxfId="9259" priority="25">
      <formula>B26=#REF!</formula>
    </cfRule>
    <cfRule type="expression" dxfId="9258" priority="26">
      <formula>B26=$B$13</formula>
    </cfRule>
    <cfRule type="expression" dxfId="9257" priority="27">
      <formula>B26=$B$20</formula>
    </cfRule>
    <cfRule type="expression" dxfId="9256" priority="28">
      <formula>OR(B26=$B$27,B26=$B$6,B26=$B$7,B26=$B$8,B26=$B$9,B26=$B$10,B26=$B$11)</formula>
    </cfRule>
  </conditionalFormatting>
  <dataValidations count="1">
    <dataValidation type="list" allowBlank="1" showInputMessage="1" showErrorMessage="1" sqref="B5:B34" xr:uid="{00000000-0002-0000-0C00-000000000000}">
      <formula1>מקרא</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38"/>
  <sheetViews>
    <sheetView rightToLeft="1" workbookViewId="0">
      <selection activeCell="H36" sqref="H36"/>
    </sheetView>
  </sheetViews>
  <sheetFormatPr defaultRowHeight="14.25"/>
  <cols>
    <col min="1" max="1" width="14.875" style="1" customWidth="1"/>
    <col min="2" max="2" width="20.25" style="1" bestFit="1" customWidth="1"/>
    <col min="7" max="7" width="17" customWidth="1"/>
    <col min="8" max="8" width="35.75" customWidth="1"/>
    <col min="12" max="12" width="19" customWidth="1"/>
    <col min="13" max="13" width="12.375" bestFit="1" customWidth="1"/>
  </cols>
  <sheetData>
    <row r="1" spans="1:13">
      <c r="L1" t="s">
        <v>182</v>
      </c>
    </row>
    <row r="2" spans="1:13" ht="15.75" thickBot="1">
      <c r="G2" t="s">
        <v>69</v>
      </c>
      <c r="H2" t="s">
        <v>70</v>
      </c>
      <c r="L2" s="41" t="s">
        <v>181</v>
      </c>
    </row>
    <row r="3" spans="1:13" ht="15.75" thickBot="1">
      <c r="A3" s="8" t="s">
        <v>67</v>
      </c>
      <c r="B3" s="9" t="s">
        <v>68</v>
      </c>
      <c r="G3" t="s">
        <v>72</v>
      </c>
      <c r="H3" t="s">
        <v>73</v>
      </c>
      <c r="L3" s="41" t="s">
        <v>152</v>
      </c>
      <c r="M3" t="s">
        <v>3</v>
      </c>
    </row>
    <row r="4" spans="1:13" ht="15">
      <c r="A4" s="6" t="s">
        <v>75</v>
      </c>
      <c r="B4" s="7" t="s">
        <v>122</v>
      </c>
      <c r="L4" s="41" t="s">
        <v>153</v>
      </c>
      <c r="M4" t="s">
        <v>174</v>
      </c>
    </row>
    <row r="5" spans="1:13" ht="15">
      <c r="A5" s="2" t="s">
        <v>121</v>
      </c>
      <c r="B5" s="3" t="s">
        <v>118</v>
      </c>
      <c r="L5" s="41" t="s">
        <v>154</v>
      </c>
      <c r="M5" t="s">
        <v>0</v>
      </c>
    </row>
    <row r="6" spans="1:13" ht="15">
      <c r="A6" s="2" t="s">
        <v>82</v>
      </c>
      <c r="B6" s="3" t="s">
        <v>104</v>
      </c>
      <c r="L6" s="41" t="s">
        <v>155</v>
      </c>
      <c r="M6" t="s">
        <v>21</v>
      </c>
    </row>
    <row r="7" spans="1:13" ht="15">
      <c r="A7" s="2" t="s">
        <v>77</v>
      </c>
      <c r="B7" s="3" t="s">
        <v>99</v>
      </c>
      <c r="L7" s="41" t="s">
        <v>156</v>
      </c>
      <c r="M7" t="s">
        <v>175</v>
      </c>
    </row>
    <row r="8" spans="1:13" ht="15">
      <c r="A8" s="2" t="s">
        <v>3</v>
      </c>
      <c r="B8" s="3" t="s">
        <v>74</v>
      </c>
      <c r="L8" s="41" t="s">
        <v>157</v>
      </c>
      <c r="M8" t="s">
        <v>176</v>
      </c>
    </row>
    <row r="9" spans="1:13" ht="15">
      <c r="A9" s="2" t="s">
        <v>90</v>
      </c>
      <c r="B9" s="3" t="s">
        <v>114</v>
      </c>
      <c r="L9" s="41" t="s">
        <v>158</v>
      </c>
      <c r="M9" t="s">
        <v>9</v>
      </c>
    </row>
    <row r="10" spans="1:13" ht="15">
      <c r="A10" s="2" t="s">
        <v>95</v>
      </c>
      <c r="B10" s="3" t="s">
        <v>120</v>
      </c>
      <c r="L10" s="41" t="s">
        <v>159</v>
      </c>
      <c r="M10" t="s">
        <v>2</v>
      </c>
    </row>
    <row r="11" spans="1:13" ht="15">
      <c r="A11" s="2" t="s">
        <v>88</v>
      </c>
      <c r="B11" s="3" t="s">
        <v>112</v>
      </c>
      <c r="L11" s="41" t="s">
        <v>160</v>
      </c>
      <c r="M11" t="s">
        <v>177</v>
      </c>
    </row>
    <row r="12" spans="1:13" ht="15">
      <c r="A12" s="2" t="s">
        <v>81</v>
      </c>
      <c r="B12" s="3" t="s">
        <v>103</v>
      </c>
      <c r="L12" s="41" t="s">
        <v>161</v>
      </c>
      <c r="M12" t="s">
        <v>29</v>
      </c>
    </row>
    <row r="13" spans="1:13" ht="15">
      <c r="A13" s="2" t="s">
        <v>85</v>
      </c>
      <c r="B13" s="3" t="s">
        <v>107</v>
      </c>
      <c r="L13" s="41" t="s">
        <v>162</v>
      </c>
      <c r="M13" t="s">
        <v>4</v>
      </c>
    </row>
    <row r="14" spans="1:13" ht="15">
      <c r="A14" s="2" t="s">
        <v>9</v>
      </c>
      <c r="B14" s="3" t="s">
        <v>71</v>
      </c>
      <c r="L14" s="41" t="s">
        <v>163</v>
      </c>
      <c r="M14" t="s">
        <v>178</v>
      </c>
    </row>
    <row r="15" spans="1:13" ht="15">
      <c r="A15" s="2" t="s">
        <v>98</v>
      </c>
      <c r="B15" s="3" t="s">
        <v>96</v>
      </c>
      <c r="L15" s="41" t="s">
        <v>164</v>
      </c>
      <c r="M15" t="s">
        <v>30</v>
      </c>
    </row>
    <row r="16" spans="1:13" ht="15">
      <c r="A16" s="2" t="s">
        <v>174</v>
      </c>
      <c r="B16" s="3" t="s">
        <v>226</v>
      </c>
      <c r="L16" s="41" t="s">
        <v>165</v>
      </c>
      <c r="M16" t="s">
        <v>27</v>
      </c>
    </row>
    <row r="17" spans="1:13" ht="15.75" thickBot="1">
      <c r="A17" s="19" t="s">
        <v>91</v>
      </c>
      <c r="B17" s="20" t="s">
        <v>115</v>
      </c>
      <c r="L17" s="41" t="s">
        <v>166</v>
      </c>
      <c r="M17" t="s">
        <v>1</v>
      </c>
    </row>
    <row r="18" spans="1:13" ht="15">
      <c r="A18" s="10" t="s">
        <v>94</v>
      </c>
      <c r="B18" s="11" t="s">
        <v>119</v>
      </c>
      <c r="L18" s="41" t="s">
        <v>167</v>
      </c>
      <c r="M18" t="s">
        <v>179</v>
      </c>
    </row>
    <row r="19" spans="1:13" ht="15">
      <c r="A19" s="2" t="s">
        <v>76</v>
      </c>
      <c r="B19" s="3" t="s">
        <v>123</v>
      </c>
      <c r="L19" s="41" t="s">
        <v>168</v>
      </c>
      <c r="M19" t="s">
        <v>24</v>
      </c>
    </row>
    <row r="20" spans="1:13" ht="15">
      <c r="A20" s="2" t="s">
        <v>84</v>
      </c>
      <c r="B20" s="3" t="s">
        <v>106</v>
      </c>
      <c r="L20" s="41" t="s">
        <v>169</v>
      </c>
      <c r="M20" t="s">
        <v>5</v>
      </c>
    </row>
    <row r="21" spans="1:13" ht="15">
      <c r="A21" s="2" t="s">
        <v>87</v>
      </c>
      <c r="B21" s="3" t="s">
        <v>111</v>
      </c>
      <c r="L21" s="41" t="s">
        <v>170</v>
      </c>
      <c r="M21" t="s">
        <v>23</v>
      </c>
    </row>
    <row r="22" spans="1:13" ht="15">
      <c r="A22" s="2" t="s">
        <v>86</v>
      </c>
      <c r="B22" s="3" t="s">
        <v>108</v>
      </c>
      <c r="L22" s="41" t="s">
        <v>171</v>
      </c>
      <c r="M22" t="s">
        <v>31</v>
      </c>
    </row>
    <row r="23" spans="1:13" ht="15">
      <c r="A23" s="2" t="s">
        <v>83</v>
      </c>
      <c r="B23" s="3" t="s">
        <v>105</v>
      </c>
      <c r="L23" s="41" t="s">
        <v>172</v>
      </c>
      <c r="M23" t="s">
        <v>180</v>
      </c>
    </row>
    <row r="24" spans="1:13" ht="15">
      <c r="A24" s="2" t="s">
        <v>89</v>
      </c>
      <c r="B24" s="3" t="s">
        <v>113</v>
      </c>
      <c r="L24" s="41" t="s">
        <v>173</v>
      </c>
      <c r="M24" t="s">
        <v>346</v>
      </c>
    </row>
    <row r="25" spans="1:13" ht="15">
      <c r="A25" s="2" t="s">
        <v>79</v>
      </c>
      <c r="B25" s="3" t="s">
        <v>101</v>
      </c>
      <c r="L25" s="41" t="s">
        <v>134</v>
      </c>
      <c r="M25" t="s">
        <v>134</v>
      </c>
    </row>
    <row r="26" spans="1:13" ht="15">
      <c r="A26" s="2" t="s">
        <v>93</v>
      </c>
      <c r="B26" s="3" t="s">
        <v>117</v>
      </c>
      <c r="L26" s="41" t="s">
        <v>26</v>
      </c>
      <c r="M26" t="s">
        <v>183</v>
      </c>
    </row>
    <row r="27" spans="1:13" ht="15">
      <c r="A27" s="2" t="s">
        <v>28</v>
      </c>
      <c r="B27" s="3" t="s">
        <v>97</v>
      </c>
      <c r="L27" s="41" t="s">
        <v>32</v>
      </c>
      <c r="M27" t="s">
        <v>32</v>
      </c>
    </row>
    <row r="28" spans="1:13" ht="15">
      <c r="A28" s="2" t="s">
        <v>110</v>
      </c>
      <c r="B28" s="3" t="s">
        <v>109</v>
      </c>
      <c r="L28" s="41" t="s">
        <v>28</v>
      </c>
      <c r="M28" t="s">
        <v>28</v>
      </c>
    </row>
    <row r="29" spans="1:13" ht="15">
      <c r="A29" s="2" t="s">
        <v>92</v>
      </c>
      <c r="B29" s="3" t="s">
        <v>116</v>
      </c>
      <c r="L29" s="41" t="s">
        <v>225</v>
      </c>
      <c r="M29" t="s">
        <v>225</v>
      </c>
    </row>
    <row r="30" spans="1:13" ht="15">
      <c r="A30" s="2" t="s">
        <v>80</v>
      </c>
      <c r="B30" s="3" t="s">
        <v>102</v>
      </c>
      <c r="L30" s="41" t="s">
        <v>230</v>
      </c>
      <c r="M30" t="s">
        <v>227</v>
      </c>
    </row>
    <row r="31" spans="1:13" ht="15">
      <c r="A31" s="2" t="s">
        <v>78</v>
      </c>
      <c r="B31" s="3" t="s">
        <v>100</v>
      </c>
      <c r="L31" s="41"/>
      <c r="M31" s="85" t="s">
        <v>231</v>
      </c>
    </row>
    <row r="32" spans="1:13" ht="15.75" thickBot="1">
      <c r="A32" s="4" t="s">
        <v>135</v>
      </c>
      <c r="B32" s="5" t="s">
        <v>138</v>
      </c>
      <c r="L32" s="41"/>
      <c r="M32" s="85" t="s">
        <v>232</v>
      </c>
    </row>
    <row r="33" spans="1:13" ht="15.75" thickBot="1">
      <c r="A33" s="88" t="s">
        <v>228</v>
      </c>
      <c r="B33" s="89" t="s">
        <v>229</v>
      </c>
      <c r="L33" s="41"/>
      <c r="M33" s="85" t="s">
        <v>233</v>
      </c>
    </row>
    <row r="34" spans="1:13" ht="15.75" thickBot="1">
      <c r="A34" s="114" t="s">
        <v>236</v>
      </c>
      <c r="B34" s="115" t="s">
        <v>235</v>
      </c>
      <c r="L34" s="41"/>
      <c r="M34" s="86" t="s">
        <v>234</v>
      </c>
    </row>
    <row r="35" spans="1:13" ht="15.75" thickBot="1">
      <c r="A35" s="114" t="s">
        <v>237</v>
      </c>
      <c r="B35" s="115" t="s">
        <v>241</v>
      </c>
      <c r="L35" s="41"/>
    </row>
    <row r="36" spans="1:13" ht="15.75" thickBot="1">
      <c r="A36" s="114" t="s">
        <v>238</v>
      </c>
      <c r="B36" s="115" t="s">
        <v>239</v>
      </c>
      <c r="L36" s="41"/>
    </row>
    <row r="37" spans="1:13" ht="15.75" thickBot="1">
      <c r="A37" s="114" t="s">
        <v>240</v>
      </c>
      <c r="B37" s="115" t="s">
        <v>242</v>
      </c>
      <c r="L37" s="41"/>
    </row>
    <row r="38" spans="1:13" ht="15" thickBot="1">
      <c r="A38" s="116" t="s">
        <v>243</v>
      </c>
      <c r="B38" s="115" t="s">
        <v>244</v>
      </c>
    </row>
  </sheetData>
  <customSheetViews>
    <customSheetView guid="{C6961C98-214A-4770-9A2D-B399A95C6C8B}">
      <selection activeCell="H36" sqref="H36"/>
      <pageMargins left="0.7" right="0.7" top="0.75" bottom="0.75" header="0.3" footer="0.3"/>
    </customSheetView>
    <customSheetView guid="{A704065A-5B6F-476C-AE5F-F67C013164B0}">
      <selection activeCell="A34" sqref="A34"/>
      <pageMargins left="0.7" right="0.7" top="0.75" bottom="0.75" header="0.3" footer="0.3"/>
    </customSheetView>
    <customSheetView guid="{319CE2B6-D20C-48B8-B7D9-15D19162A7CD}">
      <selection activeCell="H36" sqref="H36"/>
      <pageMargins left="0.7" right="0.7" top="0.75" bottom="0.75" header="0.3" footer="0.3"/>
    </customSheetView>
    <customSheetView guid="{C5360886-767B-4F33-B24F-A6512AA390CC}">
      <selection activeCell="B32" sqref="B32"/>
      <pageMargins left="0.7" right="0.7" top="0.75" bottom="0.75" header="0.3" footer="0.3"/>
    </customSheetView>
    <customSheetView guid="{9C777CA9-4E1C-4A90-9032-5D0586052FC8}">
      <selection activeCell="H13" sqref="H13"/>
      <pageMargins left="0.7" right="0.7" top="0.75" bottom="0.75" header="0.3" footer="0.3"/>
    </customSheetView>
    <customSheetView guid="{FEBD343F-EB1E-4B3A-B093-25A74DB60DAB}">
      <selection activeCell="A34" sqref="A34"/>
      <pageMargins left="0.7" right="0.7" top="0.75" bottom="0.75" header="0.3" footer="0.3"/>
    </customSheetView>
    <customSheetView guid="{1D39CB39-D8E6-4DA4-ABBA-40E2E6F11928}">
      <selection activeCell="H13" sqref="H13"/>
      <pageMargins left="0.7" right="0.7" top="0.75" bottom="0.75" header="0.3" footer="0.3"/>
    </customSheetView>
    <customSheetView guid="{6779E260-5140-4C15-8A0E-E477B8C8425E}">
      <selection activeCell="L32" sqref="L32"/>
      <pageMargins left="0.7" right="0.7" top="0.75" bottom="0.75" header="0.3" footer="0.3"/>
    </customSheetView>
    <customSheetView guid="{FA0A1515-2E1A-4AAF-AD6A-7E4D0198DCFF}">
      <selection activeCell="H13" sqref="H13"/>
      <pageMargins left="0.7" right="0.7" top="0.75" bottom="0.75" header="0.3" footer="0.3"/>
    </customSheetView>
    <customSheetView guid="{CC86EB9B-590B-4DCB-8154-1EBCE97DCC27}" topLeftCell="A7">
      <selection activeCell="B41" sqref="B41"/>
      <pageMargins left="0.7" right="0.7" top="0.75" bottom="0.75" header="0.3" footer="0.3"/>
    </customSheetView>
    <customSheetView guid="{03543009-41DE-4C7D-B8BE-69526021AF29}">
      <selection activeCell="B32" sqref="B32"/>
      <pageMargins left="0.7" right="0.7" top="0.75" bottom="0.75" header="0.3" footer="0.3"/>
    </customSheetView>
    <customSheetView guid="{03CD1AFD-FDA7-4904-966E-FB90CD2C490F}">
      <selection activeCell="B32" sqref="B32"/>
      <pageMargins left="0.7" right="0.7" top="0.75" bottom="0.75" header="0.3" footer="0.3"/>
    </customSheetView>
  </customSheetViews>
  <hyperlinks>
    <hyperlink ref="B14" r:id="rId1" xr:uid="{00000000-0004-0000-0D00-000000000000}"/>
    <hyperlink ref="B8" r:id="rId2" xr:uid="{00000000-0004-0000-0D00-000001000000}"/>
    <hyperlink ref="B15" r:id="rId3" xr:uid="{00000000-0004-0000-0D00-000002000000}"/>
    <hyperlink ref="B27" r:id="rId4" xr:uid="{00000000-0004-0000-0D00-000003000000}"/>
    <hyperlink ref="B7" r:id="rId5" xr:uid="{00000000-0004-0000-0D00-000004000000}"/>
    <hyperlink ref="B31" r:id="rId6" xr:uid="{00000000-0004-0000-0D00-000005000000}"/>
    <hyperlink ref="B30" r:id="rId7" xr:uid="{00000000-0004-0000-0D00-000006000000}"/>
    <hyperlink ref="B25" r:id="rId8" xr:uid="{00000000-0004-0000-0D00-000007000000}"/>
    <hyperlink ref="B12" r:id="rId9" xr:uid="{00000000-0004-0000-0D00-000008000000}"/>
    <hyperlink ref="B6" r:id="rId10" xr:uid="{00000000-0004-0000-0D00-000009000000}"/>
    <hyperlink ref="B23" r:id="rId11" xr:uid="{00000000-0004-0000-0D00-00000A000000}"/>
    <hyperlink ref="B20" r:id="rId12" xr:uid="{00000000-0004-0000-0D00-00000B000000}"/>
    <hyperlink ref="B13" r:id="rId13" xr:uid="{00000000-0004-0000-0D00-00000C000000}"/>
    <hyperlink ref="B28" r:id="rId14" xr:uid="{00000000-0004-0000-0D00-00000D000000}"/>
    <hyperlink ref="B21" r:id="rId15" xr:uid="{00000000-0004-0000-0D00-00000E000000}"/>
    <hyperlink ref="B11" r:id="rId16" xr:uid="{00000000-0004-0000-0D00-00000F000000}"/>
    <hyperlink ref="B24" r:id="rId17" xr:uid="{00000000-0004-0000-0D00-000010000000}"/>
    <hyperlink ref="B9" r:id="rId18" xr:uid="{00000000-0004-0000-0D00-000011000000}"/>
    <hyperlink ref="B17" r:id="rId19" xr:uid="{00000000-0004-0000-0D00-000012000000}"/>
    <hyperlink ref="B29" r:id="rId20" xr:uid="{00000000-0004-0000-0D00-000013000000}"/>
    <hyperlink ref="B26" r:id="rId21" xr:uid="{00000000-0004-0000-0D00-000014000000}"/>
    <hyperlink ref="B5" r:id="rId22" xr:uid="{00000000-0004-0000-0D00-000015000000}"/>
    <hyperlink ref="B18" r:id="rId23" xr:uid="{00000000-0004-0000-0D00-000016000000}"/>
    <hyperlink ref="B10" r:id="rId24" xr:uid="{00000000-0004-0000-0D00-000017000000}"/>
    <hyperlink ref="B22" r:id="rId25" xr:uid="{00000000-0004-0000-0D00-000018000000}"/>
    <hyperlink ref="B4" r:id="rId26" xr:uid="{00000000-0004-0000-0D00-000019000000}"/>
    <hyperlink ref="B32" r:id="rId27" xr:uid="{00000000-0004-0000-0D00-00001A000000}"/>
    <hyperlink ref="B16" r:id="rId28" xr:uid="{00000000-0004-0000-0D00-00001B000000}"/>
    <hyperlink ref="B34" r:id="rId29" display="mailto:alonwi@iaa.gov.il" xr:uid="{00000000-0004-0000-0D00-00001C000000}"/>
    <hyperlink ref="B36" r:id="rId30" display="mailto:saharku@iaa.gov.il" xr:uid="{00000000-0004-0000-0D00-00001D000000}"/>
    <hyperlink ref="B35" r:id="rId31" xr:uid="{00000000-0004-0000-0D00-00001E000000}"/>
    <hyperlink ref="B37" r:id="rId32" xr:uid="{00000000-0004-0000-0D00-00001F000000}"/>
    <hyperlink ref="B38" r:id="rId33" xr:uid="{00000000-0004-0000-0D00-00002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14</vt:i4>
      </vt:variant>
      <vt:variant>
        <vt:lpstr>טווחים בעלי שם</vt:lpstr>
      </vt:variant>
      <vt:variant>
        <vt:i4>1</vt:i4>
      </vt:variant>
    </vt:vector>
  </HeadingPairs>
  <TitlesOfParts>
    <vt:vector size="15" baseType="lpstr">
      <vt:lpstr>ינואר</vt:lpstr>
      <vt:lpstr>פברואר</vt:lpstr>
      <vt:lpstr>מרץ</vt:lpstr>
      <vt:lpstr>אפריל</vt:lpstr>
      <vt:lpstr>מאי</vt:lpstr>
      <vt:lpstr>יוני</vt:lpstr>
      <vt:lpstr>יולי</vt:lpstr>
      <vt:lpstr>אוגוסט</vt:lpstr>
      <vt:lpstr>ספטמבר</vt:lpstr>
      <vt:lpstr>אוקטובר</vt:lpstr>
      <vt:lpstr>נובמבר</vt:lpstr>
      <vt:lpstr>דצמבר</vt:lpstr>
      <vt:lpstr>מקרא</vt:lpstr>
      <vt:lpstr>מיילים</vt:lpstr>
      <vt:lpstr>מקרא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Yoav Bardugo</dc:creator>
  <cp:lastModifiedBy>Avi Manorr</cp:lastModifiedBy>
  <cp:lastPrinted>2024-07-21T09:27:03Z</cp:lastPrinted>
  <dcterms:created xsi:type="dcterms:W3CDTF">2023-11-13T11:48:55Z</dcterms:created>
  <dcterms:modified xsi:type="dcterms:W3CDTF">2026-05-03T11:14:43Z</dcterms:modified>
</cp:coreProperties>
</file>